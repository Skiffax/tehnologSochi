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ЭтаКнига" defaultThemeVersion="124226"/>
  <mc:AlternateContent xmlns:mc="http://schemas.openxmlformats.org/markup-compatibility/2006">
    <mc:Choice Requires="x15">
      <x15ac:absPath xmlns:x15ac="http://schemas.microsoft.com/office/spreadsheetml/2010/11/ac" url="D:\работа\Проекты\tehnolog-sochi\"/>
    </mc:Choice>
  </mc:AlternateContent>
  <xr:revisionPtr revIDLastSave="0" documentId="13_ncr:1_{C36C7D7F-FFEA-4545-B693-523051130869}" xr6:coauthVersionLast="45" xr6:coauthVersionMax="45" xr10:uidLastSave="{00000000-0000-0000-0000-000000000000}"/>
  <bookViews>
    <workbookView xWindow="-120" yWindow="-120" windowWidth="29040" windowHeight="15840" tabRatio="368" activeTab="1" xr2:uid="{00000000-000D-0000-FFFF-FFFF00000000}"/>
  </bookViews>
  <sheets>
    <sheet name="ИсходныйСкрытый" sheetId="662" r:id="rId1"/>
    <sheet name="Деталировка" sheetId="660" r:id="rId2"/>
    <sheet name="Склад" sheetId="663" r:id="rId3"/>
  </sheets>
  <functionGroups builtInGroupCount="19"/>
  <definedNames>
    <definedName name="_xlnm._FilterDatabase" localSheetId="1" hidden="1">Деталировка!#REF!</definedName>
    <definedName name="_xlnm.Print_Area" localSheetId="1">Деталировка!$A$2:$M$35</definedName>
    <definedName name="_xlnm.Print_Area" localSheetId="2">Склад!#REF!</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3" i="660" l="1"/>
  <c r="E13" i="660" s="1"/>
  <c r="N13" i="660" s="1"/>
  <c r="L13" i="660"/>
  <c r="K13" i="660"/>
  <c r="J13" i="660"/>
  <c r="I13" i="660"/>
  <c r="B13" i="660"/>
  <c r="M7" i="660"/>
  <c r="L7" i="660"/>
  <c r="K7" i="660"/>
  <c r="J7" i="660"/>
  <c r="A7" i="660" s="1"/>
  <c r="B7" i="660"/>
  <c r="M5" i="660"/>
  <c r="L5" i="660"/>
  <c r="K5" i="660"/>
  <c r="J5" i="660"/>
  <c r="A5" i="660" s="1"/>
  <c r="I5" i="660"/>
  <c r="B5" i="660"/>
  <c r="M11" i="660"/>
  <c r="L11" i="660"/>
  <c r="K11" i="660"/>
  <c r="J11" i="660"/>
  <c r="B11" i="660"/>
  <c r="M10" i="660"/>
  <c r="L10" i="660"/>
  <c r="K10" i="660"/>
  <c r="J10" i="660"/>
  <c r="I10" i="660"/>
  <c r="B10" i="660"/>
  <c r="M8" i="660"/>
  <c r="L8" i="660"/>
  <c r="K8" i="660"/>
  <c r="J8" i="660"/>
  <c r="A8" i="660" s="1"/>
  <c r="I8" i="660"/>
  <c r="B8" i="660"/>
  <c r="M12" i="660"/>
  <c r="F12" i="660" s="1"/>
  <c r="L12" i="660"/>
  <c r="K12" i="660"/>
  <c r="J12" i="660"/>
  <c r="I12" i="660"/>
  <c r="B12" i="660"/>
  <c r="M9" i="660"/>
  <c r="I9" i="660" s="1"/>
  <c r="L9" i="660"/>
  <c r="K9" i="660"/>
  <c r="J9" i="660"/>
  <c r="A9" i="660" s="1"/>
  <c r="B9" i="660"/>
  <c r="M4" i="660"/>
  <c r="L4" i="660"/>
  <c r="K4" i="660"/>
  <c r="J4" i="660"/>
  <c r="A4" i="660" s="1"/>
  <c r="I4" i="660"/>
  <c r="B4" i="660"/>
  <c r="M6" i="660"/>
  <c r="L6" i="660"/>
  <c r="K6" i="660"/>
  <c r="J6" i="660"/>
  <c r="A6" i="660" s="1"/>
  <c r="B6" i="660"/>
  <c r="E10" i="660" l="1"/>
  <c r="N10" i="660" s="1"/>
  <c r="E5" i="660"/>
  <c r="N5" i="660" s="1"/>
  <c r="E4" i="660"/>
  <c r="N4" i="660" s="1"/>
  <c r="E6" i="660"/>
  <c r="N6" i="660" s="1"/>
  <c r="E7" i="660"/>
  <c r="N7" i="660" s="1"/>
  <c r="I7" i="660"/>
  <c r="A12" i="660"/>
  <c r="A10" i="660"/>
  <c r="A11" i="660"/>
  <c r="F7" i="660"/>
  <c r="I6" i="660"/>
  <c r="F5" i="660"/>
  <c r="A13" i="660"/>
  <c r="E12" i="660"/>
  <c r="N12" i="660" s="1"/>
  <c r="F10" i="660"/>
  <c r="F13" i="660"/>
  <c r="F8" i="660"/>
  <c r="E8" i="660"/>
  <c r="N8" i="660" s="1"/>
  <c r="F11" i="660"/>
  <c r="E11" i="660"/>
  <c r="N11" i="660" s="1"/>
  <c r="F9" i="660"/>
  <c r="E9" i="660"/>
  <c r="N9" i="660" s="1"/>
  <c r="I11" i="660"/>
  <c r="F4" i="660"/>
  <c r="F6" i="660"/>
  <c r="A2" i="660"/>
  <c r="I14" i="660" l="1"/>
  <c r="M5" i="662"/>
  <c r="F5" i="662" s="1"/>
  <c r="L5" i="662"/>
  <c r="K5" i="662"/>
  <c r="J5" i="662"/>
  <c r="A5" i="662" s="1"/>
  <c r="B5" i="662"/>
  <c r="I5" i="662" l="1"/>
  <c r="E5" i="662"/>
  <c r="N5" i="662" s="1"/>
  <c r="M15" i="662"/>
  <c r="H15" i="662" s="1"/>
  <c r="J15" i="662"/>
  <c r="A15" i="662" s="1"/>
  <c r="I15" i="662"/>
  <c r="I59" i="660"/>
  <c r="I43" i="660"/>
  <c r="B3" i="660"/>
  <c r="D15" i="662" l="1"/>
  <c r="N15" i="662" s="1"/>
  <c r="E15" i="662"/>
  <c r="A22" i="660"/>
  <c r="A47" i="660"/>
  <c r="A36" i="6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Скиф</author>
  </authors>
  <commentList>
    <comment ref="B54" authorId="0" shapeId="0" xr:uid="{AAFD04C1-13DD-40A8-9031-3ADB48F736F9}">
      <text>
        <r>
          <rPr>
            <b/>
            <sz val="9"/>
            <color indexed="81"/>
            <rFont val="Tahoma"/>
            <family val="2"/>
            <charset val="204"/>
          </rPr>
          <t>Путь и имя файла, который будет служить базой данных</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Скиф</author>
    <author>user</author>
  </authors>
  <commentList>
    <comment ref="A1" authorId="0" shapeId="0" xr:uid="{71C5D9D2-29B0-49FF-A8FE-E3FA9EE2B2C6}">
      <text>
        <r>
          <rPr>
            <b/>
            <sz val="9"/>
            <color indexed="81"/>
            <rFont val="Tahoma"/>
            <family val="2"/>
            <charset val="204"/>
          </rPr>
          <t>Текст из ячейки А1 будет скопирован в верхний левый колонтитул при печати</t>
        </r>
      </text>
    </comment>
    <comment ref="C1" authorId="0" shapeId="0" xr:uid="{F8C46F74-90DA-45AB-8BA2-ED0DFAE9571E}">
      <text>
        <r>
          <rPr>
            <b/>
            <sz val="9"/>
            <color indexed="81"/>
            <rFont val="Tahoma"/>
            <family val="2"/>
            <charset val="204"/>
          </rPr>
          <t>Если эта ячейка не пуста, то будет сохраняться бэкап</t>
        </r>
      </text>
    </comment>
    <comment ref="N1" authorId="0" shapeId="0" xr:uid="{9E33CF45-AA41-4E94-A89D-42EE8FB553A0}">
      <text>
        <r>
          <rPr>
            <b/>
            <sz val="9"/>
            <color indexed="81"/>
            <rFont val="Tahoma"/>
            <family val="2"/>
            <charset val="204"/>
          </rPr>
          <t>Если ячейка L1 не пуста, то будут показываться сообщения об обработке строк</t>
        </r>
      </text>
    </comment>
    <comment ref="O1" authorId="1" shapeId="0" xr:uid="{9DA3F884-6CCC-4F2B-BF23-C8D0CCFD361E}">
      <text>
        <r>
          <rPr>
            <b/>
            <sz val="9"/>
            <color indexed="81"/>
            <rFont val="Tahoma"/>
            <family val="2"/>
            <charset val="204"/>
          </rPr>
          <t>Значок, который даёт указание добавлять размер на запил торца детали</t>
        </r>
      </text>
    </comment>
    <comment ref="P1" authorId="1" shapeId="0" xr:uid="{BC2F107A-354F-46C5-B2A5-12BCB3F33E84}">
      <text>
        <r>
          <rPr>
            <b/>
            <sz val="9"/>
            <color indexed="81"/>
            <rFont val="Tahoma"/>
            <family val="2"/>
            <charset val="204"/>
          </rPr>
          <t>Запас на запил торца</t>
        </r>
      </text>
    </comment>
    <comment ref="Q1" authorId="1" shapeId="0" xr:uid="{FD68FB07-54A9-4F2B-9ADD-12CAE51F646C}">
      <text>
        <r>
          <rPr>
            <b/>
            <sz val="9"/>
            <color indexed="81"/>
            <rFont val="Tahoma"/>
            <family val="2"/>
            <charset val="204"/>
          </rPr>
          <t>Добавка на скрутку</t>
        </r>
      </text>
    </comment>
    <comment ref="S1" authorId="0" shapeId="0" xr:uid="{E1DE0D4D-0493-45D6-95AB-3E04CEB664B2}">
      <text>
        <r>
          <rPr>
            <b/>
            <sz val="9"/>
            <color indexed="81"/>
            <rFont val="Tahoma"/>
            <family val="2"/>
            <charset val="204"/>
          </rPr>
          <t>Здесь указывается путь для загрузки файла</t>
        </r>
      </text>
    </comment>
    <comment ref="X1" authorId="0" shapeId="0" xr:uid="{2E754D92-8A90-4512-917D-9A7CF4CB5251}">
      <text>
        <r>
          <rPr>
            <b/>
            <sz val="9"/>
            <color indexed="81"/>
            <rFont val="Tahoma"/>
            <family val="2"/>
            <charset val="204"/>
          </rPr>
          <t>Через точку с запятой перечислить, какие наименования плит игнорировать при загрузке из bCUT. В конце данных обязательно нужно ставить ";"
Если макрос найдёт в имени плиты одно из перечисленных названий, то плита не будет загружена в деталировку</t>
        </r>
      </text>
    </comment>
    <comment ref="A3" authorId="0" shapeId="0" xr:uid="{3307155B-4CC3-431E-8670-E4D9DD188F85}">
      <text>
        <r>
          <rPr>
            <b/>
            <sz val="9"/>
            <color indexed="81"/>
            <rFont val="Tahoma"/>
            <family val="2"/>
            <charset val="204"/>
          </rPr>
          <t>По этому символу макросы определяют начало деталировки. Его менять нельзя</t>
        </r>
      </text>
    </comment>
    <comment ref="H14" authorId="0" shapeId="0" xr:uid="{53E63BAD-86A3-4B0B-A193-26CECD0F2A8C}">
      <text>
        <r>
          <rPr>
            <b/>
            <sz val="9"/>
            <color indexed="81"/>
            <rFont val="Tahoma"/>
            <family val="2"/>
            <charset val="204"/>
          </rPr>
          <t>По этой фразе макросы определяют конец блока деталировки. Её менять нельзя</t>
        </r>
      </text>
    </comment>
    <comment ref="A22" authorId="0" shapeId="0" xr:uid="{07B1F15C-0CDD-491E-902B-839CF32C03D3}">
      <text>
        <r>
          <rPr>
            <b/>
            <sz val="9"/>
            <color indexed="81"/>
            <rFont val="Tahoma"/>
            <family val="2"/>
            <charset val="204"/>
          </rPr>
          <t>Фраза "Соответствие кромки и ДСП" обязательна. По ней макрос определяет начало блока кромки</t>
        </r>
      </text>
    </comment>
  </commentList>
</comments>
</file>

<file path=xl/sharedStrings.xml><?xml version="1.0" encoding="utf-8"?>
<sst xmlns="http://schemas.openxmlformats.org/spreadsheetml/2006/main" count="134" uniqueCount="97">
  <si>
    <t>Ширина</t>
  </si>
  <si>
    <t>Длина</t>
  </si>
  <si>
    <t>Кол-во</t>
  </si>
  <si>
    <t>Материал</t>
  </si>
  <si>
    <t>Примечание</t>
  </si>
  <si>
    <t>Наименование</t>
  </si>
  <si>
    <t>№</t>
  </si>
  <si>
    <t>Начало</t>
  </si>
  <si>
    <t>Примечания:</t>
  </si>
  <si>
    <t>в</t>
  </si>
  <si>
    <t>л</t>
  </si>
  <si>
    <t>н</t>
  </si>
  <si>
    <t>п</t>
  </si>
  <si>
    <t>Наименование ДСП</t>
  </si>
  <si>
    <t>Наименование кромки</t>
  </si>
  <si>
    <t>Итого деталей</t>
  </si>
  <si>
    <r>
      <t xml:space="preserve">Знак </t>
    </r>
    <r>
      <rPr>
        <b/>
        <sz val="11"/>
        <color theme="1"/>
        <rFont val="Calibri"/>
        <family val="2"/>
        <charset val="204"/>
        <scheme val="minor"/>
      </rPr>
      <t>"кпз-"</t>
    </r>
    <r>
      <rPr>
        <sz val="11"/>
        <color theme="1"/>
        <rFont val="Calibri"/>
        <family val="2"/>
        <charset val="204"/>
        <scheme val="minor"/>
      </rPr>
      <t xml:space="preserve"> и </t>
    </r>
    <r>
      <rPr>
        <b/>
        <sz val="11"/>
        <color theme="1"/>
        <rFont val="Calibri"/>
        <family val="2"/>
        <charset val="204"/>
        <scheme val="minor"/>
      </rPr>
      <t>"кпз2":</t>
    </r>
    <r>
      <rPr>
        <sz val="11"/>
        <color theme="1"/>
        <rFont val="Calibri"/>
        <family val="2"/>
        <charset val="204"/>
        <scheme val="minor"/>
      </rPr>
      <t xml:space="preserve"> кромковать соответствующей кромкой после замеров/уточнений</t>
    </r>
  </si>
  <si>
    <t>сКромкой длина</t>
  </si>
  <si>
    <t>сКромкой ширина</t>
  </si>
  <si>
    <t>БезКромки длина</t>
  </si>
  <si>
    <t>БезКромкиШирина</t>
  </si>
  <si>
    <t>Площадь</t>
  </si>
  <si>
    <t>Код</t>
  </si>
  <si>
    <t>Кромка</t>
  </si>
  <si>
    <t>Плита</t>
  </si>
  <si>
    <t>Текстура</t>
  </si>
  <si>
    <t>Проверка</t>
  </si>
  <si>
    <t>з</t>
  </si>
  <si>
    <r>
      <t xml:space="preserve">Знак </t>
    </r>
    <r>
      <rPr>
        <b/>
        <sz val="11"/>
        <color theme="1"/>
        <rFont val="Calibri"/>
        <family val="2"/>
        <charset val="204"/>
        <scheme val="minor"/>
      </rPr>
      <t>"з":</t>
    </r>
    <r>
      <rPr>
        <sz val="11"/>
        <color theme="1"/>
        <rFont val="Calibri"/>
        <family val="2"/>
        <charset val="204"/>
        <scheme val="minor"/>
      </rPr>
      <t xml:space="preserve"> запил торца</t>
    </r>
  </si>
  <si>
    <t>Правила оформления деталировки</t>
  </si>
  <si>
    <t>Обозначение</t>
  </si>
  <si>
    <t>t</t>
  </si>
  <si>
    <t>Соответствие цвета кромки и ДСП указано в таблице ниже. Если не указано, то</t>
  </si>
  <si>
    <r>
      <t xml:space="preserve">знак </t>
    </r>
    <r>
      <rPr>
        <b/>
        <sz val="11"/>
        <color theme="1"/>
        <rFont val="Calibri"/>
        <family val="2"/>
        <charset val="204"/>
        <scheme val="minor"/>
      </rPr>
      <t>"-"</t>
    </r>
    <r>
      <rPr>
        <sz val="11"/>
        <color theme="1"/>
        <rFont val="Calibri"/>
        <family val="2"/>
        <charset val="204"/>
        <scheme val="minor"/>
      </rPr>
      <t xml:space="preserve">: кромка толщиной </t>
    </r>
    <r>
      <rPr>
        <b/>
        <sz val="11"/>
        <color theme="1"/>
        <rFont val="Calibri"/>
        <family val="2"/>
        <charset val="204"/>
        <scheme val="minor"/>
      </rPr>
      <t>0,5</t>
    </r>
    <r>
      <rPr>
        <sz val="11"/>
        <color theme="1"/>
        <rFont val="Calibri"/>
        <family val="2"/>
        <charset val="204"/>
        <scheme val="minor"/>
      </rPr>
      <t xml:space="preserve"> мм под цвет детали. Знак </t>
    </r>
    <r>
      <rPr>
        <b/>
        <sz val="11"/>
        <color theme="1"/>
        <rFont val="Calibri"/>
        <family val="2"/>
        <charset val="204"/>
        <scheme val="minor"/>
      </rPr>
      <t>"2"</t>
    </r>
    <r>
      <rPr>
        <sz val="11"/>
        <color theme="1"/>
        <rFont val="Calibri"/>
        <family val="2"/>
        <charset val="204"/>
        <scheme val="minor"/>
      </rPr>
      <t>: кромка толщиной 2 мм под цвет детали</t>
    </r>
  </si>
  <si>
    <t>Примечания</t>
  </si>
  <si>
    <t>Обязательный блок с обязательной фразой</t>
  </si>
  <si>
    <t>Автор таблицы - Ганков Ярослав +380662854936</t>
  </si>
  <si>
    <t>Между блоками в деталироке не может быть больше одной пустой строки (если будет больше - нумерация может быть некорректна)</t>
  </si>
  <si>
    <t>Деталировка</t>
  </si>
  <si>
    <t>Стекло</t>
  </si>
  <si>
    <t>Еврокромка полировка по периметру всех деталей</t>
  </si>
  <si>
    <t>Соответствие кромки и ДСП</t>
  </si>
  <si>
    <r>
      <t xml:space="preserve">Здесь располагаются </t>
    </r>
    <r>
      <rPr>
        <b/>
        <sz val="11"/>
        <color theme="1"/>
        <rFont val="Calibri"/>
        <family val="2"/>
        <charset val="204"/>
        <scheme val="minor"/>
      </rPr>
      <t>строки-заготовки</t>
    </r>
    <r>
      <rPr>
        <sz val="11"/>
        <color theme="1"/>
        <rFont val="Calibri"/>
        <family val="2"/>
        <charset val="204"/>
        <scheme val="minor"/>
      </rPr>
      <t xml:space="preserve"> для копирования в </t>
    </r>
    <r>
      <rPr>
        <b/>
        <sz val="11"/>
        <color theme="1"/>
        <rFont val="Calibri"/>
        <family val="2"/>
        <charset val="204"/>
        <scheme val="minor"/>
      </rPr>
      <t>блоки</t>
    </r>
    <r>
      <rPr>
        <sz val="11"/>
        <color theme="1"/>
        <rFont val="Calibri"/>
        <family val="2"/>
        <charset val="204"/>
        <scheme val="minor"/>
      </rPr>
      <t xml:space="preserve">. Фраза над заготовкой-строкой должна быть </t>
    </r>
    <r>
      <rPr>
        <b/>
        <sz val="11"/>
        <color theme="1"/>
        <rFont val="Calibri"/>
        <family val="2"/>
        <charset val="204"/>
        <scheme val="minor"/>
      </rPr>
      <t>точно такая же</t>
    </r>
    <r>
      <rPr>
        <sz val="11"/>
        <color theme="1"/>
        <rFont val="Calibri"/>
        <family val="2"/>
        <charset val="204"/>
        <scheme val="minor"/>
      </rPr>
      <t xml:space="preserve">, как и </t>
    </r>
    <r>
      <rPr>
        <b/>
        <sz val="11"/>
        <color theme="1"/>
        <rFont val="Calibri"/>
        <family val="2"/>
        <charset val="204"/>
        <scheme val="minor"/>
      </rPr>
      <t>название блока</t>
    </r>
    <r>
      <rPr>
        <sz val="11"/>
        <color theme="1"/>
        <rFont val="Calibri"/>
        <family val="2"/>
        <charset val="204"/>
        <scheme val="minor"/>
      </rPr>
      <t>. Копируются данные (кроме таблицы соответствия с столбца А по с толбец Y</t>
    </r>
  </si>
  <si>
    <t>Инструкция</t>
  </si>
  <si>
    <t>Таблица соответствия (блок соответствия)</t>
  </si>
  <si>
    <t>Фигурные детали</t>
  </si>
  <si>
    <r>
      <t xml:space="preserve">На фигурных деталях кромка не указывается. При обнаружении фигурной детали макрос не указывает кромкование, а автоматически в примечании пишет </t>
    </r>
    <r>
      <rPr>
        <b/>
        <sz val="11"/>
        <color theme="1"/>
        <rFont val="Calibri"/>
        <family val="2"/>
        <charset val="204"/>
        <scheme val="minor"/>
      </rPr>
      <t>"См.чертёж; Кромки уточнить;"</t>
    </r>
  </si>
  <si>
    <t>На фигурных деталях считывается лишь одно (первое) наименование кромки и оно будет отображено в таблице соответствия. Если на фигурных деталях больше 1 наименований кромок, то они не отобразятся в таблице соответствия</t>
  </si>
  <si>
    <t>Сердцевина</t>
  </si>
  <si>
    <t>Лицо</t>
  </si>
  <si>
    <t>Тыл</t>
  </si>
  <si>
    <t>D:/bCad-teh.xml</t>
  </si>
  <si>
    <t>Лицевая</t>
  </si>
  <si>
    <t>Тыльная</t>
  </si>
  <si>
    <t>HDF;Зеркало;ПВС;стена;</t>
  </si>
  <si>
    <t>Таблица замены</t>
  </si>
  <si>
    <t>Выгрузка из bCad</t>
  </si>
  <si>
    <t>Соответствие</t>
  </si>
  <si>
    <t>Таблица замены должна располагаться за всеми заготовками блоков</t>
  </si>
  <si>
    <t>SkiffПВХ 0,4х19 Вулканический серый б/к</t>
  </si>
  <si>
    <t>В деталировке при найденном значении в столбце "Выгрузка из bCad" будет произведена полная замена значения на соответствующее из столбика "Соответствие". Если поле "Соответствие" будет пусто, то замена не будет произведена. Деталь при этом не удаляется из деталировки</t>
  </si>
  <si>
    <t>НАЧАЛО ЗАГОТОВОК ДЛЯ ДЕТАЛИРОВКИ</t>
  </si>
  <si>
    <t>КОНЕЦ ЗАГОТОВОК ДЛЯ ДЕТАЛИРОВКИ</t>
  </si>
  <si>
    <t>ЛИСТОВЫЕ</t>
  </si>
  <si>
    <t>Инструкция:</t>
  </si>
  <si>
    <t>Ед. изм.</t>
  </si>
  <si>
    <t>Расход</t>
  </si>
  <si>
    <t>Вначале идут заголовки. Они обязательно должны заканчиваться фразой "Конец заголовков"</t>
  </si>
  <si>
    <r>
      <t xml:space="preserve">Заголовок состоит из двух строк. Верхняя может содержать данные лишь в ячейке "А" и </t>
    </r>
    <r>
      <rPr>
        <b/>
        <sz val="11"/>
        <color theme="1"/>
        <rFont val="Calibri"/>
        <family val="2"/>
        <charset val="204"/>
        <scheme val="minor"/>
      </rPr>
      <t>не</t>
    </r>
    <r>
      <rPr>
        <sz val="11"/>
        <color theme="1"/>
        <rFont val="Calibri"/>
        <family val="2"/>
        <charset val="204"/>
        <scheme val="minor"/>
      </rPr>
      <t xml:space="preserve"> содержать данных в ячейках "В" и "С" (иначе алгоритм не распознает его как заголовок). Нижняя строка заголовка может содержать любые данные</t>
    </r>
  </si>
  <si>
    <t>ОБЛИЦОВКА</t>
  </si>
  <si>
    <t>За фразой "Конец заголовков" могут идти доп. блоки</t>
  </si>
  <si>
    <t>КРОМКА</t>
  </si>
  <si>
    <t>Длина м.</t>
  </si>
  <si>
    <r>
      <t xml:space="preserve">Блок </t>
    </r>
    <r>
      <rPr>
        <b/>
        <sz val="11"/>
        <color theme="1"/>
        <rFont val="Calibri"/>
        <family val="2"/>
        <charset val="204"/>
        <scheme val="minor"/>
      </rPr>
      <t>"Таблица замены"</t>
    </r>
    <r>
      <rPr>
        <sz val="11"/>
        <color theme="1"/>
        <rFont val="Calibri"/>
        <family val="2"/>
        <charset val="204"/>
        <scheme val="minor"/>
      </rPr>
      <t xml:space="preserve"> должен быть последним. Всё, что будет в этом блоке. В этом блоке в столбике "А" не должно быть пустых строк. Пустые строки могут быть в столбике "В" - при этом значение не будет загружаться в Склад</t>
    </r>
  </si>
  <si>
    <t>ФУРНИТУРА</t>
  </si>
  <si>
    <t>Название</t>
  </si>
  <si>
    <t>Ед.изм</t>
  </si>
  <si>
    <t>Кол.</t>
  </si>
  <si>
    <t>РАСКРОЙ ПРОФИЛЬНЫХ ДЕТАЛЕЙ</t>
  </si>
  <si>
    <t>Длина мм.</t>
  </si>
  <si>
    <t>Конец заголовков</t>
  </si>
  <si>
    <t>Перенос-&gt;ОБЛИЦОВКА-&gt;ЛИСТОВЫЕ</t>
  </si>
  <si>
    <t>камень</t>
  </si>
  <si>
    <t>пластик</t>
  </si>
  <si>
    <t>Конец Перенос-&gt;ОБЛИЦОВКА-&gt;ЛИСТОВЫЕ</t>
  </si>
  <si>
    <t>НАЧАЛО ЗАГОТОВОК ДЛЯ СКЛАДА</t>
  </si>
  <si>
    <t>КОНЕЦ ЗАГОТОВОК ДЛЯ СКЛАДА</t>
  </si>
  <si>
    <r>
      <t>Блок "</t>
    </r>
    <r>
      <rPr>
        <b/>
        <sz val="11"/>
        <color theme="1"/>
        <rFont val="Calibri"/>
        <family val="2"/>
        <charset val="204"/>
        <scheme val="minor"/>
      </rPr>
      <t xml:space="preserve">Перенос" </t>
    </r>
    <r>
      <rPr>
        <sz val="11"/>
        <color theme="1"/>
        <rFont val="Calibri"/>
        <family val="2"/>
        <charset val="204"/>
        <scheme val="minor"/>
      </rPr>
      <t xml:space="preserve">позволяет перенести данные из одного блока склада в другой. Блок обязательно должен содержать служебные метки начала и конца и обязательно должен находиться после Заголовков для склада. Синтаксис таков </t>
    </r>
    <r>
      <rPr>
        <b/>
        <sz val="11"/>
        <color theme="1"/>
        <rFont val="Calibri"/>
        <family val="2"/>
        <charset val="204"/>
        <scheme val="minor"/>
      </rPr>
      <t>Перенос-&gt;</t>
    </r>
    <r>
      <rPr>
        <sz val="11"/>
        <color theme="1"/>
        <rFont val="Calibri"/>
        <family val="2"/>
        <charset val="204"/>
        <scheme val="minor"/>
      </rPr>
      <t>[откуда_переносить]</t>
    </r>
    <r>
      <rPr>
        <b/>
        <sz val="11"/>
        <color theme="1"/>
        <rFont val="Calibri"/>
        <family val="2"/>
        <charset val="204"/>
        <scheme val="minor"/>
      </rPr>
      <t>-&gt;</t>
    </r>
    <r>
      <rPr>
        <sz val="11"/>
        <color theme="1"/>
        <rFont val="Calibri"/>
        <family val="2"/>
        <charset val="204"/>
        <scheme val="minor"/>
      </rPr>
      <t>[куда_переносить]. Начальное слово Перенос со стрелочкой является служебным</t>
    </r>
  </si>
  <si>
    <t>ЛДСП Lamarty 2750*1830*16 Белый б/к</t>
  </si>
  <si>
    <t>XДФ 2800*2070*4 Белый б/к</t>
  </si>
  <si>
    <t>Из файла загружаются лишь те записи, которые не были найдены здесь</t>
  </si>
  <si>
    <t>Приоритетными считаются записи из таблицы. Если будут найдены одинаковые записи в файле и в таблице, то в файле записи будут перезаписаны записями из таблицы</t>
  </si>
  <si>
    <t>C:/bCADExtensions/table.txt</t>
  </si>
  <si>
    <t>камень Akrilika M-608 Seashell 3660*760*12 б/к</t>
  </si>
  <si>
    <t>ЛМДФ 2800*2070*16 Белый 1 ст. б/к</t>
  </si>
  <si>
    <t>ЛМДФ 2800*2070*19 Белый 2 ст. б/к</t>
  </si>
  <si>
    <t>склейка ДСП 2750*1830*26 шлиф. б/к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</si>
</sst>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charset val="204"/>
      <scheme val="minor"/>
    </font>
    <font>
      <sz val="10"/>
      <name val="Arial"/>
      <family val="2"/>
      <charset val="204"/>
    </font>
    <font>
      <b/>
      <sz val="11"/>
      <color theme="1"/>
      <name val="Calibri"/>
      <family val="2"/>
      <charset val="204"/>
      <scheme val="minor"/>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14"/>
      <color theme="1"/>
      <name val="Calibri"/>
      <family val="2"/>
      <charset val="204"/>
      <scheme val="minor"/>
    </font>
    <font>
      <b/>
      <sz val="9"/>
      <color theme="1"/>
      <name val="Calibri"/>
      <family val="2"/>
      <charset val="204"/>
      <scheme val="minor"/>
    </font>
    <font>
      <sz val="11"/>
      <color theme="1"/>
      <name val="Calibri"/>
      <family val="2"/>
      <charset val="204"/>
    </font>
    <font>
      <b/>
      <sz val="9"/>
      <color indexed="81"/>
      <name val="Tahoma"/>
      <family val="2"/>
      <charset val="204"/>
    </font>
    <font>
      <sz val="8"/>
      <name val="Calibri"/>
      <family val="2"/>
      <charset val="204"/>
      <scheme val="minor"/>
    </font>
    <font>
      <b/>
      <sz val="10"/>
      <color theme="1"/>
      <name val="Calibri"/>
      <family val="2"/>
      <charset val="204"/>
      <scheme val="minor"/>
    </font>
    <font>
      <b/>
      <sz val="12"/>
      <color theme="1"/>
      <name val="Calibri"/>
      <family val="2"/>
      <charset val="204"/>
      <scheme val="minor"/>
    </font>
    <font>
      <i/>
      <sz val="11"/>
      <color theme="1"/>
      <name val="Calibri"/>
      <family val="2"/>
      <charset val="204"/>
      <scheme val="minor"/>
    </font>
    <font>
      <b/>
      <i/>
      <sz val="11"/>
      <color theme="1"/>
      <name val="Calibri"/>
      <family val="2"/>
      <charset val="204"/>
      <scheme val="minor"/>
    </font>
    <font>
      <b/>
      <sz val="11"/>
      <name val="Arial"/>
      <family val="2"/>
      <charset val="204"/>
    </font>
    <font>
      <b/>
      <sz val="16"/>
      <color theme="1"/>
      <name val="Calibri"/>
      <family val="2"/>
      <charset val="204"/>
      <scheme val="minor"/>
    </font>
  </fonts>
  <fills count="3">
    <fill>
      <patternFill patternType="none"/>
    </fill>
    <fill>
      <patternFill patternType="gray125"/>
    </fill>
    <fill>
      <patternFill patternType="solid">
        <fgColor rgb="FFCC9900"/>
        <bgColor indexed="64"/>
      </patternFill>
    </fill>
  </fills>
  <borders count="8">
    <border>
      <left/>
      <right/>
      <top/>
      <bottom/>
      <diagonal/>
    </border>
    <border>
      <left style="thin">
        <color indexed="64"/>
      </left>
      <right style="thin">
        <color auto="1"/>
      </right>
      <top style="thin">
        <color auto="1"/>
      </top>
      <bottom style="thin">
        <color auto="1"/>
      </bottom>
      <diagonal/>
    </border>
    <border>
      <left style="thin">
        <color theme="0" tint="-4.9989318521683403E-2"/>
      </left>
      <right style="thin">
        <color theme="0" tint="-4.9989318521683403E-2"/>
      </right>
      <top/>
      <bottom style="thin">
        <color theme="0" tint="-4.9989318521683403E-2"/>
      </bottom>
      <diagonal/>
    </border>
    <border>
      <left style="thin">
        <color indexed="64"/>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style="thin">
        <color indexed="64"/>
      </bottom>
      <diagonal/>
    </border>
    <border>
      <left/>
      <right/>
      <top style="thin">
        <color indexed="64"/>
      </top>
      <bottom/>
      <diagonal/>
    </border>
    <border>
      <left style="thin">
        <color indexed="64"/>
      </left>
      <right style="thin">
        <color auto="1"/>
      </right>
      <top style="thin">
        <color auto="1"/>
      </top>
      <bottom/>
      <diagonal/>
    </border>
  </borders>
  <cellStyleXfs count="2">
    <xf numFmtId="0" fontId="0" fillId="0" borderId="0"/>
    <xf numFmtId="0" fontId="1" fillId="0" borderId="0"/>
  </cellStyleXfs>
  <cellXfs count="84">
    <xf numFmtId="0" fontId="0" fillId="0" borderId="0" xfId="0"/>
    <xf numFmtId="0" fontId="6" fillId="0" borderId="0" xfId="0" applyFont="1"/>
    <xf numFmtId="0" fontId="2" fillId="0" borderId="0" xfId="0" applyFont="1"/>
    <xf numFmtId="0" fontId="2" fillId="0" borderId="1" xfId="0" applyFont="1" applyBorder="1"/>
    <xf numFmtId="0" fontId="2" fillId="0" borderId="3" xfId="0" applyFont="1" applyBorder="1"/>
    <xf numFmtId="0" fontId="2" fillId="0" borderId="5" xfId="0" applyFont="1" applyBorder="1"/>
    <xf numFmtId="0" fontId="2" fillId="0" borderId="5" xfId="0" applyFont="1" applyBorder="1" applyAlignment="1">
      <alignment horizontal="right"/>
    </xf>
    <xf numFmtId="0" fontId="2" fillId="0" borderId="3" xfId="0" applyFont="1" applyBorder="1" applyAlignment="1">
      <alignment horizontal="left"/>
    </xf>
    <xf numFmtId="0" fontId="2" fillId="0" borderId="4" xfId="0" applyFont="1" applyBorder="1"/>
    <xf numFmtId="0" fontId="0" fillId="0" borderId="2" xfId="0" applyBorder="1" applyAlignment="1">
      <alignment vertical="center"/>
    </xf>
    <xf numFmtId="0" fontId="2" fillId="0" borderId="2" xfId="0" applyFont="1" applyBorder="1" applyAlignment="1">
      <alignment vertical="center"/>
    </xf>
    <xf numFmtId="49" fontId="4" fillId="0" borderId="2" xfId="0" applyNumberFormat="1" applyFont="1" applyBorder="1" applyAlignment="1">
      <alignment vertical="center"/>
    </xf>
    <xf numFmtId="0" fontId="7" fillId="0" borderId="2" xfId="0" applyFont="1" applyBorder="1" applyAlignment="1">
      <alignment vertical="center"/>
    </xf>
    <xf numFmtId="0" fontId="0" fillId="0" borderId="0" xfId="0" applyAlignment="1">
      <alignment vertical="center"/>
    </xf>
    <xf numFmtId="1" fontId="2" fillId="0" borderId="2" xfId="0" applyNumberFormat="1" applyFont="1" applyBorder="1" applyAlignment="1">
      <alignment vertical="center"/>
    </xf>
    <xf numFmtId="0" fontId="4" fillId="0" borderId="2" xfId="0" applyFont="1" applyBorder="1" applyAlignment="1">
      <alignment vertical="center"/>
    </xf>
    <xf numFmtId="0" fontId="2" fillId="0" borderId="6" xfId="0" applyFont="1" applyBorder="1"/>
    <xf numFmtId="49" fontId="0" fillId="0" borderId="0" xfId="0" applyNumberFormat="1"/>
    <xf numFmtId="0" fontId="0" fillId="0" borderId="1" xfId="0" applyBorder="1"/>
    <xf numFmtId="0" fontId="8" fillId="0" borderId="0" xfId="0" applyFont="1"/>
    <xf numFmtId="0" fontId="5" fillId="0" borderId="0" xfId="0" applyFont="1" applyAlignment="1">
      <alignment horizontal="right"/>
    </xf>
    <xf numFmtId="0" fontId="2" fillId="0" borderId="7" xfId="0" applyFont="1" applyBorder="1"/>
    <xf numFmtId="1" fontId="0" fillId="0" borderId="1" xfId="0" applyNumberFormat="1" applyBorder="1"/>
    <xf numFmtId="49" fontId="0" fillId="0" borderId="1" xfId="0" applyNumberFormat="1" applyBorder="1"/>
    <xf numFmtId="1" fontId="0" fillId="0" borderId="0" xfId="0" applyNumberFormat="1"/>
    <xf numFmtId="0" fontId="2" fillId="0" borderId="0" xfId="0" applyFont="1" applyAlignment="1">
      <alignment vertical="center"/>
    </xf>
    <xf numFmtId="0" fontId="0" fillId="0" borderId="1" xfId="0" applyNumberFormat="1" applyBorder="1"/>
    <xf numFmtId="0" fontId="0" fillId="0" borderId="0" xfId="0"/>
    <xf numFmtId="0" fontId="7" fillId="0" borderId="2" xfId="0" applyFont="1" applyBorder="1" applyAlignment="1">
      <alignment vertical="center" wrapText="1"/>
    </xf>
    <xf numFmtId="0" fontId="0" fillId="2" borderId="0" xfId="0" applyFill="1"/>
    <xf numFmtId="0" fontId="0" fillId="0" borderId="0" xfId="0"/>
    <xf numFmtId="0" fontId="12" fillId="0" borderId="0" xfId="0" applyFont="1"/>
    <xf numFmtId="0" fontId="0" fillId="0" borderId="2" xfId="0" applyBorder="1" applyAlignment="1">
      <alignment vertical="center" wrapText="1"/>
    </xf>
    <xf numFmtId="1" fontId="2" fillId="0" borderId="0" xfId="0" applyNumberFormat="1" applyFont="1" applyAlignment="1">
      <alignment vertical="center"/>
    </xf>
    <xf numFmtId="0" fontId="0" fillId="0" borderId="0" xfId="0" applyAlignment="1">
      <alignment vertical="center" wrapText="1"/>
    </xf>
    <xf numFmtId="49" fontId="4" fillId="0" borderId="0" xfId="0" applyNumberFormat="1" applyFont="1" applyAlignment="1">
      <alignment vertical="center"/>
    </xf>
    <xf numFmtId="0" fontId="7" fillId="0" borderId="0" xfId="0" applyFont="1" applyAlignment="1">
      <alignment vertical="center"/>
    </xf>
    <xf numFmtId="0" fontId="4" fillId="0" borderId="0" xfId="0" applyFont="1" applyAlignment="1">
      <alignment vertical="center"/>
    </xf>
    <xf numFmtId="0" fontId="13" fillId="0" borderId="0" xfId="0" applyFont="1"/>
    <xf numFmtId="0" fontId="14" fillId="0" borderId="3" xfId="0" applyFont="1" applyBorder="1"/>
    <xf numFmtId="0" fontId="14" fillId="0" borderId="5" xfId="0" applyFont="1" applyBorder="1"/>
    <xf numFmtId="0" fontId="13" fillId="0" borderId="2" xfId="0" applyFont="1" applyBorder="1" applyAlignment="1">
      <alignment vertical="center"/>
    </xf>
    <xf numFmtId="0" fontId="13" fillId="0" borderId="0" xfId="0" applyFont="1" applyAlignment="1">
      <alignment vertical="center"/>
    </xf>
    <xf numFmtId="0" fontId="13" fillId="0" borderId="4" xfId="0" applyFont="1" applyBorder="1"/>
    <xf numFmtId="0" fontId="14" fillId="0" borderId="4" xfId="0" applyFont="1" applyBorder="1"/>
    <xf numFmtId="0" fontId="14" fillId="0" borderId="0" xfId="0" applyFont="1" applyAlignment="1">
      <alignment horizontal="right" vertical="center"/>
    </xf>
    <xf numFmtId="0" fontId="13" fillId="0" borderId="5" xfId="0" applyFont="1" applyBorder="1"/>
    <xf numFmtId="0" fontId="13" fillId="0" borderId="2" xfId="0" applyFont="1" applyBorder="1" applyAlignment="1">
      <alignment horizontal="center" vertical="center"/>
    </xf>
    <xf numFmtId="1"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center" vertical="center"/>
    </xf>
    <xf numFmtId="49" fontId="4" fillId="0" borderId="2" xfId="0" applyNumberFormat="1" applyFont="1" applyBorder="1" applyAlignment="1">
      <alignment horizontal="center" vertical="center"/>
    </xf>
    <xf numFmtId="0" fontId="4" fillId="0" borderId="2" xfId="0" applyFont="1" applyBorder="1" applyAlignment="1">
      <alignment horizontal="center" vertical="center"/>
    </xf>
    <xf numFmtId="49" fontId="4" fillId="0" borderId="2" xfId="0" applyNumberFormat="1" applyFont="1" applyFill="1" applyBorder="1" applyAlignment="1">
      <alignment horizontal="center" vertical="center"/>
    </xf>
    <xf numFmtId="0" fontId="13" fillId="0" borderId="2" xfId="0" applyFont="1" applyFill="1" applyBorder="1" applyAlignment="1">
      <alignment horizontal="center" vertical="center"/>
    </xf>
    <xf numFmtId="0" fontId="2" fillId="0" borderId="0" xfId="0" applyFont="1" applyBorder="1"/>
    <xf numFmtId="0" fontId="0" fillId="0" borderId="0" xfId="0" applyBorder="1"/>
    <xf numFmtId="0" fontId="14" fillId="0" borderId="1" xfId="0" applyFont="1" applyBorder="1" applyAlignment="1">
      <alignment horizontal="right"/>
    </xf>
    <xf numFmtId="0" fontId="11" fillId="0" borderId="1" xfId="0" applyFont="1" applyBorder="1" applyAlignment="1">
      <alignment horizontal="left"/>
    </xf>
    <xf numFmtId="0" fontId="13" fillId="0" borderId="1" xfId="0" applyFont="1" applyBorder="1"/>
    <xf numFmtId="0" fontId="14" fillId="0" borderId="5" xfId="0" applyFont="1" applyBorder="1" applyAlignment="1">
      <alignment horizontal="right"/>
    </xf>
    <xf numFmtId="0" fontId="11" fillId="0" borderId="5" xfId="0" applyFont="1" applyBorder="1" applyAlignment="1">
      <alignment horizontal="left"/>
    </xf>
    <xf numFmtId="0" fontId="13" fillId="0" borderId="5" xfId="0" applyFont="1" applyBorder="1" applyAlignment="1">
      <alignment horizontal="right"/>
    </xf>
    <xf numFmtId="0" fontId="0" fillId="0" borderId="5" xfId="0" applyBorder="1" applyAlignment="1">
      <alignment horizontal="left"/>
    </xf>
    <xf numFmtId="49" fontId="15" fillId="0" borderId="0" xfId="0" applyNumberFormat="1" applyFont="1" applyAlignment="1">
      <alignment horizont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2" fillId="0" borderId="5" xfId="0" applyFont="1" applyBorder="1" applyAlignment="1">
      <alignment horizontal="center" vertical="center"/>
    </xf>
    <xf numFmtId="0" fontId="14" fillId="0" borderId="4" xfId="0" applyFont="1" applyBorder="1" applyAlignment="1">
      <alignment horizontal="center" vertical="center"/>
    </xf>
    <xf numFmtId="0" fontId="2" fillId="0" borderId="4" xfId="0" applyFont="1" applyBorder="1" applyAlignment="1">
      <alignment horizontal="center" vertical="center"/>
    </xf>
    <xf numFmtId="49" fontId="14" fillId="0" borderId="0" xfId="0" applyNumberFormat="1" applyFont="1" applyAlignment="1">
      <alignment horizontal="center"/>
    </xf>
    <xf numFmtId="49" fontId="0" fillId="0" borderId="0" xfId="0" applyNumberFormat="1" applyAlignment="1">
      <alignment horizontal="left"/>
    </xf>
    <xf numFmtId="49" fontId="2" fillId="0" borderId="0" xfId="0" applyNumberFormat="1" applyFont="1"/>
    <xf numFmtId="2" fontId="0" fillId="0" borderId="0" xfId="0" applyNumberFormat="1" applyAlignment="1">
      <alignment horizontal="center"/>
    </xf>
    <xf numFmtId="2" fontId="2" fillId="0" borderId="0" xfId="0" applyNumberFormat="1" applyFont="1" applyAlignment="1">
      <alignment horizontal="center"/>
    </xf>
    <xf numFmtId="9" fontId="14" fillId="0" borderId="0" xfId="0" applyNumberFormat="1" applyFont="1" applyAlignment="1">
      <alignment horizontal="center"/>
    </xf>
    <xf numFmtId="0" fontId="2" fillId="0" borderId="0" xfId="0" applyFont="1" applyAlignment="1">
      <alignment horizontal="center"/>
    </xf>
    <xf numFmtId="0" fontId="16" fillId="0" borderId="0" xfId="0" applyFont="1"/>
    <xf numFmtId="0" fontId="0" fillId="0" borderId="1" xfId="0" applyFont="1" applyBorder="1"/>
    <xf numFmtId="0" fontId="0" fillId="0" borderId="3" xfId="0" applyFont="1" applyBorder="1"/>
    <xf numFmtId="0" fontId="0" fillId="0" borderId="0" xfId="0" applyAlignment="1">
      <alignment horizontal="center"/>
    </xf>
    <xf numFmtId="49" fontId="15" fillId="0" borderId="1" xfId="0" applyNumberFormat="1" applyFont="1" applyBorder="1" applyAlignment="1">
      <alignment horizontal="center"/>
    </xf>
  </cellXfs>
  <cellStyles count="2">
    <cellStyle name="Обычный" xfId="0" builtinId="0"/>
    <cellStyle name="Обычный 3" xfId="1" xr:uid="{00000000-0005-0000-0000-000001000000}"/>
  </cellStyles>
  <dxfs count="212">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
      <fill>
        <patternFill>
          <fgColor indexed="64"/>
          <bgColor rgb="FFFFFF99"/>
        </patternFill>
      </fill>
    </dxf>
    <dxf>
      <fill>
        <patternFill>
          <fgColor indexed="64"/>
          <bgColor rgb="FFFFFF99"/>
        </patternFill>
      </fill>
    </dxf>
    <dxf>
      <fill>
        <patternFill>
          <fgColor indexed="64"/>
          <bgColor rgb="FFFFFF99"/>
        </patternFill>
      </fill>
    </dxf>
    <dxf>
      <fill>
        <patternFill>
          <fgColor indexed="64"/>
          <bgColor rgb="FFFFFF99"/>
        </patternFill>
      </fill>
    </dxf>
    <dxf>
      <font>
        <u/>
      </font>
    </dxf>
    <dxf>
      <font>
        <u val="double"/>
      </font>
    </dxf>
    <dxf>
      <font>
        <u/>
      </font>
    </dxf>
    <dxf>
      <font>
        <u val="double"/>
      </font>
    </dxf>
  </dxfs>
  <tableStyles count="0" defaultTableStyle="TableStyleMedium9" defaultPivotStyle="PivotStyleLight16"/>
  <colors>
    <mruColors>
      <color rgb="FFFFFF99"/>
      <color rgb="FFCC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52</xdr:row>
          <xdr:rowOff>152400</xdr:rowOff>
        </xdr:from>
        <xdr:to>
          <xdr:col>4</xdr:col>
          <xdr:colOff>419100</xdr:colOff>
          <xdr:row>54</xdr:row>
          <xdr:rowOff>161925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0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Синхронизация Таблицы Замены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0</xdr:row>
          <xdr:rowOff>180975</xdr:rowOff>
        </xdr:from>
        <xdr:to>
          <xdr:col>15</xdr:col>
          <xdr:colOff>1666875</xdr:colOff>
          <xdr:row>1</xdr:row>
          <xdr:rowOff>228600</xdr:rowOff>
        </xdr:to>
        <xdr:sp macro="" textlink="">
          <xdr:nvSpPr>
            <xdr:cNvPr id="44020" name="Button 1012" hidden="1">
              <a:extLst>
                <a:ext uri="{63B3BB69-23CF-44E3-9099-C40C66FF867C}">
                  <a14:compatExt spid="_x0000_s44020"/>
                </a:ext>
                <a:ext uri="{FF2B5EF4-FFF2-40B4-BE49-F238E27FC236}">
                  <a16:creationId xmlns:a16="http://schemas.microsoft.com/office/drawing/2014/main" id="{00000000-0008-0000-0100-0000F4AB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uk-UA" sz="1100" b="0" i="0" u="none" strike="noStrike" baseline="0">
                  <a:solidFill>
                    <a:srgbClr val="000000"/>
                  </a:solidFill>
                  <a:latin typeface="Calibri"/>
                </a:rPr>
                <a:t>Панель инструментов</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33832-2D9D-4554-840F-EF180AB81780}">
  <sheetPr codeName="Лист1"/>
  <dimension ref="A1:AI249"/>
  <sheetViews>
    <sheetView topLeftCell="A34" workbookViewId="0">
      <selection activeCell="A55" sqref="A55"/>
    </sheetView>
  </sheetViews>
  <sheetFormatPr defaultRowHeight="15" x14ac:dyDescent="0.25"/>
  <cols>
    <col min="1" max="1" width="50.85546875" customWidth="1"/>
    <col min="2" max="2" width="52" customWidth="1"/>
  </cols>
  <sheetData>
    <row r="1" spans="1:29" s="27" customFormat="1" x14ac:dyDescent="0.25">
      <c r="A1" s="30" t="s">
        <v>42</v>
      </c>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row>
    <row r="2" spans="1:29" ht="18.75" x14ac:dyDescent="0.3">
      <c r="A2" s="1" t="s">
        <v>61</v>
      </c>
      <c r="B2" s="30"/>
      <c r="C2" s="30"/>
      <c r="D2" s="30"/>
      <c r="E2" s="30"/>
      <c r="F2" s="30"/>
      <c r="G2" s="30"/>
      <c r="H2" s="30"/>
      <c r="I2" s="30"/>
      <c r="J2" s="30"/>
      <c r="K2" s="30"/>
      <c r="L2" s="30"/>
      <c r="M2" s="30"/>
      <c r="N2" s="30"/>
      <c r="O2" s="30"/>
      <c r="P2" s="30"/>
      <c r="Q2" s="30"/>
      <c r="R2" s="30"/>
      <c r="S2" s="30"/>
      <c r="T2" s="30"/>
      <c r="U2" s="30"/>
      <c r="V2" s="30"/>
      <c r="W2" s="30"/>
      <c r="X2" s="30"/>
      <c r="Y2" s="30"/>
      <c r="Z2" s="30"/>
      <c r="AA2" s="30"/>
      <c r="AB2" s="30"/>
      <c r="AC2" s="30"/>
    </row>
    <row r="3" spans="1:29" x14ac:dyDescent="0.25">
      <c r="A3" s="30"/>
      <c r="B3" s="30"/>
      <c r="C3" s="30"/>
      <c r="D3" s="30"/>
      <c r="E3" s="30"/>
      <c r="F3" s="30"/>
      <c r="G3" s="30"/>
      <c r="H3" s="30"/>
      <c r="I3" s="30"/>
      <c r="J3" s="30"/>
      <c r="K3" s="30"/>
      <c r="L3" s="30"/>
      <c r="M3" s="30"/>
      <c r="N3" s="30"/>
      <c r="O3" s="30"/>
      <c r="P3" s="30"/>
      <c r="Q3" s="30"/>
      <c r="R3" s="30"/>
      <c r="S3" s="30"/>
      <c r="T3" s="30"/>
      <c r="U3" s="30"/>
      <c r="V3" s="30"/>
      <c r="W3" s="30"/>
      <c r="X3" s="30"/>
      <c r="Y3" s="30"/>
      <c r="Z3" s="30"/>
      <c r="AA3" s="30"/>
      <c r="AB3" s="30"/>
      <c r="AC3" s="30"/>
    </row>
    <row r="4" spans="1:29" x14ac:dyDescent="0.25">
      <c r="A4" s="2" t="s">
        <v>38</v>
      </c>
      <c r="B4" s="30"/>
      <c r="C4" s="30"/>
      <c r="D4" s="30"/>
      <c r="E4" s="30"/>
      <c r="F4" s="30"/>
      <c r="G4" s="30"/>
      <c r="H4" s="30"/>
      <c r="I4" s="30"/>
      <c r="J4" s="30"/>
      <c r="K4" s="30"/>
      <c r="L4" s="30"/>
      <c r="M4" s="30"/>
      <c r="N4" s="30"/>
      <c r="O4" s="30"/>
      <c r="P4" s="30"/>
      <c r="Q4" s="30"/>
      <c r="R4" s="30"/>
      <c r="S4" s="30"/>
      <c r="T4" s="30"/>
      <c r="U4" s="30"/>
      <c r="V4" s="30"/>
      <c r="W4" s="30"/>
      <c r="X4" s="30"/>
      <c r="Y4" s="30"/>
      <c r="Z4" s="30"/>
      <c r="AA4" s="30"/>
      <c r="AB4" s="30"/>
      <c r="AC4" s="30"/>
    </row>
    <row r="5" spans="1:29" x14ac:dyDescent="0.25">
      <c r="A5" s="9" t="str">
        <f>CONCATENATE(O5,".",LEFT(J5))</f>
        <v>.0</v>
      </c>
      <c r="B5" s="32" t="str">
        <f>CONCATENATE(IF(OR(Y5="Не определена",Y5,ISBLANK(Y5)),"↕",),IF(Y5="Не обязательна","±",),Q5,".",P5)</f>
        <v>↕.</v>
      </c>
      <c r="C5" s="47"/>
      <c r="D5" s="47"/>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47"/>
      <c r="H5" s="47"/>
      <c r="I5" s="49">
        <f>IF(OR(M5="скрутка",M5="склейка"),Z5*2,Z5)</f>
        <v>0</v>
      </c>
      <c r="J5" s="51">
        <f>X5</f>
        <v>0</v>
      </c>
      <c r="K5" s="52" t="str">
        <f t="shared" ref="K5:L5" si="0">IF(ISBLANK(AB5),"",AB5)</f>
        <v/>
      </c>
      <c r="L5" s="52" t="str">
        <f t="shared" si="0"/>
        <v/>
      </c>
      <c r="M5" s="51" t="str">
        <f>IF(AA5="","",AA5)</f>
        <v/>
      </c>
      <c r="N5" s="30" t="str">
        <f>CONCATENATE(IF(E5&lt;&gt;T5,"НеРавны",),IF(AND(NOT(ISBLANK(R5)),R5&lt;&gt;T5),"Д",),IF(AND(NOT(ISBLANK(S5)),S5&lt;&gt;U5),"Ш",))</f>
        <v/>
      </c>
      <c r="O5" s="22"/>
      <c r="P5" s="18"/>
      <c r="Q5" s="18"/>
      <c r="R5" s="18"/>
      <c r="S5" s="18"/>
      <c r="T5" s="3"/>
      <c r="U5" s="3"/>
      <c r="V5" s="23"/>
      <c r="W5" s="23"/>
      <c r="X5" s="18"/>
      <c r="Y5" s="18"/>
      <c r="Z5" s="18"/>
      <c r="AA5" s="18"/>
      <c r="AB5" s="18"/>
      <c r="AC5" s="18"/>
    </row>
    <row r="6" spans="1:29" x14ac:dyDescent="0.25">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row>
    <row r="7" spans="1:29" x14ac:dyDescent="0.25">
      <c r="A7" s="30"/>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row>
    <row r="8" spans="1:29" x14ac:dyDescent="0.25">
      <c r="A8" s="30"/>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row>
    <row r="9" spans="1:29" x14ac:dyDescent="0.25">
      <c r="A9" s="2" t="s">
        <v>41</v>
      </c>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row>
    <row r="10" spans="1:29" x14ac:dyDescent="0.25">
      <c r="A10" s="3"/>
      <c r="B10" s="4"/>
      <c r="C10" s="46"/>
      <c r="D10" s="62"/>
      <c r="E10" s="63"/>
      <c r="F10" s="5"/>
      <c r="G10" s="43"/>
      <c r="H10" s="59"/>
      <c r="I10" s="18"/>
      <c r="J10" s="3"/>
      <c r="K10" s="3"/>
      <c r="L10" s="55"/>
      <c r="M10" s="56"/>
      <c r="N10" s="30"/>
      <c r="O10" s="30"/>
      <c r="P10" s="30"/>
      <c r="Q10" s="30"/>
      <c r="R10" s="30"/>
      <c r="S10" s="30"/>
      <c r="T10" s="30"/>
      <c r="U10" s="30"/>
      <c r="V10" s="30"/>
      <c r="W10" s="30"/>
      <c r="X10" s="30"/>
      <c r="Y10" s="30"/>
      <c r="Z10" s="30"/>
      <c r="AA10" s="30"/>
      <c r="AB10" s="30"/>
      <c r="AC10" s="30"/>
    </row>
    <row r="11" spans="1:29" x14ac:dyDescent="0.25">
      <c r="A11" s="30"/>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row>
    <row r="12" spans="1:29" x14ac:dyDescent="0.25">
      <c r="A12" s="30"/>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row>
    <row r="13" spans="1:29" x14ac:dyDescent="0.25">
      <c r="A13" s="30"/>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row>
    <row r="14" spans="1:29" x14ac:dyDescent="0.25">
      <c r="A14" s="2" t="s">
        <v>39</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row>
    <row r="15" spans="1:29" x14ac:dyDescent="0.25">
      <c r="A15" s="9" t="str">
        <f>CONCATENATE(O15,".",LEFT(J15))</f>
        <v>.0</v>
      </c>
      <c r="B15" s="9"/>
      <c r="C15" s="9"/>
      <c r="D15" s="14">
        <f>IF(M15="скрутка",T15+$Q$1,IF(M15="склейка",T15+$Q$1,IF(M15="запил торца",ROUND(T15+$P$1,0),IF(M15="запил торцов",ROUND(T15+$P$1*2,0),T15))))+IF(F15=$O$1,$P$1,)+IF(G15=$O$1,$P$1,)</f>
        <v>0</v>
      </c>
      <c r="E15" s="14">
        <f>IF(M15="скрутка",U15+$Q$1,IF(M15="склейка",U15+$Q$1,IF(M15="запил торца",ROUND(U15+$P$1,0),IF(M15="запил торцов",ROUND(U15+$P$1*2,0),U15))))+IF(B15=$O$1,$P$1,)+IF(C15=$O$1,$P$1,)</f>
        <v>0</v>
      </c>
      <c r="F15" s="9"/>
      <c r="G15" s="9"/>
      <c r="H15" s="10">
        <f>IF(OR(M15="скрутка",M15="склейка"),Z15*2,Z15)</f>
        <v>0</v>
      </c>
      <c r="I15" s="32" t="str">
        <f>CONCATENATE(IF(OR(Y15="Не определена",Y15,ISBLANK(Y15)),"↕",),IF(Y15="Не обязательна","±",),P15,"_",Q15)</f>
        <v>↕_</v>
      </c>
      <c r="J15" s="11">
        <f>X15</f>
        <v>0</v>
      </c>
      <c r="K15" s="32"/>
      <c r="L15" s="32"/>
      <c r="M15" s="28" t="str">
        <f>IF(AA15="","",AA15)</f>
        <v/>
      </c>
      <c r="N15" s="30" t="str">
        <f>CONCATENATE(IF(D15&lt;&gt;T15,"НеРавны",),IF(AND(NOT(ISBLANK(R15)),R15&lt;&gt;T15),"Д",),IF(AND(NOT(ISBLANK(S15)),S15&lt;&gt;U15),"Ш",))</f>
        <v/>
      </c>
      <c r="O15" s="22"/>
      <c r="P15" s="18"/>
      <c r="Q15" s="18"/>
      <c r="R15" s="18"/>
      <c r="S15" s="18"/>
      <c r="T15" s="3"/>
      <c r="U15" s="3"/>
      <c r="V15" s="23"/>
      <c r="W15" s="23"/>
      <c r="X15" s="18"/>
      <c r="Y15" s="18"/>
      <c r="Z15" s="18"/>
      <c r="AA15" s="18"/>
      <c r="AB15" s="30"/>
      <c r="AC15" s="30"/>
    </row>
    <row r="17" spans="1:6" ht="18.75" x14ac:dyDescent="0.3">
      <c r="A17" s="1" t="s">
        <v>62</v>
      </c>
      <c r="B17" s="2" t="s">
        <v>43</v>
      </c>
    </row>
    <row r="18" spans="1:6" ht="15.75" x14ac:dyDescent="0.25">
      <c r="B18" s="31" t="s">
        <v>45</v>
      </c>
    </row>
    <row r="19" spans="1:6" x14ac:dyDescent="0.25">
      <c r="B19" t="s">
        <v>46</v>
      </c>
    </row>
    <row r="20" spans="1:6" ht="15.75" x14ac:dyDescent="0.25">
      <c r="B20" s="31" t="s">
        <v>44</v>
      </c>
    </row>
    <row r="21" spans="1:6" x14ac:dyDescent="0.25">
      <c r="B21" t="s">
        <v>47</v>
      </c>
    </row>
    <row r="22" spans="1:6" x14ac:dyDescent="0.25">
      <c r="B22" s="2" t="s">
        <v>55</v>
      </c>
    </row>
    <row r="23" spans="1:6" x14ac:dyDescent="0.25">
      <c r="B23" s="30" t="s">
        <v>58</v>
      </c>
    </row>
    <row r="24" spans="1:6" x14ac:dyDescent="0.25">
      <c r="B24" t="s">
        <v>60</v>
      </c>
    </row>
    <row r="26" spans="1:6" s="30" customFormat="1" ht="21" x14ac:dyDescent="0.35">
      <c r="A26" s="79" t="s">
        <v>85</v>
      </c>
    </row>
    <row r="27" spans="1:6" s="30" customFormat="1" x14ac:dyDescent="0.25"/>
    <row r="28" spans="1:6" s="30" customFormat="1" ht="15.75" x14ac:dyDescent="0.25">
      <c r="A28" s="2" t="s">
        <v>63</v>
      </c>
      <c r="F28" s="31" t="s">
        <v>64</v>
      </c>
    </row>
    <row r="29" spans="1:6" s="30" customFormat="1" x14ac:dyDescent="0.25">
      <c r="A29" s="72" t="s">
        <v>3</v>
      </c>
      <c r="B29" s="72" t="s">
        <v>65</v>
      </c>
      <c r="C29" s="72" t="s">
        <v>66</v>
      </c>
      <c r="F29" s="73" t="s">
        <v>67</v>
      </c>
    </row>
    <row r="30" spans="1:6" s="30" customFormat="1" x14ac:dyDescent="0.25">
      <c r="F30" s="30" t="s">
        <v>68</v>
      </c>
    </row>
    <row r="31" spans="1:6" s="30" customFormat="1" x14ac:dyDescent="0.25">
      <c r="A31" s="74" t="s">
        <v>69</v>
      </c>
      <c r="C31" s="75"/>
      <c r="F31" s="30" t="s">
        <v>70</v>
      </c>
    </row>
    <row r="32" spans="1:6" s="30" customFormat="1" x14ac:dyDescent="0.25">
      <c r="A32" s="72" t="s">
        <v>3</v>
      </c>
      <c r="B32" s="72" t="s">
        <v>65</v>
      </c>
      <c r="C32" s="72" t="s">
        <v>66</v>
      </c>
    </row>
    <row r="33" spans="1:6" s="30" customFormat="1" x14ac:dyDescent="0.25">
      <c r="F33" s="30" t="s">
        <v>87</v>
      </c>
    </row>
    <row r="34" spans="1:6" s="30" customFormat="1" x14ac:dyDescent="0.25">
      <c r="A34" s="2" t="s">
        <v>71</v>
      </c>
      <c r="B34" s="2"/>
      <c r="C34" s="76"/>
    </row>
    <row r="35" spans="1:6" s="30" customFormat="1" x14ac:dyDescent="0.25">
      <c r="A35" s="72" t="s">
        <v>3</v>
      </c>
      <c r="B35" s="72" t="s">
        <v>72</v>
      </c>
      <c r="C35" s="77">
        <v>1.2</v>
      </c>
    </row>
    <row r="36" spans="1:6" s="30" customFormat="1" x14ac:dyDescent="0.25"/>
    <row r="37" spans="1:6" s="30" customFormat="1" x14ac:dyDescent="0.25">
      <c r="A37" s="2" t="s">
        <v>74</v>
      </c>
      <c r="C37" s="75"/>
    </row>
    <row r="38" spans="1:6" s="30" customFormat="1" x14ac:dyDescent="0.25">
      <c r="A38" s="72" t="s">
        <v>75</v>
      </c>
      <c r="B38" s="72" t="s">
        <v>76</v>
      </c>
      <c r="C38" s="72" t="s">
        <v>77</v>
      </c>
    </row>
    <row r="39" spans="1:6" s="30" customFormat="1" x14ac:dyDescent="0.25"/>
    <row r="40" spans="1:6" s="30" customFormat="1" x14ac:dyDescent="0.25">
      <c r="A40" s="74" t="s">
        <v>78</v>
      </c>
      <c r="B40" s="78"/>
      <c r="C40" s="78"/>
    </row>
    <row r="41" spans="1:6" s="30" customFormat="1" x14ac:dyDescent="0.25">
      <c r="A41" s="72" t="s">
        <v>75</v>
      </c>
      <c r="B41" s="72" t="s">
        <v>79</v>
      </c>
      <c r="C41" s="72" t="s">
        <v>77</v>
      </c>
    </row>
    <row r="42" spans="1:6" s="30" customFormat="1" x14ac:dyDescent="0.25"/>
    <row r="43" spans="1:6" s="30" customFormat="1" ht="18.75" x14ac:dyDescent="0.3">
      <c r="A43" s="1" t="s">
        <v>80</v>
      </c>
    </row>
    <row r="44" spans="1:6" s="30" customFormat="1" x14ac:dyDescent="0.25"/>
    <row r="45" spans="1:6" x14ac:dyDescent="0.25">
      <c r="A45" s="30"/>
      <c r="B45" s="30"/>
      <c r="C45" s="30"/>
      <c r="D45" s="30"/>
      <c r="E45" s="30"/>
      <c r="F45" s="30"/>
    </row>
    <row r="46" spans="1:6" x14ac:dyDescent="0.25">
      <c r="A46" s="2" t="s">
        <v>81</v>
      </c>
      <c r="B46" s="30"/>
      <c r="C46" s="30"/>
      <c r="D46" s="30"/>
      <c r="E46" s="30"/>
      <c r="F46" s="30"/>
    </row>
    <row r="47" spans="1:6" s="30" customFormat="1" x14ac:dyDescent="0.25">
      <c r="A47" s="30" t="s">
        <v>82</v>
      </c>
    </row>
    <row r="48" spans="1:6" s="30" customFormat="1" x14ac:dyDescent="0.25">
      <c r="A48" s="30" t="s">
        <v>83</v>
      </c>
    </row>
    <row r="49" spans="1:6" s="30" customFormat="1" x14ac:dyDescent="0.25">
      <c r="A49" s="2" t="s">
        <v>84</v>
      </c>
    </row>
    <row r="50" spans="1:6" s="30" customFormat="1" x14ac:dyDescent="0.25"/>
    <row r="51" spans="1:6" s="30" customFormat="1" ht="21" x14ac:dyDescent="0.35">
      <c r="A51" s="79" t="s">
        <v>86</v>
      </c>
      <c r="F51" s="31" t="s">
        <v>64</v>
      </c>
    </row>
    <row r="52" spans="1:6" s="30" customFormat="1" x14ac:dyDescent="0.25">
      <c r="F52" s="30" t="s">
        <v>73</v>
      </c>
    </row>
    <row r="53" spans="1:6" x14ac:dyDescent="0.25">
      <c r="F53" t="s">
        <v>90</v>
      </c>
    </row>
    <row r="54" spans="1:6" ht="18.75" x14ac:dyDescent="0.3">
      <c r="A54" s="1" t="s">
        <v>55</v>
      </c>
      <c r="B54" t="s">
        <v>92</v>
      </c>
      <c r="F54" t="s">
        <v>91</v>
      </c>
    </row>
    <row r="55" spans="1:6" x14ac:dyDescent="0.25">
      <c r="A55" s="64" t="s">
        <v>56</v>
      </c>
      <c r="B55" s="64" t="s">
        <v>57</v>
      </c>
    </row>
    <row r="56" spans="1:6" s="30" customFormat="1" x14ac:dyDescent="0.25">
      <c r="A56" s="83"/>
      <c r="B56" s="83"/>
    </row>
    <row r="57" spans="1:6" s="30" customFormat="1" x14ac:dyDescent="0.25">
      <c r="A57" s="83"/>
      <c r="B57" s="83"/>
    </row>
    <row r="58" spans="1:6" s="30" customFormat="1" x14ac:dyDescent="0.25">
      <c r="A58" s="83"/>
      <c r="B58" s="83"/>
    </row>
    <row r="59" spans="1:6" s="30" customFormat="1" x14ac:dyDescent="0.25">
      <c r="A59" s="83"/>
      <c r="B59" s="83"/>
    </row>
    <row r="60" spans="1:6" s="30" customFormat="1" x14ac:dyDescent="0.25">
      <c r="A60" s="83"/>
      <c r="B60" s="83"/>
    </row>
    <row r="61" spans="1:6" s="30" customFormat="1" x14ac:dyDescent="0.25">
      <c r="A61" s="83"/>
      <c r="B61" s="83"/>
    </row>
    <row r="62" spans="1:6" s="30" customFormat="1" x14ac:dyDescent="0.25">
      <c r="A62" s="83"/>
      <c r="B62" s="83"/>
    </row>
    <row r="63" spans="1:6" s="30" customFormat="1" x14ac:dyDescent="0.25">
      <c r="A63" s="83"/>
      <c r="B63" s="83"/>
    </row>
    <row r="64" spans="1:6" s="30" customFormat="1" x14ac:dyDescent="0.25">
      <c r="A64" s="83"/>
      <c r="B64" s="83"/>
    </row>
    <row r="65" spans="1:2" s="30" customFormat="1" x14ac:dyDescent="0.25">
      <c r="A65" s="83"/>
      <c r="B65" s="83"/>
    </row>
    <row r="66" spans="1:2" s="30" customFormat="1" x14ac:dyDescent="0.25">
      <c r="A66" s="83"/>
      <c r="B66" s="83"/>
    </row>
    <row r="67" spans="1:2" s="30" customFormat="1" x14ac:dyDescent="0.25">
      <c r="A67" s="83"/>
      <c r="B67" s="83"/>
    </row>
    <row r="68" spans="1:2" s="30" customFormat="1" x14ac:dyDescent="0.25">
      <c r="A68" s="83"/>
      <c r="B68" s="83"/>
    </row>
    <row r="69" spans="1:2" s="30" customFormat="1" x14ac:dyDescent="0.25">
      <c r="A69" s="83"/>
      <c r="B69" s="83"/>
    </row>
    <row r="70" spans="1:2" s="30" customFormat="1" x14ac:dyDescent="0.25">
      <c r="A70" s="83"/>
      <c r="B70" s="83"/>
    </row>
    <row r="71" spans="1:2" s="30" customFormat="1" x14ac:dyDescent="0.25">
      <c r="A71" s="83"/>
      <c r="B71" s="83"/>
    </row>
    <row r="72" spans="1:2" s="30" customFormat="1" x14ac:dyDescent="0.25">
      <c r="A72" s="83"/>
      <c r="B72" s="83"/>
    </row>
    <row r="73" spans="1:2" s="30" customFormat="1" x14ac:dyDescent="0.25">
      <c r="A73" s="83"/>
      <c r="B73" s="83"/>
    </row>
    <row r="74" spans="1:2" s="30" customFormat="1" x14ac:dyDescent="0.25">
      <c r="A74" s="83"/>
      <c r="B74" s="83"/>
    </row>
    <row r="75" spans="1:2" s="30" customFormat="1" x14ac:dyDescent="0.25">
      <c r="A75" s="83"/>
      <c r="B75" s="83"/>
    </row>
    <row r="76" spans="1:2" s="30" customFormat="1" x14ac:dyDescent="0.25">
      <c r="A76" s="83"/>
      <c r="B76" s="83"/>
    </row>
    <row r="77" spans="1:2" s="30" customFormat="1" x14ac:dyDescent="0.25">
      <c r="A77" s="83"/>
      <c r="B77" s="83"/>
    </row>
    <row r="78" spans="1:2" s="30" customFormat="1" x14ac:dyDescent="0.25">
      <c r="A78" s="83"/>
      <c r="B78" s="83"/>
    </row>
    <row r="79" spans="1:2" s="30" customFormat="1" x14ac:dyDescent="0.25">
      <c r="A79" s="83"/>
      <c r="B79" s="83"/>
    </row>
    <row r="80" spans="1:2" s="30" customFormat="1" x14ac:dyDescent="0.25">
      <c r="A80" s="83"/>
      <c r="B80" s="83"/>
    </row>
    <row r="81" spans="1:2" s="30" customFormat="1" x14ac:dyDescent="0.25">
      <c r="A81" s="83"/>
      <c r="B81" s="83"/>
    </row>
    <row r="82" spans="1:2" s="30" customFormat="1" x14ac:dyDescent="0.25">
      <c r="A82" s="83"/>
      <c r="B82" s="83"/>
    </row>
    <row r="83" spans="1:2" s="30" customFormat="1" x14ac:dyDescent="0.25">
      <c r="A83" s="83"/>
      <c r="B83" s="83"/>
    </row>
    <row r="84" spans="1:2" s="30" customFormat="1" x14ac:dyDescent="0.25">
      <c r="A84" s="83"/>
      <c r="B84" s="83"/>
    </row>
    <row r="85" spans="1:2" s="30" customFormat="1" x14ac:dyDescent="0.25">
      <c r="A85" s="83"/>
      <c r="B85" s="83"/>
    </row>
    <row r="86" spans="1:2" s="30" customFormat="1" x14ac:dyDescent="0.25">
      <c r="A86" s="83"/>
      <c r="B86" s="83"/>
    </row>
    <row r="87" spans="1:2" s="30" customFormat="1" x14ac:dyDescent="0.25">
      <c r="A87" s="83"/>
      <c r="B87" s="83"/>
    </row>
    <row r="88" spans="1:2" s="30" customFormat="1" x14ac:dyDescent="0.25">
      <c r="A88" s="83"/>
      <c r="B88" s="83"/>
    </row>
    <row r="89" spans="1:2" s="30" customFormat="1" x14ac:dyDescent="0.25">
      <c r="A89" s="83"/>
      <c r="B89" s="83"/>
    </row>
    <row r="90" spans="1:2" s="30" customFormat="1" x14ac:dyDescent="0.25">
      <c r="A90" s="83"/>
      <c r="B90" s="83"/>
    </row>
    <row r="91" spans="1:2" s="30" customFormat="1" x14ac:dyDescent="0.25">
      <c r="A91" s="83"/>
      <c r="B91" s="83"/>
    </row>
    <row r="92" spans="1:2" s="30" customFormat="1" x14ac:dyDescent="0.25">
      <c r="A92" s="83"/>
      <c r="B92" s="83"/>
    </row>
    <row r="93" spans="1:2" s="30" customFormat="1" x14ac:dyDescent="0.25">
      <c r="A93" s="83"/>
      <c r="B93" s="83"/>
    </row>
    <row r="94" spans="1:2" s="30" customFormat="1" x14ac:dyDescent="0.25">
      <c r="A94" s="83"/>
      <c r="B94" s="83"/>
    </row>
    <row r="95" spans="1:2" s="30" customFormat="1" x14ac:dyDescent="0.25">
      <c r="A95" s="83"/>
      <c r="B95" s="83"/>
    </row>
    <row r="96" spans="1:2" s="30" customFormat="1" x14ac:dyDescent="0.25">
      <c r="A96" s="83"/>
      <c r="B96" s="83"/>
    </row>
    <row r="97" spans="1:2" s="30" customFormat="1" x14ac:dyDescent="0.25">
      <c r="A97" s="83"/>
      <c r="B97" s="83"/>
    </row>
    <row r="98" spans="1:2" s="30" customFormat="1" x14ac:dyDescent="0.25">
      <c r="A98" s="83"/>
      <c r="B98" s="83"/>
    </row>
    <row r="99" spans="1:2" s="30" customFormat="1" x14ac:dyDescent="0.25">
      <c r="A99" s="83"/>
      <c r="B99" s="83"/>
    </row>
    <row r="100" spans="1:2" s="30" customFormat="1" x14ac:dyDescent="0.25">
      <c r="A100" s="83"/>
      <c r="B100" s="83"/>
    </row>
    <row r="101" spans="1:2" s="30" customFormat="1" x14ac:dyDescent="0.25">
      <c r="A101" s="83"/>
      <c r="B101" s="83"/>
    </row>
    <row r="102" spans="1:2" s="30" customFormat="1" x14ac:dyDescent="0.25">
      <c r="A102" s="83"/>
      <c r="B102" s="83"/>
    </row>
    <row r="103" spans="1:2" s="30" customFormat="1" x14ac:dyDescent="0.25">
      <c r="A103" s="83"/>
      <c r="B103" s="83"/>
    </row>
    <row r="104" spans="1:2" s="30" customFormat="1" x14ac:dyDescent="0.25">
      <c r="A104" s="83"/>
      <c r="B104" s="83"/>
    </row>
    <row r="105" spans="1:2" s="30" customFormat="1" x14ac:dyDescent="0.25">
      <c r="A105" s="83"/>
      <c r="B105" s="83"/>
    </row>
    <row r="106" spans="1:2" s="30" customFormat="1" x14ac:dyDescent="0.25">
      <c r="A106" s="83"/>
      <c r="B106" s="83"/>
    </row>
    <row r="107" spans="1:2" s="30" customFormat="1" x14ac:dyDescent="0.25">
      <c r="A107" s="83"/>
      <c r="B107" s="83"/>
    </row>
    <row r="108" spans="1:2" s="30" customFormat="1" x14ac:dyDescent="0.25">
      <c r="A108" s="83"/>
      <c r="B108" s="83"/>
    </row>
    <row r="109" spans="1:2" s="30" customFormat="1" x14ac:dyDescent="0.25">
      <c r="A109" s="83"/>
      <c r="B109" s="83"/>
    </row>
    <row r="110" spans="1:2" s="30" customFormat="1" x14ac:dyDescent="0.25">
      <c r="A110" s="18"/>
      <c r="B110" s="18"/>
    </row>
    <row r="111" spans="1:2" s="30" customFormat="1" x14ac:dyDescent="0.25">
      <c r="A111" s="18"/>
      <c r="B111" s="18"/>
    </row>
    <row r="112" spans="1:2" s="30" customFormat="1" x14ac:dyDescent="0.25">
      <c r="A112" s="18"/>
      <c r="B112" s="18"/>
    </row>
    <row r="113" spans="1:2" x14ac:dyDescent="0.25">
      <c r="A113" s="18"/>
      <c r="B113" s="18"/>
    </row>
    <row r="114" spans="1:2" x14ac:dyDescent="0.25">
      <c r="A114" s="18"/>
      <c r="B114" s="18"/>
    </row>
    <row r="115" spans="1:2" x14ac:dyDescent="0.25">
      <c r="A115" s="18"/>
      <c r="B115" s="18"/>
    </row>
    <row r="116" spans="1:2" x14ac:dyDescent="0.25">
      <c r="A116" s="18"/>
      <c r="B116" s="18"/>
    </row>
    <row r="117" spans="1:2" x14ac:dyDescent="0.25">
      <c r="A117" s="18"/>
      <c r="B117" s="18"/>
    </row>
    <row r="118" spans="1:2" x14ac:dyDescent="0.25">
      <c r="A118" s="18"/>
      <c r="B118" s="18"/>
    </row>
    <row r="119" spans="1:2" x14ac:dyDescent="0.25">
      <c r="A119" s="18"/>
      <c r="B119" s="18"/>
    </row>
    <row r="120" spans="1:2" x14ac:dyDescent="0.25">
      <c r="A120" s="18"/>
      <c r="B120" s="18"/>
    </row>
    <row r="121" spans="1:2" x14ac:dyDescent="0.25">
      <c r="A121" s="18"/>
      <c r="B121" s="18"/>
    </row>
    <row r="122" spans="1:2" x14ac:dyDescent="0.25">
      <c r="A122" s="18"/>
      <c r="B122" s="18"/>
    </row>
    <row r="123" spans="1:2" x14ac:dyDescent="0.25">
      <c r="A123" s="18"/>
      <c r="B123" s="18"/>
    </row>
    <row r="124" spans="1:2" x14ac:dyDescent="0.25">
      <c r="A124" s="18"/>
      <c r="B124" s="18"/>
    </row>
    <row r="125" spans="1:2" x14ac:dyDescent="0.25">
      <c r="A125" s="18"/>
      <c r="B125" s="18"/>
    </row>
    <row r="126" spans="1:2" x14ac:dyDescent="0.25">
      <c r="A126" s="18"/>
      <c r="B126" s="18"/>
    </row>
    <row r="127" spans="1:2" x14ac:dyDescent="0.25">
      <c r="A127" s="18"/>
      <c r="B127" s="18"/>
    </row>
    <row r="128" spans="1:2" x14ac:dyDescent="0.25">
      <c r="A128" s="18"/>
      <c r="B128" s="18"/>
    </row>
    <row r="129" spans="1:2" x14ac:dyDescent="0.25">
      <c r="A129" s="18"/>
      <c r="B129" s="18"/>
    </row>
    <row r="130" spans="1:2" x14ac:dyDescent="0.25">
      <c r="A130" s="18"/>
      <c r="B130" s="18"/>
    </row>
    <row r="131" spans="1:2" x14ac:dyDescent="0.25">
      <c r="A131" s="18"/>
      <c r="B131" s="18"/>
    </row>
    <row r="132" spans="1:2" x14ac:dyDescent="0.25">
      <c r="A132" s="18"/>
      <c r="B132" s="18"/>
    </row>
    <row r="133" spans="1:2" x14ac:dyDescent="0.25">
      <c r="A133" s="18"/>
      <c r="B133" s="18"/>
    </row>
    <row r="134" spans="1:2" x14ac:dyDescent="0.25">
      <c r="A134" s="18"/>
      <c r="B134" s="18"/>
    </row>
    <row r="135" spans="1:2" x14ac:dyDescent="0.25">
      <c r="A135" s="18"/>
      <c r="B135" s="18"/>
    </row>
    <row r="136" spans="1:2" x14ac:dyDescent="0.25">
      <c r="A136" s="18"/>
      <c r="B136" s="18"/>
    </row>
    <row r="137" spans="1:2" x14ac:dyDescent="0.25">
      <c r="A137" s="18"/>
      <c r="B137" s="18"/>
    </row>
    <row r="138" spans="1:2" x14ac:dyDescent="0.25">
      <c r="A138" s="18"/>
      <c r="B138" s="18"/>
    </row>
    <row r="139" spans="1:2" x14ac:dyDescent="0.25">
      <c r="A139" s="18"/>
      <c r="B139" s="18"/>
    </row>
    <row r="140" spans="1:2" x14ac:dyDescent="0.25">
      <c r="A140" s="18"/>
      <c r="B140" s="18"/>
    </row>
    <row r="141" spans="1:2" x14ac:dyDescent="0.25">
      <c r="A141" s="18"/>
      <c r="B141" s="18"/>
    </row>
    <row r="142" spans="1:2" x14ac:dyDescent="0.25">
      <c r="A142" s="18"/>
      <c r="B142" s="18"/>
    </row>
    <row r="143" spans="1:2" x14ac:dyDescent="0.25">
      <c r="A143" s="18"/>
      <c r="B143" s="18"/>
    </row>
    <row r="144" spans="1:2" x14ac:dyDescent="0.25">
      <c r="A144" s="18"/>
      <c r="B144" s="18"/>
    </row>
    <row r="145" spans="1:2" x14ac:dyDescent="0.25">
      <c r="A145" s="18"/>
      <c r="B145" s="18"/>
    </row>
    <row r="146" spans="1:2" x14ac:dyDescent="0.25">
      <c r="A146" s="18"/>
      <c r="B146" s="18"/>
    </row>
    <row r="147" spans="1:2" x14ac:dyDescent="0.25">
      <c r="A147" s="18"/>
      <c r="B147" s="18"/>
    </row>
    <row r="148" spans="1:2" x14ac:dyDescent="0.25">
      <c r="A148" s="18"/>
      <c r="B148" s="18"/>
    </row>
    <row r="149" spans="1:2" x14ac:dyDescent="0.25">
      <c r="A149" s="18"/>
      <c r="B149" s="18"/>
    </row>
    <row r="150" spans="1:2" x14ac:dyDescent="0.25">
      <c r="A150" s="18"/>
      <c r="B150" s="18"/>
    </row>
    <row r="151" spans="1:2" x14ac:dyDescent="0.25">
      <c r="A151" s="18"/>
      <c r="B151" s="18"/>
    </row>
    <row r="152" spans="1:2" x14ac:dyDescent="0.25">
      <c r="A152" s="18"/>
      <c r="B152" s="18"/>
    </row>
    <row r="153" spans="1:2" x14ac:dyDescent="0.25">
      <c r="A153" s="18"/>
      <c r="B153" s="18"/>
    </row>
    <row r="154" spans="1:2" x14ac:dyDescent="0.25">
      <c r="A154" s="18"/>
      <c r="B154" s="18"/>
    </row>
    <row r="155" spans="1:2" x14ac:dyDescent="0.25">
      <c r="A155" s="18"/>
      <c r="B155" s="18"/>
    </row>
    <row r="156" spans="1:2" x14ac:dyDescent="0.25">
      <c r="A156" s="18"/>
      <c r="B156" s="18"/>
    </row>
    <row r="157" spans="1:2" x14ac:dyDescent="0.25">
      <c r="A157" s="18"/>
      <c r="B157" s="18"/>
    </row>
    <row r="158" spans="1:2" x14ac:dyDescent="0.25">
      <c r="A158" s="18"/>
      <c r="B158" s="18"/>
    </row>
    <row r="159" spans="1:2" x14ac:dyDescent="0.25">
      <c r="A159" s="18"/>
      <c r="B159" s="18"/>
    </row>
    <row r="160" spans="1:2" x14ac:dyDescent="0.25">
      <c r="A160" s="18"/>
      <c r="B160" s="18"/>
    </row>
    <row r="161" spans="1:2" x14ac:dyDescent="0.25">
      <c r="A161" s="18"/>
      <c r="B161" s="18"/>
    </row>
    <row r="162" spans="1:2" x14ac:dyDescent="0.25">
      <c r="A162" s="18"/>
      <c r="B162" s="18"/>
    </row>
    <row r="163" spans="1:2" x14ac:dyDescent="0.25">
      <c r="A163" s="18"/>
      <c r="B163" s="18"/>
    </row>
    <row r="164" spans="1:2" x14ac:dyDescent="0.25">
      <c r="A164" s="18"/>
      <c r="B164" s="18"/>
    </row>
    <row r="165" spans="1:2" x14ac:dyDescent="0.25">
      <c r="A165" s="18"/>
      <c r="B165" s="18"/>
    </row>
    <row r="166" spans="1:2" x14ac:dyDescent="0.25">
      <c r="A166" s="18"/>
      <c r="B166" s="18"/>
    </row>
    <row r="167" spans="1:2" x14ac:dyDescent="0.25">
      <c r="A167" s="18"/>
      <c r="B167" s="18"/>
    </row>
    <row r="168" spans="1:2" x14ac:dyDescent="0.25">
      <c r="A168" s="18"/>
      <c r="B168" s="18"/>
    </row>
    <row r="169" spans="1:2" x14ac:dyDescent="0.25">
      <c r="A169" s="18"/>
      <c r="B169" s="18"/>
    </row>
    <row r="249" spans="35:35" x14ac:dyDescent="0.25">
      <c r="AI249" t="s">
        <v>59</v>
      </c>
    </row>
  </sheetData>
  <conditionalFormatting sqref="D15">
    <cfRule type="expression" dxfId="211" priority="19">
      <formula>AND(AND(NOT(ISBLANK(C15)),NOT(C15=$O$1)),AND(NOT(ISBLANK(B15)),NOT(B15=$O$1)))</formula>
    </cfRule>
    <cfRule type="expression" dxfId="210" priority="20">
      <formula>OR(AND(NOT(ISBLANK(C15)),NOT(C15=$O$1)),AND(NOT(ISBLANK(B15)),NOT(B15=$O$1)))</formula>
    </cfRule>
  </conditionalFormatting>
  <conditionalFormatting sqref="E15">
    <cfRule type="expression" dxfId="209" priority="17">
      <formula>AND(AND(NOT(ISBLANK(F15)),NOT(F15=$O$1)),AND(NOT(ISBLANK(G15)),NOT(G15=$O$1)))</formula>
    </cfRule>
    <cfRule type="expression" dxfId="208" priority="18">
      <formula>OR(AND(NOT(ISBLANK(F15)),NOT(F15=$O$1)),AND(NOT(ISBLANK(G15)),NOT(G15=$O$1)))</formula>
    </cfRule>
  </conditionalFormatting>
  <conditionalFormatting sqref="B15">
    <cfRule type="expression" dxfId="207" priority="16" stopIfTrue="1">
      <formula>AND(NOT(ISBLANK(B15)),NOT(_xlfn.ISFORMULA(B15)))</formula>
    </cfRule>
  </conditionalFormatting>
  <conditionalFormatting sqref="C15">
    <cfRule type="expression" dxfId="206" priority="15" stopIfTrue="1">
      <formula>AND(NOT(ISBLANK(C15)),NOT(_xlfn.ISFORMULA(C15)))</formula>
    </cfRule>
  </conditionalFormatting>
  <conditionalFormatting sqref="F15">
    <cfRule type="expression" dxfId="205" priority="14" stopIfTrue="1">
      <formula>AND(NOT(ISBLANK(F15)),NOT(_xlfn.ISFORMULA(F15)))</formula>
    </cfRule>
  </conditionalFormatting>
  <conditionalFormatting sqref="G15">
    <cfRule type="expression" dxfId="204" priority="13" stopIfTrue="1">
      <formula>AND(NOT(ISBLANK(G15)),NOT(_xlfn.ISFORMULA(G15)))</formula>
    </cfRule>
  </conditionalFormatting>
  <conditionalFormatting sqref="E5">
    <cfRule type="expression" dxfId="203" priority="3">
      <formula>AND(AND(NOT(ISBLANK(D5)),NOT(D5=$O$1)),AND(NOT(ISBLANK(C5)),NOT(C5=$O$1)))</formula>
    </cfRule>
    <cfRule type="expression" dxfId="202" priority="4">
      <formula>OR(AND(NOT(ISBLANK(D5)),NOT(D5=$O$1)),AND(NOT(ISBLANK(C5)),NOT(C5=$O$1)))</formula>
    </cfRule>
  </conditionalFormatting>
  <conditionalFormatting sqref="F5">
    <cfRule type="expression" dxfId="201" priority="1">
      <formula>AND(AND(NOT(ISBLANK(G5)),NOT(G5=$O$1)),AND(NOT(ISBLANK(H5)),NOT(H5=$O$1)))</formula>
    </cfRule>
    <cfRule type="expression" dxfId="200" priority="2">
      <formula>OR(AND(NOT(ISBLANK(G5)),NOT(G5=$O$1)),AND(NOT(ISBLANK(H5)),NOT(H5=$O$1)))</formula>
    </cfRule>
  </conditionalFormatting>
  <dataValidations count="2">
    <dataValidation type="custom" allowBlank="1" showInputMessage="1" showErrorMessage="1" sqref="D15:E15 A15 H15:L15 E5:F5 I5:J5 A5:B5" xr:uid="{9D2231FA-1DA0-454C-913A-FB34B5BF4976}">
      <formula1>_xlfn.ISFORMULA(A5)</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10" xr:uid="{AA1356BE-4B79-41E1-B983-E7E751C3947B}">
      <formula1>E10&lt;&gt;"*"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Кнопка1_Щелчок">
                <anchor moveWithCells="1" sizeWithCells="1">
                  <from>
                    <xdr:col>2</xdr:col>
                    <xdr:colOff>38100</xdr:colOff>
                    <xdr:row>52</xdr:row>
                    <xdr:rowOff>152400</xdr:rowOff>
                  </from>
                  <to>
                    <xdr:col>4</xdr:col>
                    <xdr:colOff>419100</xdr:colOff>
                    <xdr:row>54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69583-29DC-4F4F-A6A9-3D2EE5A72FFC}">
  <sheetPr codeName="Лист17"/>
  <dimension ref="A1:CC437"/>
  <sheetViews>
    <sheetView tabSelected="1" view="pageBreakPreview" zoomScale="70" zoomScaleNormal="100" zoomScaleSheetLayoutView="70" workbookViewId="0">
      <selection activeCell="I8" sqref="I8"/>
    </sheetView>
  </sheetViews>
  <sheetFormatPr defaultRowHeight="15" x14ac:dyDescent="0.25"/>
  <cols>
    <col min="1" max="1" width="4.5703125" style="30" customWidth="1"/>
    <col min="2" max="2" width="29.5703125" style="30" customWidth="1"/>
    <col min="3" max="4" width="4.42578125" style="38" bestFit="1" customWidth="1"/>
    <col min="5" max="5" width="9.140625" style="30" customWidth="1"/>
    <col min="6" max="6" width="8.5703125" style="30" customWidth="1"/>
    <col min="7" max="7" width="4.42578125" style="38" bestFit="1" customWidth="1"/>
    <col min="8" max="8" width="5.28515625" style="38" bestFit="1" customWidth="1"/>
    <col min="9" max="9" width="4.42578125" style="30" customWidth="1"/>
    <col min="10" max="10" width="16" style="30" customWidth="1"/>
    <col min="11" max="11" width="11.7109375" style="30" customWidth="1"/>
    <col min="12" max="12" width="30.5703125" style="30" customWidth="1"/>
    <col min="13" max="13" width="22.140625" style="2" customWidth="1"/>
    <col min="14" max="14" width="7.28515625" style="30" customWidth="1"/>
    <col min="15" max="15" width="3.28515625" style="30" customWidth="1"/>
    <col min="16" max="16" width="25.28515625" style="30" customWidth="1"/>
    <col min="17" max="17" width="26" style="30" customWidth="1"/>
    <col min="18" max="18" width="4.7109375" style="30" customWidth="1"/>
    <col min="19" max="19" width="5.42578125" style="30" customWidth="1"/>
    <col min="20" max="20" width="8.42578125" style="2" customWidth="1"/>
    <col min="21" max="21" width="8.140625" style="2" customWidth="1"/>
    <col min="22" max="22" width="9" style="30" customWidth="1"/>
    <col min="23" max="23" width="7.5703125" style="30" customWidth="1"/>
    <col min="24" max="24" width="17.140625" style="30" customWidth="1"/>
    <col min="25" max="25" width="9.28515625" style="30" customWidth="1"/>
    <col min="26" max="26" width="9.140625" style="30"/>
    <col min="27" max="27" width="16.28515625" style="30" customWidth="1"/>
    <col min="28" max="28" width="20" style="30" customWidth="1"/>
    <col min="29" max="29" width="21.42578125" style="30" customWidth="1"/>
    <col min="30" max="34" width="9.140625" style="30" customWidth="1"/>
    <col min="35" max="35" width="22.85546875" style="30" customWidth="1"/>
    <col min="36" max="36" width="9.140625" style="30" customWidth="1"/>
    <col min="37" max="37" width="17" style="30" customWidth="1"/>
    <col min="38" max="39" width="9.140625" style="30" customWidth="1"/>
    <col min="40" max="16384" width="9.140625" style="30"/>
  </cols>
  <sheetData>
    <row r="1" spans="1:56" x14ac:dyDescent="0.25">
      <c r="A1" s="29"/>
      <c r="C1" s="38">
        <v>1</v>
      </c>
      <c r="J1" s="19"/>
      <c r="O1" s="20" t="s">
        <v>27</v>
      </c>
      <c r="P1" s="30">
        <v>10</v>
      </c>
      <c r="Q1" s="30">
        <v>20</v>
      </c>
      <c r="S1" s="30" t="s">
        <v>51</v>
      </c>
      <c r="X1" s="30" t="s">
        <v>54</v>
      </c>
      <c r="AA1"/>
      <c r="AB1"/>
      <c r="AC1"/>
      <c r="AD1"/>
      <c r="AE1"/>
      <c r="AG1" s="30" t="s">
        <v>36</v>
      </c>
    </row>
    <row r="2" spans="1:56" ht="18.75" x14ac:dyDescent="0.3">
      <c r="A2" s="1">
        <f>A1</f>
        <v>0</v>
      </c>
      <c r="AA2"/>
      <c r="AB2"/>
      <c r="AC2"/>
      <c r="AD2"/>
      <c r="AE2"/>
    </row>
    <row r="3" spans="1:56" x14ac:dyDescent="0.25">
      <c r="A3" s="65" t="s">
        <v>6</v>
      </c>
      <c r="B3" s="66" t="str">
        <f>"Наименование"</f>
        <v>Наименование</v>
      </c>
      <c r="C3" s="67" t="s">
        <v>9</v>
      </c>
      <c r="D3" s="68" t="s">
        <v>11</v>
      </c>
      <c r="E3" s="69" t="s">
        <v>1</v>
      </c>
      <c r="F3" s="66" t="s">
        <v>0</v>
      </c>
      <c r="G3" s="68" t="s">
        <v>10</v>
      </c>
      <c r="H3" s="70" t="s">
        <v>12</v>
      </c>
      <c r="I3" s="71" t="s">
        <v>2</v>
      </c>
      <c r="J3" s="65" t="s">
        <v>48</v>
      </c>
      <c r="K3" s="66" t="s">
        <v>49</v>
      </c>
      <c r="L3" s="66" t="s">
        <v>50</v>
      </c>
      <c r="M3" s="65" t="s">
        <v>4</v>
      </c>
      <c r="N3" s="2" t="s">
        <v>26</v>
      </c>
      <c r="O3" s="21" t="s">
        <v>7</v>
      </c>
      <c r="P3" s="21"/>
      <c r="Q3" s="21" t="s">
        <v>22</v>
      </c>
      <c r="R3" s="21" t="s">
        <v>17</v>
      </c>
      <c r="S3" s="21" t="s">
        <v>18</v>
      </c>
      <c r="T3" s="21" t="s">
        <v>19</v>
      </c>
      <c r="U3" s="21" t="s">
        <v>20</v>
      </c>
      <c r="V3" s="21" t="s">
        <v>21</v>
      </c>
      <c r="W3" s="21" t="s">
        <v>23</v>
      </c>
      <c r="X3" s="21" t="s">
        <v>24</v>
      </c>
      <c r="Y3" s="21" t="s">
        <v>25</v>
      </c>
      <c r="Z3" s="21" t="s">
        <v>2</v>
      </c>
      <c r="AA3" s="3" t="s">
        <v>34</v>
      </c>
      <c r="AB3" s="3" t="s">
        <v>52</v>
      </c>
      <c r="AC3" s="3" t="s">
        <v>53</v>
      </c>
      <c r="AK3" s="18"/>
      <c r="AL3" s="18"/>
    </row>
    <row r="4" spans="1:56" x14ac:dyDescent="0.25">
      <c r="A4" s="9" t="str">
        <f>CONCATENATE(O4,".",LEFT(J4))</f>
        <v>.0</v>
      </c>
      <c r="B4" s="32" t="str">
        <f>CONCATENATE(IF(OR(Y4="Не определена",Y4,ISBLANK(Y4)),"↕",),IF(Y4="Не обязательна","±",),Q4,".",P4)</f>
        <v>↕.</v>
      </c>
      <c r="C4" s="54"/>
      <c r="D4" s="54"/>
      <c r="E4" s="48">
        <f>IF(M4="скрутка",T4+$Q$1,IF(M4="склейка",T4+$Q$1,IF(M4="запил торца",ROUND(T4+$P$1,0),IF(M4="запил торцов",ROUND(T4+$P$1*2,0),T4))))+IF(G4=$O$1,$P$1,)+IF(H4=$O$1,$P$1,)</f>
        <v>0</v>
      </c>
      <c r="F4" s="48">
        <f>IF(M4="скрутка",U4+$Q$1,IF(M4="склейка",U4+$Q$1,IF(M4="запил торца",ROUND(U4+$P$1,0),IF(M4="запил торцов",ROUND(U4+$P$1*2,0),U4))))+IF(C4=$O$1,$P$1,)+IF(D4=$O$1,$P$1,)</f>
        <v>0</v>
      </c>
      <c r="G4" s="54"/>
      <c r="H4" s="54"/>
      <c r="I4" s="49">
        <f>IF(OR(M4="скрутка",M4="склейка"),Z4*2,Z4)</f>
        <v>0</v>
      </c>
      <c r="J4" s="53">
        <f>X4</f>
        <v>0</v>
      </c>
      <c r="K4" s="52" t="str">
        <f>IF(ISBLANK(AB4),"",AB4)</f>
        <v/>
      </c>
      <c r="L4" s="52" t="str">
        <f>IF(ISBLANK(AC4),"",AC4)</f>
        <v/>
      </c>
      <c r="M4" s="51" t="str">
        <f>IF(AA4="","",AA4)</f>
        <v/>
      </c>
      <c r="N4" s="30" t="str">
        <f>CONCATENATE(IF(E4&lt;&gt;T4,"НеРавны",),IF(AND(NOT(ISBLANK(R4)),R4&lt;&gt;T4),"Д",),IF(AND(NOT(ISBLANK(S4)),S4&lt;&gt;U4),"Ш",))</f>
        <v/>
      </c>
      <c r="O4" s="22"/>
      <c r="P4" s="18"/>
      <c r="Q4" s="18"/>
      <c r="R4" s="18"/>
      <c r="S4" s="18"/>
      <c r="T4" s="3"/>
      <c r="U4" s="3"/>
      <c r="V4" s="23"/>
      <c r="W4" s="23"/>
      <c r="X4" s="26"/>
      <c r="Y4" s="18"/>
      <c r="Z4" s="18"/>
      <c r="AA4" s="18"/>
      <c r="AB4" s="18"/>
      <c r="AC4" s="18"/>
      <c r="BB4" s="30" t="s">
        <v>88</v>
      </c>
      <c r="BC4" s="30">
        <v>1</v>
      </c>
      <c r="BD4" s="30">
        <v>145</v>
      </c>
    </row>
    <row r="5" spans="1:56" x14ac:dyDescent="0.25">
      <c r="A5" s="9" t="str">
        <f>CONCATENATE(O5,".",LEFT(J5))</f>
        <v>.0</v>
      </c>
      <c r="B5" s="32" t="str">
        <f>CONCATENATE(IF(OR(Y5="Не определена",Y5,ISBLANK(Y5)),"↕",),IF(Y5="Не обязательна","±",),Q5,".",P5)</f>
        <v>↕.</v>
      </c>
      <c r="C5" s="54"/>
      <c r="D5" s="54"/>
      <c r="E5" s="48">
        <f>IF(M5="скрутка",T5+$Q$1,IF(M5="склейка",T5+$Q$1,IF(M5="запил торца",ROUND(T5+$P$1,0),IF(M5="запил торцов",ROUND(T5+$P$1*2,0),T5))))+IF(G5=$O$1,$P$1,)+IF(H5=$O$1,$P$1,)</f>
        <v>0</v>
      </c>
      <c r="F5" s="48">
        <f>IF(M5="скрутка",U5+$Q$1,IF(M5="склейка",U5+$Q$1,IF(M5="запил торца",ROUND(U5+$P$1,0),IF(M5="запил торцов",ROUND(U5+$P$1*2,0),U5))))+IF(C5=$O$1,$P$1,)+IF(D5=$O$1,$P$1,)</f>
        <v>0</v>
      </c>
      <c r="G5" s="54"/>
      <c r="H5" s="54"/>
      <c r="I5" s="49">
        <f>IF(OR(M5="скрутка",M5="склейка"),Z5*2,Z5)</f>
        <v>0</v>
      </c>
      <c r="J5" s="53">
        <f>X5</f>
        <v>0</v>
      </c>
      <c r="K5" s="52" t="str">
        <f>IF(ISBLANK(AB5),"",AB5)</f>
        <v/>
      </c>
      <c r="L5" s="52" t="str">
        <f>IF(ISBLANK(AC5),"",AC5)</f>
        <v/>
      </c>
      <c r="M5" s="51" t="str">
        <f>IF(AA5="","",AA5)</f>
        <v/>
      </c>
      <c r="N5" s="30" t="str">
        <f>CONCATENATE(IF(E5&lt;&gt;T5,"НеРавны",),IF(AND(NOT(ISBLANK(R5)),R5&lt;&gt;T5),"Д",),IF(AND(NOT(ISBLANK(S5)),S5&lt;&gt;U5),"Ш",))</f>
        <v/>
      </c>
      <c r="O5" s="22"/>
      <c r="P5" s="18"/>
      <c r="Q5" s="18"/>
      <c r="R5" s="18"/>
      <c r="S5" s="18"/>
      <c r="T5" s="3"/>
      <c r="U5" s="3"/>
      <c r="V5" s="23"/>
      <c r="W5" s="23"/>
      <c r="X5" s="26"/>
      <c r="Y5" s="18"/>
      <c r="Z5" s="18"/>
      <c r="AA5" s="18"/>
      <c r="AB5" s="18"/>
      <c r="AC5" s="18"/>
      <c r="BB5" s="30" t="s">
        <v>94</v>
      </c>
      <c r="BC5" s="30">
        <v>1</v>
      </c>
      <c r="BD5" s="30">
        <v>156</v>
      </c>
    </row>
    <row r="6" spans="1:56" x14ac:dyDescent="0.25">
      <c r="A6" s="9" t="str">
        <f>CONCATENATE(O6,".",LEFT(J6))</f>
        <v>.0</v>
      </c>
      <c r="B6" s="32" t="str">
        <f>CONCATENATE(IF(OR(Y6="Не определена",Y6,ISBLANK(Y6)),"↕",),IF(Y6="Не обязательна","±",),Q6,".",P6)</f>
        <v>↕.</v>
      </c>
      <c r="C6" s="54"/>
      <c r="D6" s="54"/>
      <c r="E6" s="48">
        <f>IF(M6="скрутка",T6+$Q$1,IF(M6="склейка",T6+$Q$1,IF(M6="запил торца",ROUND(T6+$P$1,0),IF(M6="запил торцов",ROUND(T6+$P$1*2,0),T6))))+IF(G6=$O$1,$P$1,)+IF(H6=$O$1,$P$1,)</f>
        <v>0</v>
      </c>
      <c r="F6" s="48">
        <f>IF(M6="скрутка",U6+$Q$1,IF(M6="склейка",U6+$Q$1,IF(M6="запил торца",ROUND(U6+$P$1,0),IF(M6="запил торцов",ROUND(U6+$P$1*2,0),U6))))+IF(C6=$O$1,$P$1,)+IF(D6=$O$1,$P$1,)</f>
        <v>0</v>
      </c>
      <c r="G6" s="54"/>
      <c r="H6" s="54"/>
      <c r="I6" s="49">
        <f>IF(OR(M6="скрутка",M6="склейка"),Z6*2,Z6)</f>
        <v>0</v>
      </c>
      <c r="J6" s="53">
        <f>X6</f>
        <v>0</v>
      </c>
      <c r="K6" s="52" t="str">
        <f>IF(ISBLANK(AB6),"",AB6)</f>
        <v/>
      </c>
      <c r="L6" s="52" t="str">
        <f>IF(ISBLANK(AC6),"",AC6)</f>
        <v/>
      </c>
      <c r="M6" s="51" t="str">
        <f>IF(AA6="","",AA6)</f>
        <v/>
      </c>
      <c r="N6" s="30" t="str">
        <f>CONCATENATE(IF(E6&lt;&gt;T6,"НеРавны",),IF(AND(NOT(ISBLANK(R6)),R6&lt;&gt;T6),"Д",),IF(AND(NOT(ISBLANK(S6)),S6&lt;&gt;U6),"Ш",))</f>
        <v/>
      </c>
      <c r="O6" s="22"/>
      <c r="P6" s="18"/>
      <c r="Q6" s="18"/>
      <c r="R6" s="18"/>
      <c r="S6" s="18"/>
      <c r="T6" s="3"/>
      <c r="U6" s="3"/>
      <c r="V6" s="23"/>
      <c r="W6" s="23"/>
      <c r="X6" s="18"/>
      <c r="Y6" s="18"/>
      <c r="Z6" s="18"/>
      <c r="AA6" s="18"/>
      <c r="AB6" s="18"/>
      <c r="AC6" s="18"/>
      <c r="BB6" s="30" t="s">
        <v>89</v>
      </c>
      <c r="BC6" s="30">
        <v>1</v>
      </c>
      <c r="BD6" s="30">
        <v>121</v>
      </c>
    </row>
    <row r="7" spans="1:56" x14ac:dyDescent="0.25">
      <c r="A7" s="9" t="str">
        <f>CONCATENATE(O7,".",LEFT(J7))</f>
        <v>.0</v>
      </c>
      <c r="B7" s="32" t="str">
        <f>CONCATENATE(IF(OR(Y7="Не определена",Y7,ISBLANK(Y7)),"↕",),IF(Y7="Не обязательна","±",),Q7,".",P7)</f>
        <v>↕.</v>
      </c>
      <c r="C7" s="54"/>
      <c r="D7" s="54"/>
      <c r="E7" s="48">
        <f>IF(M7="скрутка",T7+$Q$1,IF(M7="склейка",T7+$Q$1,IF(M7="запил торца",ROUND(T7+$P$1,0),IF(M7="запил торцов",ROUND(T7+$P$1*2,0),T7))))+IF(G7=$O$1,$P$1,)+IF(H7=$O$1,$P$1,)</f>
        <v>0</v>
      </c>
      <c r="F7" s="48">
        <f>IF(M7="скрутка",U7+$Q$1,IF(M7="склейка",U7+$Q$1,IF(M7="запил торца",ROUND(U7+$P$1,0),IF(M7="запил торцов",ROUND(U7+$P$1*2,0),U7))))+IF(C7=$O$1,$P$1,)+IF(D7=$O$1,$P$1,)</f>
        <v>0</v>
      </c>
      <c r="G7" s="54"/>
      <c r="H7" s="54"/>
      <c r="I7" s="49">
        <f>IF(OR(M7="скрутка",M7="склейка"),Z7*2,Z7)</f>
        <v>0</v>
      </c>
      <c r="J7" s="53">
        <f>X7</f>
        <v>0</v>
      </c>
      <c r="K7" s="52" t="str">
        <f>IF(ISBLANK(AB7),"",AB7)</f>
        <v/>
      </c>
      <c r="L7" s="52" t="str">
        <f>IF(ISBLANK(AC7),"",AC7)</f>
        <v/>
      </c>
      <c r="M7" s="51" t="str">
        <f>IF(AA7="","",AA7)</f>
        <v/>
      </c>
      <c r="N7" s="30" t="str">
        <f>CONCATENATE(IF(E7&lt;&gt;T7,"НеРавны",),IF(AND(NOT(ISBLANK(R7)),R7&lt;&gt;T7),"Д",),IF(AND(NOT(ISBLANK(S7)),S7&lt;&gt;U7),"Ш",))</f>
        <v/>
      </c>
      <c r="O7" s="22"/>
      <c r="P7" s="18"/>
      <c r="Q7" s="18"/>
      <c r="R7" s="18"/>
      <c r="S7" s="18"/>
      <c r="T7" s="3"/>
      <c r="U7" s="3"/>
      <c r="V7" s="23"/>
      <c r="W7" s="23"/>
      <c r="X7" s="26"/>
      <c r="Y7" s="18"/>
      <c r="Z7" s="18"/>
      <c r="AA7" s="18"/>
      <c r="AB7" s="18"/>
      <c r="AC7" s="18"/>
      <c r="BB7" s="30" t="s">
        <v>95</v>
      </c>
      <c r="BC7" s="30">
        <v>1</v>
      </c>
      <c r="BD7" s="30">
        <v>75</v>
      </c>
    </row>
    <row r="8" spans="1:56" x14ac:dyDescent="0.25">
      <c r="A8" s="9" t="str">
        <f>CONCATENATE(O8,".",LEFT(J8))</f>
        <v>.0</v>
      </c>
      <c r="B8" s="32" t="str">
        <f>CONCATENATE(IF(OR(Y8="Не определена",Y8,ISBLANK(Y8)),"↕",),IF(Y8="Не обязательна","±",),Q8,".",P8)</f>
        <v>↕.</v>
      </c>
      <c r="C8" s="54"/>
      <c r="D8" s="54"/>
      <c r="E8" s="48">
        <f>IF(M8="скрутка",T8+$Q$1,IF(M8="склейка",T8+$Q$1,IF(M8="запил торца",ROUND(T8+$P$1,0),IF(M8="запил торцов",ROUND(T8+$P$1*2,0),T8))))+IF(G8=$O$1,$P$1,)+IF(H8=$O$1,$P$1,)</f>
        <v>0</v>
      </c>
      <c r="F8" s="48">
        <f>IF(M8="скрутка",U8+$Q$1,IF(M8="склейка",U8+$Q$1,IF(M8="запил торца",ROUND(U8+$P$1,0),IF(M8="запил торцов",ROUND(U8+$P$1*2,0),U8))))+IF(C8=$O$1,$P$1,)+IF(D8=$O$1,$P$1,)</f>
        <v>0</v>
      </c>
      <c r="G8" s="54"/>
      <c r="H8" s="54"/>
      <c r="I8" s="49">
        <f>IF(OR(M8="скрутка",M8="склейка"),Z8*2,Z8)</f>
        <v>0</v>
      </c>
      <c r="J8" s="53">
        <f>X8</f>
        <v>0</v>
      </c>
      <c r="K8" s="52" t="str">
        <f>IF(ISBLANK(AB8),"",AB8)</f>
        <v/>
      </c>
      <c r="L8" s="52" t="str">
        <f>IF(ISBLANK(AC8),"",AC8)</f>
        <v/>
      </c>
      <c r="M8" s="51" t="str">
        <f>IF(AA8="","",AA8)</f>
        <v/>
      </c>
      <c r="N8" s="30" t="str">
        <f>CONCATENATE(IF(E8&lt;&gt;T8,"НеРавны",),IF(AND(NOT(ISBLANK(R8)),R8&lt;&gt;T8),"Д",),IF(AND(NOT(ISBLANK(S8)),S8&lt;&gt;U8),"Ш",))</f>
        <v/>
      </c>
      <c r="O8" s="22"/>
      <c r="P8" s="18"/>
      <c r="Q8" s="18"/>
      <c r="R8" s="18"/>
      <c r="S8" s="18"/>
      <c r="T8" s="3"/>
      <c r="U8" s="3"/>
      <c r="V8" s="23"/>
      <c r="W8" s="23"/>
      <c r="X8" s="18"/>
      <c r="Y8" s="18"/>
      <c r="Z8" s="18"/>
      <c r="AA8" s="18"/>
      <c r="AB8" s="18"/>
      <c r="AC8" s="18"/>
      <c r="BB8" s="30" t="s">
        <v>96</v>
      </c>
      <c r="BC8" s="30">
        <v>1</v>
      </c>
      <c r="BD8" s="30">
        <v>153</v>
      </c>
    </row>
    <row r="9" spans="1:56" x14ac:dyDescent="0.25">
      <c r="A9" s="9" t="str">
        <f>CONCATENATE(O9,".",LEFT(J9))</f>
        <v>.0</v>
      </c>
      <c r="B9" s="32" t="str">
        <f>CONCATENATE(IF(OR(Y9="Не определена",Y9,ISBLANK(Y9)),"↕",),IF(Y9="Не обязательна","±",),Q9,".",P9)</f>
        <v>↕.</v>
      </c>
      <c r="C9" s="54"/>
      <c r="D9" s="54"/>
      <c r="E9" s="48">
        <f>IF(M9="скрутка",T9+$Q$1,IF(M9="склейка",T9+$Q$1,IF(M9="запил торца",ROUND(T9+$P$1,0),IF(M9="запил торцов",ROUND(T9+$P$1*2,0),T9))))+IF(G9=$O$1,$P$1,)+IF(H9=$O$1,$P$1,)</f>
        <v>0</v>
      </c>
      <c r="F9" s="48">
        <f>IF(M9="скрутка",U9+$Q$1,IF(M9="склейка",U9+$Q$1,IF(M9="запил торца",ROUND(U9+$P$1,0),IF(M9="запил торцов",ROUND(U9+$P$1*2,0),U9))))+IF(C9=$O$1,$P$1,)+IF(D9=$O$1,$P$1,)</f>
        <v>0</v>
      </c>
      <c r="G9" s="54"/>
      <c r="H9" s="54"/>
      <c r="I9" s="49">
        <f>IF(OR(M9="скрутка",M9="склейка"),Z9*2,Z9)</f>
        <v>0</v>
      </c>
      <c r="J9" s="53">
        <f>X9</f>
        <v>0</v>
      </c>
      <c r="K9" s="52" t="str">
        <f>IF(ISBLANK(AB9),"",AB9)</f>
        <v/>
      </c>
      <c r="L9" s="52" t="str">
        <f>IF(ISBLANK(AC9),"",AC9)</f>
        <v/>
      </c>
      <c r="M9" s="51" t="str">
        <f>IF(AA9="","",AA9)</f>
        <v/>
      </c>
      <c r="N9" s="30" t="str">
        <f>CONCATENATE(IF(E9&lt;&gt;T9,"НеРавны",),IF(AND(NOT(ISBLANK(R9)),R9&lt;&gt;T9),"Д",),IF(AND(NOT(ISBLANK(S9)),S9&lt;&gt;U9),"Ш",))</f>
        <v/>
      </c>
      <c r="O9" s="22"/>
      <c r="P9" s="18"/>
      <c r="Q9" s="18"/>
      <c r="R9" s="18"/>
      <c r="S9" s="18"/>
      <c r="T9" s="3"/>
      <c r="U9" s="3"/>
      <c r="V9" s="23"/>
      <c r="W9" s="23"/>
      <c r="X9" s="26"/>
      <c r="Y9" s="18"/>
      <c r="Z9" s="18"/>
      <c r="AA9" s="18"/>
      <c r="AB9" s="18"/>
      <c r="AC9" s="18"/>
      <c r="BB9" s="30" t="s">
        <v>93</v>
      </c>
      <c r="BC9" s="30">
        <v>1</v>
      </c>
      <c r="BD9" s="30">
        <v>149</v>
      </c>
    </row>
    <row r="10" spans="1:56" x14ac:dyDescent="0.25">
      <c r="A10" s="9" t="str">
        <f>CONCATENATE(O10,".",LEFT(J10))</f>
        <v>.0</v>
      </c>
      <c r="B10" s="32" t="str">
        <f>CONCATENATE(IF(OR(Y10="Не определена",Y10,ISBLANK(Y10)),"↕",),IF(Y10="Не обязательна","±",),Q10,".",P10)</f>
        <v>↕.</v>
      </c>
      <c r="C10" s="54"/>
      <c r="D10" s="54"/>
      <c r="E10" s="48">
        <f>IF(M10="скрутка",T10+$Q$1,IF(M10="склейка",T10+$Q$1,IF(M10="запил торца",ROUND(T10+$P$1,0),IF(M10="запил торцов",ROUND(T10+$P$1*2,0),T10))))+IF(G10=$O$1,$P$1,)+IF(H10=$O$1,$P$1,)</f>
        <v>0</v>
      </c>
      <c r="F10" s="48">
        <f>IF(M10="скрутка",U10+$Q$1,IF(M10="склейка",U10+$Q$1,IF(M10="запил торца",ROUND(U10+$P$1,0),IF(M10="запил торцов",ROUND(U10+$P$1*2,0),U10))))+IF(C10=$O$1,$P$1,)+IF(D10=$O$1,$P$1,)</f>
        <v>0</v>
      </c>
      <c r="G10" s="54"/>
      <c r="H10" s="54"/>
      <c r="I10" s="49">
        <f>IF(OR(M10="скрутка",M10="склейка"),Z10*2,Z10)</f>
        <v>0</v>
      </c>
      <c r="J10" s="53">
        <f>X10</f>
        <v>0</v>
      </c>
      <c r="K10" s="52" t="str">
        <f>IF(ISBLANK(AB10),"",AB10)</f>
        <v/>
      </c>
      <c r="L10" s="52" t="str">
        <f>IF(ISBLANK(AC10),"",AC10)</f>
        <v/>
      </c>
      <c r="M10" s="51" t="str">
        <f>IF(AA10="","",AA10)</f>
        <v/>
      </c>
      <c r="N10" s="30" t="str">
        <f>CONCATENATE(IF(E10&lt;&gt;T10,"НеРавны",),IF(AND(NOT(ISBLANK(R10)),R10&lt;&gt;T10),"Д",),IF(AND(NOT(ISBLANK(S10)),S10&lt;&gt;U10),"Ш",))</f>
        <v/>
      </c>
      <c r="O10" s="22"/>
      <c r="P10" s="18"/>
      <c r="Q10" s="18"/>
      <c r="R10" s="18"/>
      <c r="S10" s="18"/>
      <c r="T10" s="3"/>
      <c r="U10" s="3"/>
      <c r="V10" s="23"/>
      <c r="W10" s="23"/>
      <c r="X10" s="26"/>
      <c r="Y10" s="18"/>
      <c r="Z10" s="18"/>
      <c r="AA10" s="18"/>
      <c r="AB10" s="18"/>
      <c r="AC10" s="18"/>
    </row>
    <row r="11" spans="1:56" x14ac:dyDescent="0.25">
      <c r="A11" s="9" t="str">
        <f>CONCATENATE(O11,".",LEFT(J11))</f>
        <v>.0</v>
      </c>
      <c r="B11" s="32" t="str">
        <f>CONCATENATE(IF(OR(Y11="Не определена",Y11,ISBLANK(Y11)),"↕",),IF(Y11="Не обязательна","±",),Q11,".",P11)</f>
        <v>↕.</v>
      </c>
      <c r="C11" s="54"/>
      <c r="D11" s="54"/>
      <c r="E11" s="48">
        <f>IF(M11="скрутка",T11+$Q$1,IF(M11="склейка",T11+$Q$1,IF(M11="запил торца",ROUND(T11+$P$1,0),IF(M11="запил торцов",ROUND(T11+$P$1*2,0),T11))))+IF(G11=$O$1,$P$1,)+IF(H11=$O$1,$P$1,)</f>
        <v>0</v>
      </c>
      <c r="F11" s="48">
        <f>IF(M11="скрутка",U11+$Q$1,IF(M11="склейка",U11+$Q$1,IF(M11="запил торца",ROUND(U11+$P$1,0),IF(M11="запил торцов",ROUND(U11+$P$1*2,0),U11))))+IF(C11=$O$1,$P$1,)+IF(D11=$O$1,$P$1,)</f>
        <v>0</v>
      </c>
      <c r="G11" s="54"/>
      <c r="H11" s="54"/>
      <c r="I11" s="49">
        <f>IF(OR(M11="скрутка",M11="склейка"),Z11*2,Z11)</f>
        <v>0</v>
      </c>
      <c r="J11" s="53">
        <f>X11</f>
        <v>0</v>
      </c>
      <c r="K11" s="52" t="str">
        <f>IF(ISBLANK(AB11),"",AB11)</f>
        <v/>
      </c>
      <c r="L11" s="52" t="str">
        <f>IF(ISBLANK(AC11),"",AC11)</f>
        <v/>
      </c>
      <c r="M11" s="51" t="str">
        <f>IF(AA11="","",AA11)</f>
        <v/>
      </c>
      <c r="N11" s="30" t="str">
        <f>CONCATENATE(IF(E11&lt;&gt;T11,"НеРавны",),IF(AND(NOT(ISBLANK(R11)),R11&lt;&gt;T11),"Д",),IF(AND(NOT(ISBLANK(S11)),S11&lt;&gt;U11),"Ш",))</f>
        <v/>
      </c>
      <c r="O11" s="22"/>
      <c r="P11" s="18"/>
      <c r="Q11" s="18"/>
      <c r="R11" s="18"/>
      <c r="S11" s="18"/>
      <c r="T11" s="3"/>
      <c r="U11" s="3"/>
      <c r="V11" s="23"/>
      <c r="W11" s="23"/>
      <c r="X11" s="26"/>
      <c r="Y11" s="18"/>
      <c r="Z11" s="18"/>
      <c r="AA11" s="18"/>
      <c r="AB11" s="18"/>
      <c r="AC11" s="18"/>
    </row>
    <row r="12" spans="1:56" x14ac:dyDescent="0.25">
      <c r="A12" s="9" t="str">
        <f>CONCATENATE(O12,".",LEFT(J12))</f>
        <v>.0</v>
      </c>
      <c r="B12" s="32" t="str">
        <f>CONCATENATE(IF(OR(Y12="Не определена",Y12,ISBLANK(Y12)),"↕",),IF(Y12="Не обязательна","±",),Q12,".",P12)</f>
        <v>↕.</v>
      </c>
      <c r="C12" s="54"/>
      <c r="D12" s="54"/>
      <c r="E12" s="48">
        <f>IF(M12="скрутка",T12+$Q$1,IF(M12="склейка",T12+$Q$1,IF(M12="запил торца",ROUND(T12+$P$1,0),IF(M12="запил торцов",ROUND(T12+$P$1*2,0),T12))))+IF(G12=$O$1,$P$1,)+IF(H12=$O$1,$P$1,)</f>
        <v>0</v>
      </c>
      <c r="F12" s="48">
        <f>IF(M12="скрутка",U12+$Q$1,IF(M12="склейка",U12+$Q$1,IF(M12="запил торца",ROUND(U12+$P$1,0),IF(M12="запил торцов",ROUND(U12+$P$1*2,0),U12))))+IF(C12=$O$1,$P$1,)+IF(D12=$O$1,$P$1,)</f>
        <v>0</v>
      </c>
      <c r="G12" s="54"/>
      <c r="H12" s="54"/>
      <c r="I12" s="49">
        <f>IF(OR(M12="скрутка",M12="склейка"),Z12*2,Z12)</f>
        <v>0</v>
      </c>
      <c r="J12" s="53">
        <f>X12</f>
        <v>0</v>
      </c>
      <c r="K12" s="52" t="str">
        <f>IF(ISBLANK(AB12),"",AB12)</f>
        <v/>
      </c>
      <c r="L12" s="52" t="str">
        <f>IF(ISBLANK(AC12),"",AC12)</f>
        <v/>
      </c>
      <c r="M12" s="51" t="str">
        <f>IF(AA12="","",AA12)</f>
        <v/>
      </c>
      <c r="N12" s="30" t="str">
        <f>CONCATENATE(IF(E12&lt;&gt;T12,"НеРавны",),IF(AND(NOT(ISBLANK(R12)),R12&lt;&gt;T12),"Д",),IF(AND(NOT(ISBLANK(S12)),S12&lt;&gt;U12),"Ш",))</f>
        <v/>
      </c>
      <c r="O12" s="22"/>
      <c r="P12" s="18"/>
      <c r="Q12" s="18"/>
      <c r="R12" s="18"/>
      <c r="S12" s="18"/>
      <c r="T12" s="3"/>
      <c r="U12" s="3"/>
      <c r="V12" s="23"/>
      <c r="W12" s="23"/>
      <c r="X12" s="26"/>
      <c r="Y12" s="18"/>
      <c r="Z12" s="18"/>
      <c r="AA12" s="18"/>
      <c r="AB12" s="18"/>
      <c r="AC12" s="18"/>
    </row>
    <row r="13" spans="1:56" x14ac:dyDescent="0.25">
      <c r="A13" s="9" t="str">
        <f>CONCATENATE(O13,".",LEFT(J13))</f>
        <v>.0</v>
      </c>
      <c r="B13" s="32" t="str">
        <f>CONCATENATE(IF(OR(Y13="Не определена",Y13,ISBLANK(Y13)),"↕",),IF(Y13="Не обязательна","±",),Q13,".",P13)</f>
        <v>↕.</v>
      </c>
      <c r="C13" s="54"/>
      <c r="D13" s="54"/>
      <c r="E13" s="48">
        <f>IF(M13="скрутка",T13+$Q$1,IF(M13="склейка",T13+$Q$1,IF(M13="запил торца",ROUND(T13+$P$1,0),IF(M13="запил торцов",ROUND(T13+$P$1*2,0),T13))))+IF(G13=$O$1,$P$1,)+IF(H13=$O$1,$P$1,)</f>
        <v>0</v>
      </c>
      <c r="F13" s="48">
        <f>IF(M13="скрутка",U13+$Q$1,IF(M13="склейка",U13+$Q$1,IF(M13="запил торца",ROUND(U13+$P$1,0),IF(M13="запил торцов",ROUND(U13+$P$1*2,0),U13))))+IF(C13=$O$1,$P$1,)+IF(D13=$O$1,$P$1,)</f>
        <v>0</v>
      </c>
      <c r="G13" s="54"/>
      <c r="H13" s="54"/>
      <c r="I13" s="49">
        <f>IF(OR(M13="скрутка",M13="склейка"),Z13*2,Z13)</f>
        <v>0</v>
      </c>
      <c r="J13" s="53">
        <f>X13</f>
        <v>0</v>
      </c>
      <c r="K13" s="52" t="str">
        <f>IF(ISBLANK(AB13),"",AB13)</f>
        <v/>
      </c>
      <c r="L13" s="52" t="str">
        <f>IF(ISBLANK(AC13),"",AC13)</f>
        <v/>
      </c>
      <c r="M13" s="51" t="str">
        <f>IF(AA13="","",AA13)</f>
        <v/>
      </c>
      <c r="N13" s="30" t="str">
        <f>CONCATENATE(IF(E13&lt;&gt;T13,"НеРавны",),IF(AND(NOT(ISBLANK(R13)),R13&lt;&gt;T13),"Д",),IF(AND(NOT(ISBLANK(S13)),S13&lt;&gt;U13),"Ш",))</f>
        <v/>
      </c>
      <c r="O13" s="22"/>
      <c r="P13" s="18"/>
      <c r="Q13" s="18"/>
      <c r="R13" s="18"/>
      <c r="S13" s="18"/>
      <c r="T13" s="3"/>
      <c r="U13" s="3"/>
      <c r="V13" s="23"/>
      <c r="W13" s="23"/>
      <c r="X13" s="26"/>
      <c r="Y13" s="18"/>
      <c r="Z13" s="18"/>
      <c r="AA13" s="18"/>
      <c r="AB13" s="18"/>
      <c r="AC13" s="18"/>
    </row>
    <row r="14" spans="1:56" x14ac:dyDescent="0.25">
      <c r="A14" s="13"/>
      <c r="B14" s="34"/>
      <c r="C14" s="42"/>
      <c r="D14" s="42"/>
      <c r="E14" s="33"/>
      <c r="F14" s="33"/>
      <c r="G14" s="42"/>
      <c r="H14" s="45" t="s">
        <v>15</v>
      </c>
      <c r="I14" s="50">
        <f>SUM(I4:I13)</f>
        <v>0</v>
      </c>
      <c r="J14" s="35"/>
      <c r="K14" s="34"/>
      <c r="L14" s="34"/>
      <c r="M14" s="36"/>
      <c r="O14" s="24"/>
      <c r="V14" s="17"/>
      <c r="W14" s="17"/>
    </row>
    <row r="15" spans="1:56" ht="15" customHeight="1" x14ac:dyDescent="0.25">
      <c r="A15" s="34"/>
      <c r="B15" s="34"/>
      <c r="C15" s="42"/>
      <c r="D15" s="42"/>
      <c r="E15" s="33"/>
      <c r="F15" s="33"/>
      <c r="G15" s="42"/>
      <c r="H15" s="42"/>
      <c r="I15" s="25"/>
      <c r="J15" s="35"/>
      <c r="K15" s="34"/>
      <c r="L15" s="34"/>
      <c r="M15" s="36"/>
      <c r="O15" s="24"/>
      <c r="V15" s="17"/>
      <c r="W15" s="17"/>
    </row>
    <row r="16" spans="1:56" x14ac:dyDescent="0.25">
      <c r="A16" s="2" t="s">
        <v>8</v>
      </c>
      <c r="B16" s="13"/>
      <c r="C16" s="42"/>
      <c r="D16" s="42"/>
      <c r="E16" s="33"/>
      <c r="F16" s="33"/>
      <c r="G16" s="42"/>
      <c r="H16" s="42"/>
      <c r="I16" s="25"/>
      <c r="J16" s="37"/>
      <c r="K16" s="13"/>
      <c r="L16" s="13"/>
      <c r="M16" s="36"/>
      <c r="O16" s="24"/>
      <c r="V16" s="17"/>
      <c r="W16" s="17"/>
    </row>
    <row r="17" spans="1:23" x14ac:dyDescent="0.25">
      <c r="A17" s="30" t="s">
        <v>32</v>
      </c>
      <c r="B17" s="13"/>
      <c r="C17" s="42"/>
      <c r="D17" s="42"/>
      <c r="E17" s="33"/>
      <c r="F17" s="33"/>
      <c r="G17" s="42"/>
      <c r="H17" s="42"/>
      <c r="I17" s="25"/>
      <c r="J17" s="37"/>
      <c r="K17" s="13"/>
      <c r="L17" s="13"/>
      <c r="M17" s="36"/>
      <c r="O17" s="24"/>
      <c r="V17" s="17"/>
      <c r="W17" s="17"/>
    </row>
    <row r="18" spans="1:23" x14ac:dyDescent="0.25">
      <c r="A18" s="13" t="s">
        <v>33</v>
      </c>
    </row>
    <row r="19" spans="1:23" x14ac:dyDescent="0.25">
      <c r="A19" s="13" t="s">
        <v>16</v>
      </c>
    </row>
    <row r="20" spans="1:23" x14ac:dyDescent="0.25">
      <c r="A20" s="13" t="s">
        <v>28</v>
      </c>
    </row>
    <row r="21" spans="1:23" x14ac:dyDescent="0.25">
      <c r="A21" s="13"/>
    </row>
    <row r="22" spans="1:23" ht="18.75" x14ac:dyDescent="0.3">
      <c r="A22" s="1" t="str">
        <f>CONCATENATE(A2, ". Соответствие кромки и ДСП")</f>
        <v>0. Соответствие кромки и ДСП</v>
      </c>
      <c r="N22" s="30" t="s">
        <v>35</v>
      </c>
    </row>
    <row r="23" spans="1:23" x14ac:dyDescent="0.25">
      <c r="A23" s="3" t="s">
        <v>6</v>
      </c>
      <c r="B23" s="4" t="s">
        <v>14</v>
      </c>
      <c r="C23" s="40"/>
      <c r="D23" s="60"/>
      <c r="E23" s="61"/>
      <c r="F23" s="5"/>
      <c r="G23" s="44"/>
      <c r="H23" s="57" t="s">
        <v>31</v>
      </c>
      <c r="I23" s="58" t="s">
        <v>30</v>
      </c>
      <c r="J23" s="3" t="s">
        <v>13</v>
      </c>
      <c r="K23" s="3" t="s">
        <v>52</v>
      </c>
      <c r="L23" s="55"/>
      <c r="M23" s="56"/>
    </row>
    <row r="24" spans="1:23" x14ac:dyDescent="0.25">
      <c r="A24" s="3"/>
      <c r="B24" s="4"/>
      <c r="C24" s="46"/>
      <c r="D24" s="62"/>
      <c r="E24" s="63"/>
      <c r="F24" s="5"/>
      <c r="G24" s="43"/>
      <c r="H24" s="59"/>
      <c r="I24" s="18"/>
      <c r="J24" s="3"/>
      <c r="K24" s="3"/>
      <c r="L24" s="55"/>
      <c r="M24" s="56"/>
    </row>
    <row r="25" spans="1:23" x14ac:dyDescent="0.25">
      <c r="A25" s="3"/>
      <c r="B25" s="4"/>
      <c r="C25" s="46"/>
      <c r="D25" s="62"/>
      <c r="E25" s="63"/>
      <c r="F25" s="5"/>
      <c r="G25" s="43"/>
      <c r="H25" s="59"/>
      <c r="I25" s="18"/>
      <c r="J25" s="80"/>
      <c r="K25" s="3"/>
      <c r="L25" s="55"/>
      <c r="M25" s="56"/>
    </row>
    <row r="26" spans="1:23" x14ac:dyDescent="0.25">
      <c r="A26" s="3"/>
      <c r="B26" s="4"/>
      <c r="C26" s="46"/>
      <c r="D26" s="62"/>
      <c r="E26" s="63"/>
      <c r="F26" s="5"/>
      <c r="G26" s="43"/>
      <c r="H26" s="59"/>
      <c r="I26" s="18"/>
      <c r="J26" s="3"/>
      <c r="K26" s="3"/>
      <c r="L26" s="55"/>
      <c r="M26" s="56"/>
    </row>
    <row r="27" spans="1:23" x14ac:dyDescent="0.25">
      <c r="A27" s="3"/>
      <c r="B27" s="4"/>
      <c r="C27" s="46"/>
      <c r="D27" s="62"/>
      <c r="E27" s="63"/>
      <c r="F27" s="5"/>
      <c r="G27" s="43"/>
      <c r="H27" s="59"/>
      <c r="I27" s="18"/>
      <c r="J27" s="80"/>
      <c r="K27" s="3"/>
      <c r="L27" s="55"/>
      <c r="M27" s="56"/>
    </row>
    <row r="28" spans="1:23" x14ac:dyDescent="0.25">
      <c r="A28" s="3"/>
      <c r="B28" s="4"/>
      <c r="C28" s="46"/>
      <c r="D28" s="62"/>
      <c r="E28" s="63"/>
      <c r="F28" s="5"/>
      <c r="G28" s="43"/>
      <c r="H28" s="59"/>
      <c r="I28" s="18"/>
      <c r="J28" s="80"/>
      <c r="K28" s="3"/>
      <c r="L28" s="55"/>
      <c r="M28" s="56"/>
    </row>
    <row r="29" spans="1:23" x14ac:dyDescent="0.25">
      <c r="A29" s="3"/>
      <c r="B29" s="4"/>
      <c r="C29" s="46"/>
      <c r="D29" s="62"/>
      <c r="E29" s="63"/>
      <c r="F29" s="5"/>
      <c r="G29" s="43"/>
      <c r="H29" s="59"/>
      <c r="I29" s="18"/>
      <c r="J29" s="3"/>
      <c r="K29" s="3"/>
      <c r="L29" s="55"/>
      <c r="M29" s="56"/>
    </row>
    <row r="30" spans="1:23" x14ac:dyDescent="0.25">
      <c r="A30" s="3"/>
      <c r="B30" s="81"/>
      <c r="C30" s="46"/>
      <c r="D30" s="62"/>
      <c r="E30" s="63"/>
      <c r="F30" s="5"/>
      <c r="G30" s="43"/>
      <c r="H30" s="59"/>
      <c r="I30" s="18"/>
      <c r="J30" s="80"/>
      <c r="K30" s="3"/>
      <c r="L30" s="55"/>
      <c r="M30" s="56"/>
    </row>
    <row r="31" spans="1:23" x14ac:dyDescent="0.25">
      <c r="A31" s="3"/>
      <c r="B31" s="81"/>
      <c r="C31" s="46"/>
      <c r="D31" s="62"/>
      <c r="E31" s="63"/>
      <c r="F31" s="5"/>
      <c r="G31" s="43"/>
      <c r="H31" s="59"/>
      <c r="I31" s="18"/>
      <c r="J31" s="80"/>
      <c r="K31" s="3"/>
      <c r="L31" s="55"/>
      <c r="M31" s="56"/>
    </row>
    <row r="32" spans="1:23" x14ac:dyDescent="0.25">
      <c r="A32" s="3"/>
      <c r="B32" s="81"/>
      <c r="C32" s="46"/>
      <c r="D32" s="62"/>
      <c r="E32" s="63"/>
      <c r="F32" s="5"/>
      <c r="G32" s="43"/>
      <c r="H32" s="59"/>
      <c r="I32" s="18"/>
      <c r="J32" s="80"/>
      <c r="K32" s="3"/>
      <c r="L32" s="55"/>
      <c r="M32" s="56"/>
    </row>
    <row r="33" spans="1:29" x14ac:dyDescent="0.25">
      <c r="A33" s="3"/>
      <c r="B33" s="81"/>
      <c r="C33" s="46"/>
      <c r="D33" s="62"/>
      <c r="E33" s="63"/>
      <c r="F33" s="5"/>
      <c r="G33" s="43"/>
      <c r="H33" s="59"/>
      <c r="I33" s="18"/>
      <c r="J33" s="3"/>
      <c r="K33" s="3"/>
      <c r="L33" s="55"/>
      <c r="M33" s="56"/>
    </row>
    <row r="34" spans="1:29" x14ac:dyDescent="0.25">
      <c r="A34" s="3"/>
      <c r="B34" s="81"/>
      <c r="C34" s="46"/>
      <c r="D34" s="62"/>
      <c r="E34" s="63"/>
      <c r="F34" s="5"/>
      <c r="G34" s="43"/>
      <c r="H34" s="59"/>
      <c r="I34" s="18"/>
      <c r="J34" s="80"/>
      <c r="K34" s="3"/>
      <c r="L34" s="55"/>
      <c r="M34" s="56"/>
    </row>
    <row r="35" spans="1:29" x14ac:dyDescent="0.25">
      <c r="A35" s="3"/>
      <c r="B35" s="4"/>
      <c r="C35" s="46"/>
      <c r="D35" s="62"/>
      <c r="E35" s="63"/>
      <c r="F35" s="5"/>
      <c r="G35" s="43"/>
      <c r="H35" s="59"/>
      <c r="I35" s="18"/>
      <c r="J35" s="18"/>
      <c r="K35" s="3"/>
      <c r="L35" s="55"/>
      <c r="M35" s="56"/>
    </row>
    <row r="36" spans="1:29" ht="18.75" x14ac:dyDescent="0.3">
      <c r="A36" s="1" t="str">
        <f>CONCATENATE(A2, ". Стекло")</f>
        <v>0. Стекло</v>
      </c>
    </row>
    <row r="37" spans="1:29" x14ac:dyDescent="0.25">
      <c r="A37" s="3" t="s">
        <v>6</v>
      </c>
      <c r="B37" s="4" t="s">
        <v>5</v>
      </c>
      <c r="C37" s="39" t="s">
        <v>9</v>
      </c>
      <c r="D37" s="40" t="s">
        <v>11</v>
      </c>
      <c r="E37" s="6" t="s">
        <v>1</v>
      </c>
      <c r="F37" s="7" t="s">
        <v>0</v>
      </c>
      <c r="G37" s="40" t="s">
        <v>10</v>
      </c>
      <c r="H37" s="44" t="s">
        <v>12</v>
      </c>
      <c r="I37" s="8" t="s">
        <v>2</v>
      </c>
      <c r="J37" s="3" t="s">
        <v>3</v>
      </c>
      <c r="K37" s="4"/>
      <c r="L37" s="4"/>
      <c r="M37" s="3" t="s">
        <v>4</v>
      </c>
    </row>
    <row r="38" spans="1:29" x14ac:dyDescent="0.25">
      <c r="A38" s="9"/>
      <c r="B38" s="32"/>
      <c r="C38" s="41"/>
      <c r="D38" s="41"/>
      <c r="E38" s="14"/>
      <c r="F38" s="14"/>
      <c r="G38" s="41"/>
      <c r="H38" s="41"/>
      <c r="I38" s="10"/>
      <c r="J38" s="11"/>
      <c r="K38" s="32"/>
      <c r="L38" s="32"/>
      <c r="M38" s="28"/>
      <c r="O38" s="22"/>
      <c r="P38" s="18"/>
      <c r="Q38" s="18"/>
      <c r="R38" s="18"/>
      <c r="S38" s="18"/>
      <c r="T38" s="3"/>
      <c r="U38" s="3"/>
      <c r="V38" s="23"/>
      <c r="W38" s="23"/>
      <c r="X38" s="18"/>
      <c r="Y38" s="18"/>
      <c r="Z38" s="18"/>
      <c r="AA38" s="18"/>
      <c r="AB38" s="18"/>
      <c r="AC38" s="18"/>
    </row>
    <row r="39" spans="1:29" x14ac:dyDescent="0.25">
      <c r="A39" s="9"/>
      <c r="B39" s="32"/>
      <c r="C39" s="41"/>
      <c r="D39" s="41"/>
      <c r="E39" s="14"/>
      <c r="F39" s="14"/>
      <c r="G39" s="41"/>
      <c r="H39" s="41"/>
      <c r="I39" s="10"/>
      <c r="J39" s="11"/>
      <c r="K39" s="32"/>
      <c r="L39" s="32"/>
      <c r="M39" s="28"/>
      <c r="O39" s="22"/>
      <c r="P39" s="18"/>
      <c r="Q39" s="18"/>
      <c r="R39" s="18"/>
      <c r="S39" s="18"/>
      <c r="T39" s="3"/>
      <c r="U39" s="3"/>
      <c r="V39" s="23"/>
      <c r="W39" s="23"/>
      <c r="X39" s="18"/>
      <c r="Y39" s="18"/>
      <c r="Z39" s="18"/>
      <c r="AA39" s="18"/>
      <c r="AB39" s="18"/>
      <c r="AC39" s="18"/>
    </row>
    <row r="40" spans="1:29" x14ac:dyDescent="0.25">
      <c r="A40" s="9"/>
      <c r="B40" s="32"/>
      <c r="C40" s="41"/>
      <c r="D40" s="41"/>
      <c r="E40" s="14"/>
      <c r="F40" s="14"/>
      <c r="G40" s="41"/>
      <c r="H40" s="41"/>
      <c r="I40" s="10"/>
      <c r="J40" s="11"/>
      <c r="K40" s="32"/>
      <c r="L40" s="32"/>
      <c r="M40" s="28"/>
      <c r="O40" s="22"/>
      <c r="P40" s="18"/>
      <c r="Q40" s="18"/>
      <c r="R40" s="18"/>
      <c r="S40" s="18"/>
      <c r="T40" s="3"/>
      <c r="U40" s="3"/>
      <c r="V40" s="23"/>
      <c r="W40" s="23"/>
      <c r="X40" s="18"/>
      <c r="Y40" s="18"/>
      <c r="Z40" s="18"/>
      <c r="AA40" s="18"/>
      <c r="AB40" s="18"/>
      <c r="AC40" s="18"/>
    </row>
    <row r="41" spans="1:29" x14ac:dyDescent="0.25">
      <c r="A41" s="9"/>
      <c r="B41" s="32"/>
      <c r="C41" s="41"/>
      <c r="D41" s="41"/>
      <c r="E41" s="14"/>
      <c r="F41" s="14"/>
      <c r="G41" s="41"/>
      <c r="H41" s="41"/>
      <c r="I41" s="10"/>
      <c r="J41" s="11"/>
      <c r="K41" s="32"/>
      <c r="L41" s="32"/>
      <c r="M41" s="28"/>
      <c r="O41" s="22"/>
      <c r="P41" s="18"/>
      <c r="Q41" s="18"/>
      <c r="R41" s="18"/>
      <c r="S41" s="18"/>
      <c r="T41" s="3"/>
      <c r="U41" s="3"/>
      <c r="V41" s="23"/>
      <c r="W41" s="23"/>
      <c r="X41" s="18"/>
      <c r="Y41" s="18"/>
      <c r="Z41" s="18"/>
      <c r="AA41" s="18"/>
      <c r="AB41" s="18"/>
      <c r="AC41" s="18"/>
    </row>
    <row r="42" spans="1:29" x14ac:dyDescent="0.25">
      <c r="A42" s="9"/>
      <c r="B42" s="32"/>
      <c r="C42" s="41"/>
      <c r="D42" s="41"/>
      <c r="E42" s="14"/>
      <c r="F42" s="14"/>
      <c r="G42" s="41"/>
      <c r="H42" s="41"/>
      <c r="I42" s="10"/>
      <c r="J42" s="11"/>
      <c r="K42" s="32"/>
      <c r="L42" s="32"/>
      <c r="M42" s="28"/>
      <c r="O42" s="22"/>
      <c r="P42" s="18"/>
      <c r="Q42" s="18"/>
      <c r="R42" s="18"/>
      <c r="S42" s="18"/>
      <c r="T42" s="3"/>
      <c r="U42" s="3"/>
      <c r="V42" s="23"/>
      <c r="W42" s="23"/>
      <c r="X42" s="18"/>
      <c r="Y42" s="18"/>
      <c r="Z42" s="18"/>
      <c r="AA42" s="18"/>
      <c r="AB42" s="18"/>
      <c r="AC42" s="18"/>
    </row>
    <row r="43" spans="1:29" x14ac:dyDescent="0.25">
      <c r="A43" s="13"/>
      <c r="B43" s="9"/>
      <c r="C43" s="41"/>
      <c r="D43" s="41"/>
      <c r="E43" s="14"/>
      <c r="F43" s="14"/>
      <c r="G43" s="41"/>
      <c r="H43" s="45" t="s">
        <v>15</v>
      </c>
      <c r="I43" s="25">
        <f>SUM(I38:I42)</f>
        <v>0</v>
      </c>
      <c r="J43" s="11"/>
      <c r="K43" s="9"/>
      <c r="L43" s="9"/>
      <c r="M43" s="12"/>
      <c r="O43" s="24"/>
      <c r="V43" s="17"/>
      <c r="W43" s="17"/>
    </row>
    <row r="44" spans="1:29" x14ac:dyDescent="0.25">
      <c r="A44" s="16" t="s">
        <v>8</v>
      </c>
      <c r="B44" s="9"/>
      <c r="C44" s="41"/>
      <c r="D44" s="41"/>
      <c r="E44" s="14"/>
      <c r="F44" s="14"/>
      <c r="G44" s="41"/>
      <c r="H44" s="41"/>
      <c r="I44" s="10"/>
      <c r="J44" s="15"/>
      <c r="K44" s="9"/>
      <c r="L44" s="9"/>
      <c r="M44" s="12"/>
    </row>
    <row r="45" spans="1:29" x14ac:dyDescent="0.25">
      <c r="A45" s="13" t="s">
        <v>40</v>
      </c>
      <c r="B45" s="9"/>
      <c r="C45" s="41"/>
      <c r="D45" s="41"/>
      <c r="E45" s="14"/>
      <c r="F45" s="14"/>
      <c r="G45" s="41"/>
      <c r="H45" s="41"/>
      <c r="I45" s="10"/>
      <c r="J45" s="15"/>
      <c r="K45" s="9"/>
      <c r="L45" s="9"/>
      <c r="M45" s="12"/>
    </row>
    <row r="47" spans="1:29" ht="18.75" x14ac:dyDescent="0.3">
      <c r="A47" s="1" t="str">
        <f>CONCATENATE(A2, ". Пластик")</f>
        <v>0. Пластик</v>
      </c>
    </row>
    <row r="48" spans="1:29" x14ac:dyDescent="0.25">
      <c r="A48" s="3" t="s">
        <v>6</v>
      </c>
      <c r="B48" s="4" t="s">
        <v>5</v>
      </c>
      <c r="C48" s="39" t="s">
        <v>9</v>
      </c>
      <c r="D48" s="40" t="s">
        <v>11</v>
      </c>
      <c r="E48" s="6" t="s">
        <v>1</v>
      </c>
      <c r="F48" s="7" t="s">
        <v>0</v>
      </c>
      <c r="G48" s="40" t="s">
        <v>10</v>
      </c>
      <c r="H48" s="44" t="s">
        <v>12</v>
      </c>
      <c r="I48" s="8" t="s">
        <v>2</v>
      </c>
      <c r="J48" s="3" t="s">
        <v>3</v>
      </c>
      <c r="K48" s="4"/>
      <c r="L48" s="4"/>
      <c r="M48" s="3" t="s">
        <v>4</v>
      </c>
    </row>
    <row r="49" spans="1:29" x14ac:dyDescent="0.25">
      <c r="A49" s="9"/>
      <c r="B49" s="32"/>
      <c r="C49" s="41"/>
      <c r="D49" s="41"/>
      <c r="E49" s="14"/>
      <c r="F49" s="14"/>
      <c r="G49" s="41"/>
      <c r="H49" s="41"/>
      <c r="I49" s="10"/>
      <c r="J49" s="11"/>
      <c r="K49" s="32"/>
      <c r="L49" s="32"/>
      <c r="M49" s="28"/>
      <c r="O49" s="22"/>
      <c r="P49" s="18"/>
      <c r="Q49" s="18"/>
      <c r="R49" s="18"/>
      <c r="S49" s="18"/>
      <c r="T49" s="3"/>
      <c r="U49" s="3"/>
      <c r="V49" s="23"/>
      <c r="W49" s="23"/>
      <c r="X49" s="18"/>
      <c r="Y49" s="18"/>
      <c r="Z49" s="18"/>
      <c r="AA49" s="18"/>
      <c r="AB49" s="18"/>
      <c r="AC49" s="18"/>
    </row>
    <row r="50" spans="1:29" x14ac:dyDescent="0.25">
      <c r="A50" s="9"/>
      <c r="B50" s="32"/>
      <c r="C50" s="41"/>
      <c r="D50" s="41"/>
      <c r="E50" s="14"/>
      <c r="F50" s="14"/>
      <c r="G50" s="41"/>
      <c r="H50" s="41"/>
      <c r="I50" s="10"/>
      <c r="J50" s="11"/>
      <c r="K50" s="32"/>
      <c r="L50" s="32"/>
      <c r="M50" s="28"/>
      <c r="O50" s="22"/>
      <c r="P50" s="18"/>
      <c r="Q50" s="18"/>
      <c r="R50" s="18"/>
      <c r="S50" s="18"/>
      <c r="T50" s="3"/>
      <c r="U50" s="3"/>
      <c r="V50" s="23"/>
      <c r="W50" s="23"/>
      <c r="X50" s="18"/>
      <c r="Y50" s="18"/>
      <c r="Z50" s="18"/>
      <c r="AA50" s="18"/>
      <c r="AB50" s="18"/>
      <c r="AC50" s="18"/>
    </row>
    <row r="51" spans="1:29" x14ac:dyDescent="0.25">
      <c r="A51" s="9"/>
      <c r="B51" s="32"/>
      <c r="C51" s="41"/>
      <c r="D51" s="41"/>
      <c r="E51" s="14"/>
      <c r="F51" s="14"/>
      <c r="G51" s="41"/>
      <c r="H51" s="41"/>
      <c r="I51" s="10"/>
      <c r="J51" s="11"/>
      <c r="K51" s="15"/>
      <c r="L51" s="15"/>
      <c r="M51" s="11"/>
      <c r="O51" s="22"/>
      <c r="P51" s="18"/>
      <c r="Q51" s="18"/>
      <c r="R51" s="18"/>
      <c r="S51" s="18"/>
      <c r="T51" s="3"/>
      <c r="U51" s="3"/>
      <c r="V51" s="23"/>
      <c r="W51" s="23"/>
      <c r="X51" s="18"/>
      <c r="Y51" s="18"/>
      <c r="Z51" s="18"/>
      <c r="AA51" s="18"/>
      <c r="AB51" s="18"/>
      <c r="AC51" s="18"/>
    </row>
    <row r="52" spans="1:29" x14ac:dyDescent="0.25">
      <c r="A52" s="9"/>
      <c r="B52" s="32"/>
      <c r="C52" s="41"/>
      <c r="D52" s="41"/>
      <c r="E52" s="14"/>
      <c r="F52" s="14"/>
      <c r="G52" s="41"/>
      <c r="H52" s="41"/>
      <c r="I52" s="10"/>
      <c r="J52" s="11"/>
      <c r="K52" s="15"/>
      <c r="L52" s="15"/>
      <c r="M52" s="11"/>
      <c r="O52" s="22"/>
      <c r="P52" s="18"/>
      <c r="Q52" s="18"/>
      <c r="R52" s="18"/>
      <c r="S52" s="18"/>
      <c r="T52" s="3"/>
      <c r="U52" s="3"/>
      <c r="V52" s="23"/>
      <c r="W52" s="23"/>
      <c r="X52" s="18"/>
      <c r="Y52" s="18"/>
      <c r="Z52" s="18"/>
      <c r="AA52" s="18"/>
      <c r="AB52" s="18"/>
      <c r="AC52" s="18"/>
    </row>
    <row r="53" spans="1:29" x14ac:dyDescent="0.25">
      <c r="A53" s="9"/>
      <c r="B53" s="32"/>
      <c r="C53" s="41"/>
      <c r="D53" s="41"/>
      <c r="E53" s="14"/>
      <c r="F53" s="14"/>
      <c r="G53" s="41"/>
      <c r="H53" s="41"/>
      <c r="I53" s="10"/>
      <c r="J53" s="11"/>
      <c r="K53" s="15"/>
      <c r="L53" s="15"/>
      <c r="M53" s="11"/>
      <c r="O53" s="22"/>
      <c r="P53" s="18"/>
      <c r="Q53" s="18"/>
      <c r="R53" s="18"/>
      <c r="S53" s="18"/>
      <c r="T53" s="3"/>
      <c r="U53" s="3"/>
      <c r="V53" s="23"/>
      <c r="W53" s="23"/>
      <c r="X53" s="18"/>
      <c r="Y53" s="18"/>
      <c r="Z53" s="18"/>
      <c r="AA53" s="18"/>
      <c r="AB53" s="18"/>
      <c r="AC53" s="18"/>
    </row>
    <row r="54" spans="1:29" x14ac:dyDescent="0.25">
      <c r="A54" s="9"/>
      <c r="B54" s="32"/>
      <c r="C54" s="41"/>
      <c r="D54" s="41"/>
      <c r="E54" s="14"/>
      <c r="F54" s="14"/>
      <c r="G54" s="41"/>
      <c r="H54" s="41"/>
      <c r="I54" s="10"/>
      <c r="J54" s="11"/>
      <c r="K54" s="15"/>
      <c r="L54" s="15"/>
      <c r="M54" s="11"/>
      <c r="O54" s="22"/>
      <c r="P54" s="18"/>
      <c r="Q54" s="18"/>
      <c r="R54" s="18"/>
      <c r="S54" s="18"/>
      <c r="T54" s="3"/>
      <c r="U54" s="3"/>
      <c r="V54" s="23"/>
      <c r="W54" s="23"/>
      <c r="X54" s="18"/>
      <c r="Y54" s="18"/>
      <c r="Z54" s="18"/>
      <c r="AA54" s="18"/>
      <c r="AB54" s="18"/>
      <c r="AC54" s="18"/>
    </row>
    <row r="55" spans="1:29" x14ac:dyDescent="0.25">
      <c r="A55" s="9"/>
      <c r="B55" s="32"/>
      <c r="C55" s="41"/>
      <c r="D55" s="41"/>
      <c r="E55" s="14"/>
      <c r="F55" s="14"/>
      <c r="G55" s="41"/>
      <c r="H55" s="41"/>
      <c r="I55" s="10"/>
      <c r="J55" s="11"/>
      <c r="K55" s="15"/>
      <c r="L55" s="15"/>
      <c r="M55" s="11"/>
      <c r="O55" s="22"/>
      <c r="P55" s="18"/>
      <c r="Q55" s="18"/>
      <c r="R55" s="18"/>
      <c r="S55" s="18"/>
      <c r="T55" s="3"/>
      <c r="U55" s="3"/>
      <c r="V55" s="23"/>
      <c r="W55" s="23"/>
      <c r="X55" s="18"/>
      <c r="Y55" s="18"/>
      <c r="Z55" s="18"/>
      <c r="AA55" s="18"/>
      <c r="AB55" s="18"/>
      <c r="AC55" s="18"/>
    </row>
    <row r="56" spans="1:29" x14ac:dyDescent="0.25">
      <c r="A56" s="9"/>
      <c r="B56" s="32"/>
      <c r="C56" s="41"/>
      <c r="D56" s="41"/>
      <c r="E56" s="14"/>
      <c r="F56" s="14"/>
      <c r="G56" s="41"/>
      <c r="H56" s="41"/>
      <c r="I56" s="10"/>
      <c r="J56" s="11"/>
      <c r="K56" s="15"/>
      <c r="L56" s="15"/>
      <c r="M56" s="11"/>
      <c r="O56" s="22"/>
      <c r="P56" s="18"/>
      <c r="Q56" s="18"/>
      <c r="R56" s="18"/>
      <c r="S56" s="18"/>
      <c r="T56" s="3"/>
      <c r="U56" s="3"/>
      <c r="V56" s="23"/>
      <c r="W56" s="23"/>
      <c r="X56" s="18"/>
      <c r="Y56" s="18"/>
      <c r="Z56" s="18"/>
      <c r="AA56" s="18"/>
      <c r="AB56" s="18"/>
      <c r="AC56" s="18"/>
    </row>
    <row r="57" spans="1:29" x14ac:dyDescent="0.25">
      <c r="A57" s="9"/>
      <c r="B57" s="32"/>
      <c r="C57" s="41"/>
      <c r="D57" s="41"/>
      <c r="E57" s="14"/>
      <c r="F57" s="14"/>
      <c r="G57" s="41"/>
      <c r="H57" s="41"/>
      <c r="I57" s="10"/>
      <c r="J57" s="11"/>
      <c r="K57" s="15"/>
      <c r="L57" s="15"/>
      <c r="M57" s="11"/>
      <c r="O57" s="22"/>
      <c r="P57" s="18"/>
      <c r="Q57" s="18"/>
      <c r="R57" s="18"/>
      <c r="S57" s="18"/>
      <c r="T57" s="3"/>
      <c r="U57" s="3"/>
      <c r="V57" s="23"/>
      <c r="W57" s="23"/>
      <c r="X57" s="18"/>
      <c r="Y57" s="18"/>
      <c r="Z57" s="18"/>
      <c r="AA57" s="18"/>
      <c r="AB57" s="18"/>
      <c r="AC57" s="18"/>
    </row>
    <row r="58" spans="1:29" x14ac:dyDescent="0.25">
      <c r="A58" s="9"/>
      <c r="B58" s="32"/>
      <c r="C58" s="41"/>
      <c r="D58" s="41"/>
      <c r="E58" s="14"/>
      <c r="F58" s="14"/>
      <c r="G58" s="41"/>
      <c r="H58" s="41"/>
      <c r="I58" s="10"/>
      <c r="J58" s="11"/>
      <c r="K58" s="15"/>
      <c r="L58" s="15"/>
      <c r="M58" s="11"/>
      <c r="O58" s="22"/>
      <c r="P58" s="18"/>
      <c r="Q58" s="18"/>
      <c r="R58" s="18"/>
      <c r="S58" s="18"/>
      <c r="T58" s="3"/>
      <c r="U58" s="3"/>
      <c r="V58" s="23"/>
      <c r="W58" s="23"/>
      <c r="X58" s="18"/>
      <c r="Y58" s="18"/>
      <c r="Z58" s="18"/>
      <c r="AA58" s="18"/>
      <c r="AB58" s="18"/>
      <c r="AC58" s="18"/>
    </row>
    <row r="59" spans="1:29" x14ac:dyDescent="0.25">
      <c r="A59" s="13"/>
      <c r="B59" s="9"/>
      <c r="C59" s="41"/>
      <c r="D59" s="41"/>
      <c r="E59" s="14"/>
      <c r="F59" s="14"/>
      <c r="G59" s="41"/>
      <c r="H59" s="45" t="s">
        <v>15</v>
      </c>
      <c r="I59" s="25">
        <f>SUM(I49:I58)</f>
        <v>0</v>
      </c>
      <c r="J59" s="11"/>
      <c r="K59" s="9"/>
      <c r="L59" s="9"/>
      <c r="M59" s="12"/>
    </row>
    <row r="60" spans="1:29" x14ac:dyDescent="0.25">
      <c r="A60" s="16" t="s">
        <v>8</v>
      </c>
      <c r="B60" s="9"/>
      <c r="C60" s="41"/>
      <c r="D60" s="41"/>
      <c r="E60" s="14"/>
      <c r="F60" s="14"/>
      <c r="G60" s="41"/>
      <c r="H60" s="41"/>
      <c r="I60" s="10"/>
      <c r="J60" s="15"/>
      <c r="K60" s="9"/>
      <c r="L60" s="9"/>
      <c r="M60" s="12"/>
    </row>
    <row r="61" spans="1:29" x14ac:dyDescent="0.25">
      <c r="A61" s="13" t="s">
        <v>40</v>
      </c>
      <c r="B61" s="9"/>
      <c r="C61" s="41"/>
      <c r="D61" s="41"/>
      <c r="E61" s="14"/>
      <c r="F61" s="14"/>
      <c r="G61" s="41"/>
      <c r="H61" s="41"/>
      <c r="I61" s="10"/>
      <c r="J61" s="15"/>
      <c r="K61" s="9"/>
      <c r="L61" s="9"/>
      <c r="M61" s="12"/>
    </row>
    <row r="66" spans="1:81" ht="18.75" x14ac:dyDescent="0.3">
      <c r="A66" s="1" t="s">
        <v>29</v>
      </c>
    </row>
    <row r="67" spans="1:81" x14ac:dyDescent="0.25">
      <c r="A67" s="30" t="s">
        <v>37</v>
      </c>
    </row>
    <row r="68" spans="1:81" x14ac:dyDescent="0.25">
      <c r="M68" s="30"/>
      <c r="T68" s="30"/>
      <c r="U68" s="30"/>
    </row>
    <row r="69" spans="1:81" x14ac:dyDescent="0.25">
      <c r="M69" s="30"/>
      <c r="T69" s="30"/>
      <c r="U69" s="30"/>
    </row>
    <row r="70" spans="1:81" x14ac:dyDescent="0.25">
      <c r="M70" s="30"/>
      <c r="T70" s="30"/>
      <c r="U70" s="30"/>
    </row>
    <row r="71" spans="1:81"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row>
    <row r="73" spans="1:81"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row>
    <row r="74" spans="1:81"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row>
    <row r="75" spans="1:81"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row>
    <row r="76" spans="1:81"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row>
    <row r="77" spans="1:81"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row>
    <row r="78" spans="1:81"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row>
    <row r="79" spans="1:81"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row>
    <row r="80" spans="1:81"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row>
    <row r="81" spans="1:81"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row>
    <row r="82" spans="1:81"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row>
    <row r="83" spans="1:81"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row>
    <row r="84" spans="1:81"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row>
    <row r="85" spans="1:81"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row>
    <row r="86" spans="1:81"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row>
    <row r="87" spans="1:81"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row>
    <row r="88" spans="1:81"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row>
    <row r="89" spans="1:81"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row>
    <row r="90" spans="1:81"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row>
    <row r="91" spans="1:81"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row>
    <row r="92" spans="1:81"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row>
    <row r="93" spans="1:81"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row>
    <row r="94" spans="1:81"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row>
    <row r="95" spans="1:81"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row>
    <row r="96" spans="1:81"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row>
    <row r="97" spans="1:81"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row>
    <row r="98" spans="1:81"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row>
    <row r="99" spans="1:81"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row>
    <row r="100" spans="1:81"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row>
    <row r="101" spans="1:81"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row>
    <row r="102" spans="1:81"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row>
    <row r="103" spans="1:81"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row>
    <row r="104" spans="1:81"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row>
    <row r="105" spans="1:81"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row>
    <row r="106" spans="1:81"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row>
    <row r="107" spans="1:81"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row>
    <row r="108" spans="1:81"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row>
    <row r="109" spans="1:81"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row>
    <row r="110" spans="1:81"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row>
    <row r="111" spans="1:81"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row>
    <row r="112" spans="1:81"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row>
    <row r="113" spans="1:81"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row>
    <row r="114" spans="1:81"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row>
    <row r="115" spans="1:81"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row>
    <row r="116" spans="1:81"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row>
    <row r="117" spans="1:81"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row>
    <row r="118" spans="1:81"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row>
    <row r="119" spans="1:81"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row>
    <row r="120" spans="1:81"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row>
    <row r="121" spans="1:81"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row>
    <row r="122" spans="1:81"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row>
    <row r="123" spans="1:81"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row>
    <row r="124" spans="1:81"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row>
    <row r="125" spans="1:81"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row>
    <row r="126" spans="1:81"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row>
    <row r="127" spans="1:81"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row>
    <row r="128" spans="1:81"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row>
    <row r="129" spans="1:81"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row>
    <row r="130" spans="1:81"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row>
    <row r="131" spans="1:81"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row>
    <row r="132" spans="1:81"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row>
    <row r="133" spans="1:81"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row>
    <row r="134" spans="1:81"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row>
    <row r="135" spans="1:81"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row>
    <row r="136" spans="1:81"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row>
    <row r="137" spans="1:81"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row>
    <row r="138" spans="1:81"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row>
    <row r="139" spans="1:81"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row>
    <row r="140" spans="1:81"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row>
    <row r="141" spans="1:81"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row>
    <row r="142" spans="1:81"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row>
    <row r="143" spans="1:81"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row>
    <row r="144" spans="1:81"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row>
    <row r="145" spans="1:81"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row>
    <row r="146" spans="1:81"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row>
    <row r="147" spans="1:81"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row>
    <row r="148" spans="1:81"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row>
    <row r="149" spans="1:81"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row>
    <row r="150" spans="1:81"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row>
    <row r="151" spans="1:81"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row>
    <row r="152" spans="1:81"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row>
    <row r="153" spans="1:81"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row>
    <row r="154" spans="1:81"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row>
    <row r="155" spans="1:81"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row>
    <row r="156" spans="1:81"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row>
    <row r="157" spans="1:81"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row>
    <row r="158" spans="1:81"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row>
    <row r="159" spans="1:81"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row>
    <row r="160" spans="1:81"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row>
    <row r="161" spans="1:81"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row>
    <row r="162" spans="1:81"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row>
    <row r="163" spans="1:81"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row>
    <row r="164" spans="1:81"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row>
    <row r="165" spans="1:81"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row>
    <row r="166" spans="1:81"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row>
    <row r="167" spans="1:81"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row>
    <row r="168" spans="1:81"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row>
    <row r="169" spans="1:81"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row>
    <row r="170" spans="1:81"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row>
    <row r="171" spans="1:81"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row>
    <row r="172" spans="1:81"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row>
    <row r="173" spans="1:81"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row>
    <row r="174" spans="1:81"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row>
    <row r="175" spans="1:81"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row>
    <row r="176" spans="1:81"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row>
    <row r="177" spans="1:81"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row>
    <row r="178" spans="1:81"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row>
    <row r="179" spans="1:81"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row>
    <row r="180" spans="1:81"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row>
    <row r="181" spans="1:81"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row>
    <row r="182" spans="1:81"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row>
    <row r="183" spans="1:81"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row>
    <row r="184" spans="1:81"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row>
    <row r="185" spans="1:81"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row>
    <row r="186" spans="1:81"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row>
    <row r="187" spans="1:81"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row>
    <row r="188" spans="1:81"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row>
    <row r="189" spans="1:81"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row>
    <row r="190" spans="1:81"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row>
    <row r="191" spans="1:81"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row>
    <row r="192" spans="1:81"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row>
    <row r="193" spans="1:81"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row>
    <row r="194" spans="1:81"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row>
    <row r="195" spans="1:81"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row>
    <row r="196" spans="1:81"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row>
    <row r="197" spans="1:81"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row>
    <row r="198" spans="1:81"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row>
    <row r="199" spans="1:81"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row>
    <row r="200" spans="1:81"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row>
    <row r="201" spans="1:81"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row>
    <row r="202" spans="1:81"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row>
    <row r="203" spans="1:81"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row>
    <row r="204" spans="1:81"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row>
    <row r="205" spans="1:81"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row>
    <row r="206" spans="1:81"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row>
    <row r="207" spans="1:81"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row>
    <row r="208" spans="1:81"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row>
    <row r="209" spans="1:81"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row>
    <row r="210" spans="1:81"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row>
    <row r="211" spans="1:81"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row>
    <row r="212" spans="1:81"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row>
    <row r="213" spans="1:81"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row>
    <row r="214" spans="1:81"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row>
    <row r="215" spans="1:81"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row>
    <row r="216" spans="1:81"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row>
    <row r="217" spans="1:81"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row>
    <row r="218" spans="1:81"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row>
    <row r="219" spans="1:81"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row>
    <row r="220" spans="1:81"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row>
    <row r="221" spans="1:81"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row>
    <row r="222" spans="1:81"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row>
    <row r="223" spans="1:81"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row>
    <row r="224" spans="1:81"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row>
    <row r="225" spans="1:81"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row>
    <row r="226" spans="1:81"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row>
    <row r="227" spans="1:81"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row>
    <row r="228" spans="1:81"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row>
    <row r="229" spans="1:81"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row>
    <row r="230" spans="1:81"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row>
    <row r="231" spans="1:81"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row>
    <row r="232" spans="1:81"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row>
    <row r="233" spans="1:81"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row>
    <row r="234" spans="1:81"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row>
    <row r="235" spans="1:81"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row>
    <row r="236" spans="1:81"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row>
    <row r="237" spans="1:81"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row>
    <row r="238" spans="1:81"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row>
    <row r="239" spans="1:81"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row>
    <row r="240" spans="1:81"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row>
    <row r="241" spans="1:81"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row>
    <row r="242" spans="1:81"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row>
    <row r="243" spans="1:81"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row>
    <row r="244" spans="1:81"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row>
    <row r="245" spans="1:81"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row>
    <row r="246" spans="1:81"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row>
    <row r="247" spans="1:81"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row>
    <row r="248" spans="1:81"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row>
    <row r="249" spans="1:81"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row>
    <row r="250" spans="1:81"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row>
    <row r="251" spans="1:81"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row>
    <row r="252" spans="1:81"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row>
    <row r="253" spans="1:81"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row>
    <row r="254" spans="1:81"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row>
    <row r="255" spans="1:81"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row>
    <row r="256" spans="1:81"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row>
    <row r="257" spans="1:81"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row>
    <row r="258" spans="1:81"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row>
    <row r="259" spans="1:81"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row>
    <row r="260" spans="1:81"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row>
    <row r="261" spans="1:81"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row>
    <row r="262" spans="1:81"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row>
    <row r="263" spans="1:81"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row>
    <row r="264" spans="1:81"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row>
    <row r="265" spans="1:81"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row>
    <row r="266" spans="1:81"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row>
    <row r="267" spans="1:81"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row>
    <row r="268" spans="1:81"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row>
    <row r="269" spans="1:81"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row>
    <row r="270" spans="1:81"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row>
    <row r="271" spans="1:81"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row>
    <row r="272" spans="1:81"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row>
    <row r="273" spans="1:81"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row>
    <row r="274" spans="1:81"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row>
    <row r="275" spans="1:81"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row>
    <row r="276" spans="1:81"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row>
    <row r="277" spans="1:81"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row>
    <row r="278" spans="1:81"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row>
    <row r="279" spans="1:81"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row>
    <row r="280" spans="1:81"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row>
    <row r="281" spans="1:81"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row>
    <row r="282" spans="1:81"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row>
    <row r="283" spans="1:81"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row>
    <row r="284" spans="1:81"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row>
    <row r="285" spans="1:81"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row>
    <row r="286" spans="1:81"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row>
    <row r="287" spans="1:81"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row>
    <row r="288" spans="1:81"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row>
    <row r="289" spans="1:81"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row>
    <row r="290" spans="1:81"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row>
    <row r="291" spans="1:81"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row>
    <row r="292" spans="1:81"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row>
    <row r="293" spans="1:81"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row>
    <row r="294" spans="1:81"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row>
    <row r="295" spans="1:81"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row>
    <row r="296" spans="1:81"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row>
    <row r="297" spans="1:81"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row>
    <row r="298" spans="1:81"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row>
    <row r="299" spans="1:81"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row>
    <row r="300" spans="1:81"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row>
    <row r="301" spans="1:81"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row>
    <row r="302" spans="1:81"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row>
    <row r="303" spans="1:81"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row>
    <row r="304" spans="1:81"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row>
    <row r="305" spans="1:81"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row>
    <row r="306" spans="1:81"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row>
    <row r="307" spans="1:81"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row>
    <row r="308" spans="1:81"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row>
    <row r="309" spans="1:81"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row>
    <row r="310" spans="1:81"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row>
    <row r="311" spans="1:81"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row>
    <row r="312" spans="1:81"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row>
    <row r="313" spans="1:81"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row>
    <row r="314" spans="1:81"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row>
    <row r="315" spans="1:81"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row>
    <row r="316" spans="1:81"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row>
    <row r="317" spans="1:81"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row>
    <row r="318" spans="1:81"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row>
    <row r="319" spans="1:81"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row>
    <row r="320" spans="1:81"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row>
    <row r="321" spans="1:81"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row>
    <row r="322" spans="1:81"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row>
    <row r="323" spans="1:81"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row>
    <row r="324" spans="1:81"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row>
    <row r="325" spans="1:81"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row>
    <row r="326" spans="1:81"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row>
    <row r="327" spans="1:81"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row>
    <row r="328" spans="1:81"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row>
    <row r="329" spans="1:81"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row>
    <row r="330" spans="1:81"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row>
    <row r="331" spans="1:81"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row>
    <row r="332" spans="1:81"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row>
    <row r="333" spans="1:81"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row>
    <row r="334" spans="1:81"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row>
    <row r="335" spans="1:81"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row>
    <row r="336" spans="1:81"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row>
    <row r="337" spans="1:81"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row>
    <row r="338" spans="1:81"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row>
    <row r="339" spans="1:81"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row>
    <row r="340" spans="1:81"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row>
    <row r="341" spans="1:81"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row>
    <row r="342" spans="1:81"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row>
    <row r="343" spans="1:81"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row>
    <row r="344" spans="1:81"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row>
    <row r="345" spans="1:81"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row>
    <row r="346" spans="1:81"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row>
    <row r="347" spans="1:81"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row>
    <row r="348" spans="1:81"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row>
    <row r="349" spans="1:81"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row>
    <row r="350" spans="1:81"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row>
    <row r="351" spans="1:81"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row>
    <row r="352" spans="1:81"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row>
    <row r="353" spans="1:81"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row>
    <row r="354" spans="1:81"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row>
    <row r="355" spans="1:81"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row>
    <row r="356" spans="1:81"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row>
    <row r="357" spans="1:81"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row>
    <row r="358" spans="1:81"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row>
    <row r="359" spans="1:81"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row>
    <row r="360" spans="1:81"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row>
    <row r="361" spans="1:81"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row>
    <row r="362" spans="1:81"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row>
    <row r="363" spans="1:81"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row>
    <row r="364" spans="1:81"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row>
    <row r="365" spans="1:81"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row>
    <row r="366" spans="1:81"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row>
    <row r="367" spans="1:81"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row>
    <row r="368" spans="1:81"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row>
    <row r="369" spans="1:81"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row>
    <row r="370" spans="1:81"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row>
    <row r="371" spans="1:81"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row>
    <row r="372" spans="1:81"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row>
    <row r="373" spans="1:81"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row>
    <row r="374" spans="1:81"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row>
    <row r="375" spans="1:81"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row>
    <row r="376" spans="1:81"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row>
    <row r="377" spans="1:81"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row>
    <row r="378" spans="1:81"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row>
    <row r="379" spans="1:81"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row>
    <row r="380" spans="1:81"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row>
    <row r="381" spans="1:81"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row>
    <row r="382" spans="1:81"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row>
    <row r="383" spans="1:81"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row>
    <row r="384" spans="1:81"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row>
    <row r="385" spans="1:81"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row>
    <row r="386" spans="1:81"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row>
    <row r="387" spans="1:81"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row>
    <row r="388" spans="1:81"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row>
    <row r="389" spans="1:81"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row>
    <row r="390" spans="1:81"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row>
    <row r="391" spans="1:81"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row>
    <row r="392" spans="1:81"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row>
    <row r="393" spans="1:81"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row>
    <row r="394" spans="1:81"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row>
    <row r="395" spans="1:81"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row>
    <row r="396" spans="1:81"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row>
    <row r="397" spans="1:81"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row>
    <row r="398" spans="1:81"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row>
    <row r="399" spans="1:81"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row>
    <row r="400" spans="1:81"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row>
    <row r="401" spans="1:81"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row>
    <row r="402" spans="1:81"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row>
    <row r="403" spans="1:81"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row>
    <row r="404" spans="1:81"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row>
    <row r="405" spans="1:81"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row>
    <row r="406" spans="1:81"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row>
    <row r="407" spans="1:81"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row>
    <row r="408" spans="1:81"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row>
    <row r="409" spans="1:81"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row>
    <row r="410" spans="1:81"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row>
    <row r="411" spans="1:81"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row>
    <row r="412" spans="1:81"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row>
    <row r="413" spans="1:81"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row>
    <row r="414" spans="1:81"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row>
    <row r="415" spans="1:81"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row>
    <row r="416" spans="1:81"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row>
    <row r="417" spans="1:81"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row>
    <row r="418" spans="1:81"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row>
    <row r="419" spans="1:81"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row>
    <row r="420" spans="1:81"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row>
    <row r="421" spans="1:81"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row>
    <row r="422" spans="1:81"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row>
    <row r="423" spans="1:81"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row>
    <row r="424" spans="1:81"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row>
    <row r="425" spans="1:81"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row>
    <row r="426" spans="1:81"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row>
    <row r="427" spans="1:81"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row>
    <row r="428" spans="1:81"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row>
    <row r="429" spans="1:81"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row>
    <row r="430" spans="1:81"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row>
    <row r="431" spans="1:81"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row>
    <row r="432" spans="1:81"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row>
    <row r="433" spans="1:81"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row>
    <row r="434" spans="1:81"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row>
    <row r="435" spans="1:81"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row>
    <row r="436" spans="1:81"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row>
    <row r="437" spans="1:81"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row>
  </sheetData>
  <sortState xmlns:xlrd2="http://schemas.microsoft.com/office/spreadsheetml/2017/richdata2" ref="A4:AC13">
    <sortCondition ref="Q4:Q13"/>
    <sortCondition ref="X4:X13"/>
    <sortCondition ref="P4:P13"/>
  </sortState>
  <phoneticPr fontId="10" type="noConversion"/>
  <conditionalFormatting sqref="C58">
    <cfRule type="expression" dxfId="199" priority="20594" stopIfTrue="1">
      <formula>AND(NOT(ISBLANK(C58)),NOT(_xlfn.ISFORMULA(C58)))</formula>
    </cfRule>
  </conditionalFormatting>
  <conditionalFormatting sqref="D58">
    <cfRule type="expression" dxfId="198" priority="20593" stopIfTrue="1">
      <formula>AND(NOT(ISBLANK(D58)),NOT(_xlfn.ISFORMULA(D58)))</formula>
    </cfRule>
  </conditionalFormatting>
  <conditionalFormatting sqref="G58">
    <cfRule type="expression" dxfId="197" priority="20592" stopIfTrue="1">
      <formula>AND(NOT(ISBLANK(G58)),NOT(_xlfn.ISFORMULA(G58)))</formula>
    </cfRule>
  </conditionalFormatting>
  <conditionalFormatting sqref="H58">
    <cfRule type="expression" dxfId="196" priority="20591" stopIfTrue="1">
      <formula>AND(NOT(ISBLANK(H58)),NOT(_xlfn.ISFORMULA(H58)))</formula>
    </cfRule>
  </conditionalFormatting>
  <conditionalFormatting sqref="D49">
    <cfRule type="expression" dxfId="195" priority="20709" stopIfTrue="1">
      <formula>AND(NOT(ISBLANK(D49)),NOT(_xlfn.ISFORMULA(D49)))</formula>
    </cfRule>
  </conditionalFormatting>
  <conditionalFormatting sqref="G49">
    <cfRule type="expression" dxfId="194" priority="20708" stopIfTrue="1">
      <formula>AND(NOT(ISBLANK(G49)),NOT(_xlfn.ISFORMULA(G49)))</formula>
    </cfRule>
  </conditionalFormatting>
  <conditionalFormatting sqref="H49">
    <cfRule type="expression" dxfId="193" priority="20707" stopIfTrue="1">
      <formula>AND(NOT(ISBLANK(H49)),NOT(_xlfn.ISFORMULA(H49)))</formula>
    </cfRule>
  </conditionalFormatting>
  <conditionalFormatting sqref="E38">
    <cfRule type="expression" dxfId="192" priority="20705">
      <formula>AND(AND(NOT(ISBLANK(D38)),NOT(D38=$O$1)),AND(NOT(ISBLANK(C38)),NOT(C38=$O$1)))</formula>
    </cfRule>
    <cfRule type="expression" dxfId="191" priority="20706">
      <formula>OR(AND(NOT(ISBLANK(D38)),NOT(D38=$O$1)),AND(NOT(ISBLANK(C38)),NOT(C38=$O$1)))</formula>
    </cfRule>
  </conditionalFormatting>
  <conditionalFormatting sqref="F38">
    <cfRule type="expression" dxfId="190" priority="20703">
      <formula>AND(AND(NOT(ISBLANK(G38)),NOT(G38=$O$1)),AND(NOT(ISBLANK(H38)),NOT(H38=$O$1)))</formula>
    </cfRule>
    <cfRule type="expression" dxfId="189" priority="20704">
      <formula>OR(AND(NOT(ISBLANK(G38)),NOT(G38=$O$1)),AND(NOT(ISBLANK(H38)),NOT(H38=$O$1)))</formula>
    </cfRule>
  </conditionalFormatting>
  <conditionalFormatting sqref="C38">
    <cfRule type="expression" dxfId="188" priority="20702" stopIfTrue="1">
      <formula>AND(NOT(ISBLANK(C38)),NOT(_xlfn.ISFORMULA(C38)))</formula>
    </cfRule>
  </conditionalFormatting>
  <conditionalFormatting sqref="D38">
    <cfRule type="expression" dxfId="187" priority="20701" stopIfTrue="1">
      <formula>AND(NOT(ISBLANK(D38)),NOT(_xlfn.ISFORMULA(D38)))</formula>
    </cfRule>
  </conditionalFormatting>
  <conditionalFormatting sqref="G38">
    <cfRule type="expression" dxfId="186" priority="20700" stopIfTrue="1">
      <formula>AND(NOT(ISBLANK(G38)),NOT(_xlfn.ISFORMULA(G38)))</formula>
    </cfRule>
  </conditionalFormatting>
  <conditionalFormatting sqref="H38">
    <cfRule type="expression" dxfId="185" priority="20699" stopIfTrue="1">
      <formula>AND(NOT(ISBLANK(H38)),NOT(_xlfn.ISFORMULA(H38)))</formula>
    </cfRule>
  </conditionalFormatting>
  <conditionalFormatting sqref="E49">
    <cfRule type="expression" dxfId="184" priority="20713">
      <formula>AND(AND(NOT(ISBLANK(D49)),NOT(D49=$O$1)),AND(NOT(ISBLANK(C49)),NOT(C49=$O$1)))</formula>
    </cfRule>
    <cfRule type="expression" dxfId="183" priority="20714">
      <formula>OR(AND(NOT(ISBLANK(D49)),NOT(D49=$O$1)),AND(NOT(ISBLANK(C49)),NOT(C49=$O$1)))</formula>
    </cfRule>
  </conditionalFormatting>
  <conditionalFormatting sqref="F49">
    <cfRule type="expression" dxfId="182" priority="20711">
      <formula>AND(AND(NOT(ISBLANK(G49)),NOT(G49=$O$1)),AND(NOT(ISBLANK(H49)),NOT(H49=$O$1)))</formula>
    </cfRule>
    <cfRule type="expression" dxfId="181" priority="20712">
      <formula>OR(AND(NOT(ISBLANK(G49)),NOT(G49=$O$1)),AND(NOT(ISBLANK(H49)),NOT(H49=$O$1)))</formula>
    </cfRule>
  </conditionalFormatting>
  <conditionalFormatting sqref="C49">
    <cfRule type="expression" dxfId="180" priority="20710" stopIfTrue="1">
      <formula>AND(NOT(ISBLANK(C49)),NOT(_xlfn.ISFORMULA(C49)))</formula>
    </cfRule>
  </conditionalFormatting>
  <conditionalFormatting sqref="E50">
    <cfRule type="expression" dxfId="179" priority="20697">
      <formula>AND(AND(NOT(ISBLANK(D50)),NOT(D50=$O$1)),AND(NOT(ISBLANK(C50)),NOT(C50=$O$1)))</formula>
    </cfRule>
    <cfRule type="expression" dxfId="178" priority="20698">
      <formula>OR(AND(NOT(ISBLANK(D50)),NOT(D50=$O$1)),AND(NOT(ISBLANK(C50)),NOT(C50=$O$1)))</formula>
    </cfRule>
  </conditionalFormatting>
  <conditionalFormatting sqref="F50">
    <cfRule type="expression" dxfId="177" priority="20695">
      <formula>AND(AND(NOT(ISBLANK(G50)),NOT(G50=$O$1)),AND(NOT(ISBLANK(H50)),NOT(H50=$O$1)))</formula>
    </cfRule>
    <cfRule type="expression" dxfId="176" priority="20696">
      <formula>OR(AND(NOT(ISBLANK(G50)),NOT(G50=$O$1)),AND(NOT(ISBLANK(H50)),NOT(H50=$O$1)))</formula>
    </cfRule>
  </conditionalFormatting>
  <conditionalFormatting sqref="C50">
    <cfRule type="expression" dxfId="175" priority="20694" stopIfTrue="1">
      <formula>AND(NOT(ISBLANK(C50)),NOT(_xlfn.ISFORMULA(C50)))</formula>
    </cfRule>
  </conditionalFormatting>
  <conditionalFormatting sqref="D50">
    <cfRule type="expression" dxfId="174" priority="20693" stopIfTrue="1">
      <formula>AND(NOT(ISBLANK(D50)),NOT(_xlfn.ISFORMULA(D50)))</formula>
    </cfRule>
  </conditionalFormatting>
  <conditionalFormatting sqref="G50">
    <cfRule type="expression" dxfId="173" priority="20692" stopIfTrue="1">
      <formula>AND(NOT(ISBLANK(G50)),NOT(_xlfn.ISFORMULA(G50)))</formula>
    </cfRule>
  </conditionalFormatting>
  <conditionalFormatting sqref="H50">
    <cfRule type="expression" dxfId="172" priority="20691" stopIfTrue="1">
      <formula>AND(NOT(ISBLANK(H50)),NOT(_xlfn.ISFORMULA(H50)))</formula>
    </cfRule>
  </conditionalFormatting>
  <conditionalFormatting sqref="C51">
    <cfRule type="expression" dxfId="171" priority="20686" stopIfTrue="1">
      <formula>AND(NOT(ISBLANK(C51)),NOT(_xlfn.ISFORMULA(C51)))</formula>
    </cfRule>
  </conditionalFormatting>
  <conditionalFormatting sqref="D51">
    <cfRule type="expression" dxfId="170" priority="20685" stopIfTrue="1">
      <formula>AND(NOT(ISBLANK(D51)),NOT(_xlfn.ISFORMULA(D51)))</formula>
    </cfRule>
  </conditionalFormatting>
  <conditionalFormatting sqref="G51">
    <cfRule type="expression" dxfId="169" priority="20684" stopIfTrue="1">
      <formula>AND(NOT(ISBLANK(G51)),NOT(_xlfn.ISFORMULA(G51)))</formula>
    </cfRule>
  </conditionalFormatting>
  <conditionalFormatting sqref="E51">
    <cfRule type="expression" dxfId="168" priority="20689">
      <formula>AND(AND(NOT(ISBLANK(D51)),NOT(D51=$O$1)),AND(NOT(ISBLANK(C51)),NOT(C51=$O$1)))</formula>
    </cfRule>
    <cfRule type="expression" dxfId="167" priority="20690">
      <formula>OR(AND(NOT(ISBLANK(D51)),NOT(D51=$O$1)),AND(NOT(ISBLANK(C51)),NOT(C51=$O$1)))</formula>
    </cfRule>
  </conditionalFormatting>
  <conditionalFormatting sqref="F51">
    <cfRule type="expression" dxfId="166" priority="20687">
      <formula>AND(AND(NOT(ISBLANK(G51)),NOT(G51=$O$1)),AND(NOT(ISBLANK(H51)),NOT(H51=$O$1)))</formula>
    </cfRule>
    <cfRule type="expression" dxfId="165" priority="20688">
      <formula>OR(AND(NOT(ISBLANK(G51)),NOT(G51=$O$1)),AND(NOT(ISBLANK(H51)),NOT(H51=$O$1)))</formula>
    </cfRule>
  </conditionalFormatting>
  <conditionalFormatting sqref="C39">
    <cfRule type="expression" dxfId="164" priority="20678" stopIfTrue="1">
      <formula>AND(NOT(ISBLANK(C39)),NOT(_xlfn.ISFORMULA(C39)))</formula>
    </cfRule>
  </conditionalFormatting>
  <conditionalFormatting sqref="D39">
    <cfRule type="expression" dxfId="163" priority="20677" stopIfTrue="1">
      <formula>AND(NOT(ISBLANK(D39)),NOT(_xlfn.ISFORMULA(D39)))</formula>
    </cfRule>
  </conditionalFormatting>
  <conditionalFormatting sqref="G39">
    <cfRule type="expression" dxfId="162" priority="20676" stopIfTrue="1">
      <formula>AND(NOT(ISBLANK(G39)),NOT(_xlfn.ISFORMULA(G39)))</formula>
    </cfRule>
  </conditionalFormatting>
  <conditionalFormatting sqref="H51">
    <cfRule type="expression" dxfId="161" priority="20683" stopIfTrue="1">
      <formula>AND(NOT(ISBLANK(H51)),NOT(_xlfn.ISFORMULA(H51)))</formula>
    </cfRule>
  </conditionalFormatting>
  <conditionalFormatting sqref="E39">
    <cfRule type="expression" dxfId="160" priority="20681">
      <formula>AND(AND(NOT(ISBLANK(D39)),NOT(D39=$O$1)),AND(NOT(ISBLANK(C39)),NOT(C39=$O$1)))</formula>
    </cfRule>
    <cfRule type="expression" dxfId="159" priority="20682">
      <formula>OR(AND(NOT(ISBLANK(D39)),NOT(D39=$O$1)),AND(NOT(ISBLANK(C39)),NOT(C39=$O$1)))</formula>
    </cfRule>
  </conditionalFormatting>
  <conditionalFormatting sqref="F39">
    <cfRule type="expression" dxfId="158" priority="20679">
      <formula>AND(AND(NOT(ISBLANK(G39)),NOT(G39=$O$1)),AND(NOT(ISBLANK(H39)),NOT(H39=$O$1)))</formula>
    </cfRule>
    <cfRule type="expression" dxfId="157" priority="20680">
      <formula>OR(AND(NOT(ISBLANK(G39)),NOT(G39=$O$1)),AND(NOT(ISBLANK(H39)),NOT(H39=$O$1)))</formula>
    </cfRule>
  </conditionalFormatting>
  <conditionalFormatting sqref="C52">
    <cfRule type="expression" dxfId="156" priority="20670" stopIfTrue="1">
      <formula>AND(NOT(ISBLANK(C52)),NOT(_xlfn.ISFORMULA(C52)))</formula>
    </cfRule>
  </conditionalFormatting>
  <conditionalFormatting sqref="D52">
    <cfRule type="expression" dxfId="155" priority="20669" stopIfTrue="1">
      <formula>AND(NOT(ISBLANK(D52)),NOT(_xlfn.ISFORMULA(D52)))</formula>
    </cfRule>
  </conditionalFormatting>
  <conditionalFormatting sqref="G52">
    <cfRule type="expression" dxfId="154" priority="20668" stopIfTrue="1">
      <formula>AND(NOT(ISBLANK(G52)),NOT(_xlfn.ISFORMULA(G52)))</formula>
    </cfRule>
  </conditionalFormatting>
  <conditionalFormatting sqref="H39">
    <cfRule type="expression" dxfId="153" priority="20675" stopIfTrue="1">
      <formula>AND(NOT(ISBLANK(H39)),NOT(_xlfn.ISFORMULA(H39)))</formula>
    </cfRule>
  </conditionalFormatting>
  <conditionalFormatting sqref="E52">
    <cfRule type="expression" dxfId="152" priority="20673">
      <formula>AND(AND(NOT(ISBLANK(D52)),NOT(D52=$O$1)),AND(NOT(ISBLANK(C52)),NOT(C52=$O$1)))</formula>
    </cfRule>
    <cfRule type="expression" dxfId="151" priority="20674">
      <formula>OR(AND(NOT(ISBLANK(D52)),NOT(D52=$O$1)),AND(NOT(ISBLANK(C52)),NOT(C52=$O$1)))</formula>
    </cfRule>
  </conditionalFormatting>
  <conditionalFormatting sqref="F52">
    <cfRule type="expression" dxfId="150" priority="20671">
      <formula>AND(AND(NOT(ISBLANK(G52)),NOT(G52=$O$1)),AND(NOT(ISBLANK(H52)),NOT(H52=$O$1)))</formula>
    </cfRule>
    <cfRule type="expression" dxfId="149" priority="20672">
      <formula>OR(AND(NOT(ISBLANK(G52)),NOT(G52=$O$1)),AND(NOT(ISBLANK(H52)),NOT(H52=$O$1)))</formula>
    </cfRule>
  </conditionalFormatting>
  <conditionalFormatting sqref="H52">
    <cfRule type="expression" dxfId="148" priority="20667" stopIfTrue="1">
      <formula>AND(NOT(ISBLANK(H52)),NOT(_xlfn.ISFORMULA(H52)))</formula>
    </cfRule>
  </conditionalFormatting>
  <conditionalFormatting sqref="H53">
    <cfRule type="expression" dxfId="147" priority="20659" stopIfTrue="1">
      <formula>AND(NOT(ISBLANK(H53)),NOT(_xlfn.ISFORMULA(H53)))</formula>
    </cfRule>
  </conditionalFormatting>
  <conditionalFormatting sqref="E53">
    <cfRule type="expression" dxfId="146" priority="20665">
      <formula>AND(AND(NOT(ISBLANK(D53)),NOT(D53=$O$1)),AND(NOT(ISBLANK(C53)),NOT(C53=$O$1)))</formula>
    </cfRule>
    <cfRule type="expression" dxfId="145" priority="20666">
      <formula>OR(AND(NOT(ISBLANK(D53)),NOT(D53=$O$1)),AND(NOT(ISBLANK(C53)),NOT(C53=$O$1)))</formula>
    </cfRule>
  </conditionalFormatting>
  <conditionalFormatting sqref="F53">
    <cfRule type="expression" dxfId="144" priority="20663">
      <formula>AND(AND(NOT(ISBLANK(G53)),NOT(G53=$O$1)),AND(NOT(ISBLANK(H53)),NOT(H53=$O$1)))</formula>
    </cfRule>
    <cfRule type="expression" dxfId="143" priority="20664">
      <formula>OR(AND(NOT(ISBLANK(G53)),NOT(G53=$O$1)),AND(NOT(ISBLANK(H53)),NOT(H53=$O$1)))</formula>
    </cfRule>
  </conditionalFormatting>
  <conditionalFormatting sqref="C53">
    <cfRule type="expression" dxfId="142" priority="20662" stopIfTrue="1">
      <formula>AND(NOT(ISBLANK(C53)),NOT(_xlfn.ISFORMULA(C53)))</formula>
    </cfRule>
  </conditionalFormatting>
  <conditionalFormatting sqref="D53">
    <cfRule type="expression" dxfId="141" priority="20661" stopIfTrue="1">
      <formula>AND(NOT(ISBLANK(D53)),NOT(_xlfn.ISFORMULA(D53)))</formula>
    </cfRule>
  </conditionalFormatting>
  <conditionalFormatting sqref="G53">
    <cfRule type="expression" dxfId="140" priority="20660" stopIfTrue="1">
      <formula>AND(NOT(ISBLANK(G53)),NOT(_xlfn.ISFORMULA(G53)))</formula>
    </cfRule>
  </conditionalFormatting>
  <conditionalFormatting sqref="E40">
    <cfRule type="expression" dxfId="139" priority="20657">
      <formula>AND(AND(NOT(ISBLANK(D40)),NOT(D40=$O$1)),AND(NOT(ISBLANK(C40)),NOT(C40=$O$1)))</formula>
    </cfRule>
    <cfRule type="expression" dxfId="138" priority="20658">
      <formula>OR(AND(NOT(ISBLANK(D40)),NOT(D40=$O$1)),AND(NOT(ISBLANK(C40)),NOT(C40=$O$1)))</formula>
    </cfRule>
  </conditionalFormatting>
  <conditionalFormatting sqref="F40">
    <cfRule type="expression" dxfId="137" priority="20655">
      <formula>AND(AND(NOT(ISBLANK(G40)),NOT(G40=$O$1)),AND(NOT(ISBLANK(H40)),NOT(H40=$O$1)))</formula>
    </cfRule>
    <cfRule type="expression" dxfId="136" priority="20656">
      <formula>OR(AND(NOT(ISBLANK(G40)),NOT(G40=$O$1)),AND(NOT(ISBLANK(H40)),NOT(H40=$O$1)))</formula>
    </cfRule>
  </conditionalFormatting>
  <conditionalFormatting sqref="C40">
    <cfRule type="expression" dxfId="135" priority="20654" stopIfTrue="1">
      <formula>AND(NOT(ISBLANK(C40)),NOT(_xlfn.ISFORMULA(C40)))</formula>
    </cfRule>
  </conditionalFormatting>
  <conditionalFormatting sqref="D40">
    <cfRule type="expression" dxfId="134" priority="20653" stopIfTrue="1">
      <formula>AND(NOT(ISBLANK(D40)),NOT(_xlfn.ISFORMULA(D40)))</formula>
    </cfRule>
  </conditionalFormatting>
  <conditionalFormatting sqref="G40">
    <cfRule type="expression" dxfId="133" priority="20652" stopIfTrue="1">
      <formula>AND(NOT(ISBLANK(G40)),NOT(_xlfn.ISFORMULA(G40)))</formula>
    </cfRule>
  </conditionalFormatting>
  <conditionalFormatting sqref="H40">
    <cfRule type="expression" dxfId="132" priority="20651" stopIfTrue="1">
      <formula>AND(NOT(ISBLANK(H40)),NOT(_xlfn.ISFORMULA(H40)))</formula>
    </cfRule>
  </conditionalFormatting>
  <conditionalFormatting sqref="E54">
    <cfRule type="expression" dxfId="131" priority="20649">
      <formula>AND(AND(NOT(ISBLANK(D54)),NOT(D54=$O$1)),AND(NOT(ISBLANK(C54)),NOT(C54=$O$1)))</formula>
    </cfRule>
    <cfRule type="expression" dxfId="130" priority="20650">
      <formula>OR(AND(NOT(ISBLANK(D54)),NOT(D54=$O$1)),AND(NOT(ISBLANK(C54)),NOT(C54=$O$1)))</formula>
    </cfRule>
  </conditionalFormatting>
  <conditionalFormatting sqref="F54">
    <cfRule type="expression" dxfId="129" priority="20647">
      <formula>AND(AND(NOT(ISBLANK(G54)),NOT(G54=$O$1)),AND(NOT(ISBLANK(H54)),NOT(H54=$O$1)))</formula>
    </cfRule>
    <cfRule type="expression" dxfId="128" priority="20648">
      <formula>OR(AND(NOT(ISBLANK(G54)),NOT(G54=$O$1)),AND(NOT(ISBLANK(H54)),NOT(H54=$O$1)))</formula>
    </cfRule>
  </conditionalFormatting>
  <conditionalFormatting sqref="C54">
    <cfRule type="expression" dxfId="127" priority="20646" stopIfTrue="1">
      <formula>AND(NOT(ISBLANK(C54)),NOT(_xlfn.ISFORMULA(C54)))</formula>
    </cfRule>
  </conditionalFormatting>
  <conditionalFormatting sqref="D54">
    <cfRule type="expression" dxfId="126" priority="20645" stopIfTrue="1">
      <formula>AND(NOT(ISBLANK(D54)),NOT(_xlfn.ISFORMULA(D54)))</formula>
    </cfRule>
  </conditionalFormatting>
  <conditionalFormatting sqref="G54">
    <cfRule type="expression" dxfId="125" priority="20644" stopIfTrue="1">
      <formula>AND(NOT(ISBLANK(G54)),NOT(_xlfn.ISFORMULA(G54)))</formula>
    </cfRule>
  </conditionalFormatting>
  <conditionalFormatting sqref="H54">
    <cfRule type="expression" dxfId="124" priority="20643" stopIfTrue="1">
      <formula>AND(NOT(ISBLANK(H54)),NOT(_xlfn.ISFORMULA(H54)))</formula>
    </cfRule>
  </conditionalFormatting>
  <conditionalFormatting sqref="H55">
    <cfRule type="expression" dxfId="123" priority="20631" stopIfTrue="1">
      <formula>AND(NOT(ISBLANK(H55)),NOT(_xlfn.ISFORMULA(H55)))</formula>
    </cfRule>
  </conditionalFormatting>
  <conditionalFormatting sqref="E55">
    <cfRule type="expression" dxfId="122" priority="20637">
      <formula>AND(AND(NOT(ISBLANK(D55)),NOT(D55=$O$1)),AND(NOT(ISBLANK(C55)),NOT(C55=$O$1)))</formula>
    </cfRule>
    <cfRule type="expression" dxfId="121" priority="20638">
      <formula>OR(AND(NOT(ISBLANK(D55)),NOT(D55=$O$1)),AND(NOT(ISBLANK(C55)),NOT(C55=$O$1)))</formula>
    </cfRule>
  </conditionalFormatting>
  <conditionalFormatting sqref="F55">
    <cfRule type="expression" dxfId="120" priority="20635">
      <formula>AND(AND(NOT(ISBLANK(G55)),NOT(G55=$O$1)),AND(NOT(ISBLANK(H55)),NOT(H55=$O$1)))</formula>
    </cfRule>
    <cfRule type="expression" dxfId="119" priority="20636">
      <formula>OR(AND(NOT(ISBLANK(G55)),NOT(G55=$O$1)),AND(NOT(ISBLANK(H55)),NOT(H55=$O$1)))</formula>
    </cfRule>
  </conditionalFormatting>
  <conditionalFormatting sqref="C55">
    <cfRule type="expression" dxfId="118" priority="20634" stopIfTrue="1">
      <formula>AND(NOT(ISBLANK(C55)),NOT(_xlfn.ISFORMULA(C55)))</formula>
    </cfRule>
  </conditionalFormatting>
  <conditionalFormatting sqref="D55">
    <cfRule type="expression" dxfId="117" priority="20633" stopIfTrue="1">
      <formula>AND(NOT(ISBLANK(D55)),NOT(_xlfn.ISFORMULA(D55)))</formula>
    </cfRule>
  </conditionalFormatting>
  <conditionalFormatting sqref="G55">
    <cfRule type="expression" dxfId="116" priority="20632" stopIfTrue="1">
      <formula>AND(NOT(ISBLANK(G55)),NOT(_xlfn.ISFORMULA(G55)))</formula>
    </cfRule>
  </conditionalFormatting>
  <conditionalFormatting sqref="E41">
    <cfRule type="expression" dxfId="115" priority="20629">
      <formula>AND(AND(NOT(ISBLANK(D41)),NOT(D41=$O$1)),AND(NOT(ISBLANK(C41)),NOT(C41=$O$1)))</formula>
    </cfRule>
    <cfRule type="expression" dxfId="114" priority="20630">
      <formula>OR(AND(NOT(ISBLANK(D41)),NOT(D41=$O$1)),AND(NOT(ISBLANK(C41)),NOT(C41=$O$1)))</formula>
    </cfRule>
  </conditionalFormatting>
  <conditionalFormatting sqref="F41">
    <cfRule type="expression" dxfId="113" priority="20627">
      <formula>AND(AND(NOT(ISBLANK(G41)),NOT(G41=$O$1)),AND(NOT(ISBLANK(H41)),NOT(H41=$O$1)))</formula>
    </cfRule>
    <cfRule type="expression" dxfId="112" priority="20628">
      <formula>OR(AND(NOT(ISBLANK(G41)),NOT(G41=$O$1)),AND(NOT(ISBLANK(H41)),NOT(H41=$O$1)))</formula>
    </cfRule>
  </conditionalFormatting>
  <conditionalFormatting sqref="C41">
    <cfRule type="expression" dxfId="111" priority="20626" stopIfTrue="1">
      <formula>AND(NOT(ISBLANK(C41)),NOT(_xlfn.ISFORMULA(C41)))</formula>
    </cfRule>
  </conditionalFormatting>
  <conditionalFormatting sqref="D41">
    <cfRule type="expression" dxfId="110" priority="20625" stopIfTrue="1">
      <formula>AND(NOT(ISBLANK(D41)),NOT(_xlfn.ISFORMULA(D41)))</formula>
    </cfRule>
  </conditionalFormatting>
  <conditionalFormatting sqref="G41">
    <cfRule type="expression" dxfId="109" priority="20624" stopIfTrue="1">
      <formula>AND(NOT(ISBLANK(G41)),NOT(_xlfn.ISFORMULA(G41)))</formula>
    </cfRule>
  </conditionalFormatting>
  <conditionalFormatting sqref="H41">
    <cfRule type="expression" dxfId="108" priority="20623" stopIfTrue="1">
      <formula>AND(NOT(ISBLANK(H41)),NOT(_xlfn.ISFORMULA(H41)))</formula>
    </cfRule>
  </conditionalFormatting>
  <conditionalFormatting sqref="E56">
    <cfRule type="expression" dxfId="107" priority="20621">
      <formula>AND(AND(NOT(ISBLANK(D56)),NOT(D56=$O$1)),AND(NOT(ISBLANK(C56)),NOT(C56=$O$1)))</formula>
    </cfRule>
    <cfRule type="expression" dxfId="106" priority="20622">
      <formula>OR(AND(NOT(ISBLANK(D56)),NOT(D56=$O$1)),AND(NOT(ISBLANK(C56)),NOT(C56=$O$1)))</formula>
    </cfRule>
  </conditionalFormatting>
  <conditionalFormatting sqref="F56">
    <cfRule type="expression" dxfId="105" priority="20619">
      <formula>AND(AND(NOT(ISBLANK(G56)),NOT(G56=$O$1)),AND(NOT(ISBLANK(H56)),NOT(H56=$O$1)))</formula>
    </cfRule>
    <cfRule type="expression" dxfId="104" priority="20620">
      <formula>OR(AND(NOT(ISBLANK(G56)),NOT(G56=$O$1)),AND(NOT(ISBLANK(H56)),NOT(H56=$O$1)))</formula>
    </cfRule>
  </conditionalFormatting>
  <conditionalFormatting sqref="C56">
    <cfRule type="expression" dxfId="103" priority="20618" stopIfTrue="1">
      <formula>AND(NOT(ISBLANK(C56)),NOT(_xlfn.ISFORMULA(C56)))</formula>
    </cfRule>
  </conditionalFormatting>
  <conditionalFormatting sqref="D56">
    <cfRule type="expression" dxfId="102" priority="20617" stopIfTrue="1">
      <formula>AND(NOT(ISBLANK(D56)),NOT(_xlfn.ISFORMULA(D56)))</formula>
    </cfRule>
  </conditionalFormatting>
  <conditionalFormatting sqref="G56">
    <cfRule type="expression" dxfId="101" priority="20616" stopIfTrue="1">
      <formula>AND(NOT(ISBLANK(G56)),NOT(_xlfn.ISFORMULA(G56)))</formula>
    </cfRule>
  </conditionalFormatting>
  <conditionalFormatting sqref="H56">
    <cfRule type="expression" dxfId="100" priority="20615" stopIfTrue="1">
      <formula>AND(NOT(ISBLANK(H56)),NOT(_xlfn.ISFORMULA(H56)))</formula>
    </cfRule>
  </conditionalFormatting>
  <conditionalFormatting sqref="E57">
    <cfRule type="expression" dxfId="99" priority="20613">
      <formula>AND(AND(NOT(ISBLANK(D57)),NOT(D57=$O$1)),AND(NOT(ISBLANK(C57)),NOT(C57=$O$1)))</formula>
    </cfRule>
    <cfRule type="expression" dxfId="98" priority="20614">
      <formula>OR(AND(NOT(ISBLANK(D57)),NOT(D57=$O$1)),AND(NOT(ISBLANK(C57)),NOT(C57=$O$1)))</formula>
    </cfRule>
  </conditionalFormatting>
  <conditionalFormatting sqref="F57">
    <cfRule type="expression" dxfId="97" priority="20611">
      <formula>AND(AND(NOT(ISBLANK(G57)),NOT(G57=$O$1)),AND(NOT(ISBLANK(H57)),NOT(H57=$O$1)))</formula>
    </cfRule>
    <cfRule type="expression" dxfId="96" priority="20612">
      <formula>OR(AND(NOT(ISBLANK(G57)),NOT(G57=$O$1)),AND(NOT(ISBLANK(H57)),NOT(H57=$O$1)))</formula>
    </cfRule>
  </conditionalFormatting>
  <conditionalFormatting sqref="E42">
    <cfRule type="expression" dxfId="95" priority="20605">
      <formula>AND(AND(NOT(ISBLANK(D42)),NOT(D42=$O$1)),AND(NOT(ISBLANK(C42)),NOT(C42=$O$1)))</formula>
    </cfRule>
    <cfRule type="expression" dxfId="94" priority="20606">
      <formula>OR(AND(NOT(ISBLANK(D42)),NOT(D42=$O$1)),AND(NOT(ISBLANK(C42)),NOT(C42=$O$1)))</formula>
    </cfRule>
  </conditionalFormatting>
  <conditionalFormatting sqref="F42">
    <cfRule type="expression" dxfId="93" priority="20603">
      <formula>AND(AND(NOT(ISBLANK(G42)),NOT(G42=$O$1)),AND(NOT(ISBLANK(H42)),NOT(H42=$O$1)))</formula>
    </cfRule>
    <cfRule type="expression" dxfId="92" priority="20604">
      <formula>OR(AND(NOT(ISBLANK(G42)),NOT(G42=$O$1)),AND(NOT(ISBLANK(H42)),NOT(H42=$O$1)))</formula>
    </cfRule>
  </conditionalFormatting>
  <conditionalFormatting sqref="C57">
    <cfRule type="expression" dxfId="91" priority="20610" stopIfTrue="1">
      <formula>AND(NOT(ISBLANK(C57)),NOT(_xlfn.ISFORMULA(C57)))</formula>
    </cfRule>
  </conditionalFormatting>
  <conditionalFormatting sqref="D57">
    <cfRule type="expression" dxfId="90" priority="20609" stopIfTrue="1">
      <formula>AND(NOT(ISBLANK(D57)),NOT(_xlfn.ISFORMULA(D57)))</formula>
    </cfRule>
  </conditionalFormatting>
  <conditionalFormatting sqref="G57">
    <cfRule type="expression" dxfId="89" priority="20608" stopIfTrue="1">
      <formula>AND(NOT(ISBLANK(G57)),NOT(_xlfn.ISFORMULA(G57)))</formula>
    </cfRule>
  </conditionalFormatting>
  <conditionalFormatting sqref="H57">
    <cfRule type="expression" dxfId="88" priority="20607" stopIfTrue="1">
      <formula>AND(NOT(ISBLANK(H57)),NOT(_xlfn.ISFORMULA(H57)))</formula>
    </cfRule>
  </conditionalFormatting>
  <conditionalFormatting sqref="C42">
    <cfRule type="expression" dxfId="87" priority="20602" stopIfTrue="1">
      <formula>AND(NOT(ISBLANK(C42)),NOT(_xlfn.ISFORMULA(C42)))</formula>
    </cfRule>
  </conditionalFormatting>
  <conditionalFormatting sqref="D42">
    <cfRule type="expression" dxfId="86" priority="20601" stopIfTrue="1">
      <formula>AND(NOT(ISBLANK(D42)),NOT(_xlfn.ISFORMULA(D42)))</formula>
    </cfRule>
  </conditionalFormatting>
  <conditionalFormatting sqref="G42">
    <cfRule type="expression" dxfId="85" priority="20600" stopIfTrue="1">
      <formula>AND(NOT(ISBLANK(G42)),NOT(_xlfn.ISFORMULA(G42)))</formula>
    </cfRule>
  </conditionalFormatting>
  <conditionalFormatting sqref="H42">
    <cfRule type="expression" dxfId="84" priority="20599" stopIfTrue="1">
      <formula>AND(NOT(ISBLANK(H42)),NOT(_xlfn.ISFORMULA(H42)))</formula>
    </cfRule>
  </conditionalFormatting>
  <conditionalFormatting sqref="E58">
    <cfRule type="expression" dxfId="83" priority="20597">
      <formula>AND(AND(NOT(ISBLANK(D58)),NOT(D58=$O$1)),AND(NOT(ISBLANK(C58)),NOT(C58=$O$1)))</formula>
    </cfRule>
    <cfRule type="expression" dxfId="82" priority="20598">
      <formula>OR(AND(NOT(ISBLANK(D58)),NOT(D58=$O$1)),AND(NOT(ISBLANK(C58)),NOT(C58=$O$1)))</formula>
    </cfRule>
  </conditionalFormatting>
  <conditionalFormatting sqref="F58">
    <cfRule type="expression" dxfId="81" priority="20595">
      <formula>AND(AND(NOT(ISBLANK(G58)),NOT(G58=$O$1)),AND(NOT(ISBLANK(H58)),NOT(H58=$O$1)))</formula>
    </cfRule>
    <cfRule type="expression" dxfId="80" priority="20596">
      <formula>OR(AND(NOT(ISBLANK(G58)),NOT(G58=$O$1)),AND(NOT(ISBLANK(H58)),NOT(H58=$O$1)))</formula>
    </cfRule>
  </conditionalFormatting>
  <conditionalFormatting sqref="E4">
    <cfRule type="expression" dxfId="79" priority="19937">
      <formula>AND(AND(NOT(ISBLANK(D4)),NOT(D4=$O$1)),AND(NOT(ISBLANK(C4)),NOT(C4=$O$1)))</formula>
    </cfRule>
    <cfRule type="expression" dxfId="78" priority="19938">
      <formula>OR(AND(NOT(ISBLANK(D4)),NOT(D4=$O$1)),AND(NOT(ISBLANK(C4)),NOT(C4=$O$1)))</formula>
    </cfRule>
  </conditionalFormatting>
  <conditionalFormatting sqref="F4">
    <cfRule type="expression" dxfId="77" priority="19935">
      <formula>AND(AND(NOT(ISBLANK(G4)),NOT(G4=$O$1)),AND(NOT(ISBLANK(H4)),NOT(H4=$O$1)))</formula>
    </cfRule>
    <cfRule type="expression" dxfId="76" priority="19936">
      <formula>OR(AND(NOT(ISBLANK(G4)),NOT(G4=$O$1)),AND(NOT(ISBLANK(H4)),NOT(H4=$O$1)))</formula>
    </cfRule>
  </conditionalFormatting>
  <conditionalFormatting sqref="E5">
    <cfRule type="expression" dxfId="75" priority="19933">
      <formula>AND(AND(NOT(ISBLANK(D5)),NOT(D5=$O$1)),AND(NOT(ISBLANK(C5)),NOT(C5=$O$1)))</formula>
    </cfRule>
    <cfRule type="expression" dxfId="74" priority="19934">
      <formula>OR(AND(NOT(ISBLANK(D5)),NOT(D5=$O$1)),AND(NOT(ISBLANK(C5)),NOT(C5=$O$1)))</formula>
    </cfRule>
  </conditionalFormatting>
  <conditionalFormatting sqref="F5">
    <cfRule type="expression" dxfId="73" priority="19931">
      <formula>AND(AND(NOT(ISBLANK(G5)),NOT(G5=$O$1)),AND(NOT(ISBLANK(H5)),NOT(H5=$O$1)))</formula>
    </cfRule>
    <cfRule type="expression" dxfId="72" priority="19932">
      <formula>OR(AND(NOT(ISBLANK(G5)),NOT(G5=$O$1)),AND(NOT(ISBLANK(H5)),NOT(H5=$O$1)))</formula>
    </cfRule>
  </conditionalFormatting>
  <conditionalFormatting sqref="E6">
    <cfRule type="expression" dxfId="71" priority="19929">
      <formula>AND(AND(NOT(ISBLANK(D6)),NOT(D6=$O$1)),AND(NOT(ISBLANK(C6)),NOT(C6=$O$1)))</formula>
    </cfRule>
    <cfRule type="expression" dxfId="70" priority="19930">
      <formula>OR(AND(NOT(ISBLANK(D6)),NOT(D6=$O$1)),AND(NOT(ISBLANK(C6)),NOT(C6=$O$1)))</formula>
    </cfRule>
  </conditionalFormatting>
  <conditionalFormatting sqref="F6">
    <cfRule type="expression" dxfId="69" priority="19927">
      <formula>AND(AND(NOT(ISBLANK(G6)),NOT(G6=$O$1)),AND(NOT(ISBLANK(H6)),NOT(H6=$O$1)))</formula>
    </cfRule>
    <cfRule type="expression" dxfId="68" priority="19928">
      <formula>OR(AND(NOT(ISBLANK(G6)),NOT(G6=$O$1)),AND(NOT(ISBLANK(H6)),NOT(H6=$O$1)))</formula>
    </cfRule>
  </conditionalFormatting>
  <conditionalFormatting sqref="E7">
    <cfRule type="expression" dxfId="67" priority="13713">
      <formula>AND(AND(NOT(ISBLANK(D7)),NOT(D7=$O$1)),AND(NOT(ISBLANK(C7)),NOT(C7=$O$1)))</formula>
    </cfRule>
    <cfRule type="expression" dxfId="66" priority="13714">
      <formula>OR(AND(NOT(ISBLANK(D7)),NOT(D7=$O$1)),AND(NOT(ISBLANK(C7)),NOT(C7=$O$1)))</formula>
    </cfRule>
  </conditionalFormatting>
  <conditionalFormatting sqref="F7">
    <cfRule type="expression" dxfId="65" priority="13711">
      <formula>AND(AND(NOT(ISBLANK(G7)),NOT(G7=$O$1)),AND(NOT(ISBLANK(H7)),NOT(H7=$O$1)))</formula>
    </cfRule>
    <cfRule type="expression" dxfId="64" priority="13712">
      <formula>OR(AND(NOT(ISBLANK(G7)),NOT(G7=$O$1)),AND(NOT(ISBLANK(H7)),NOT(H7=$O$1)))</formula>
    </cfRule>
  </conditionalFormatting>
  <conditionalFormatting sqref="E8">
    <cfRule type="expression" dxfId="63" priority="2743">
      <formula>AND(AND(NOT(ISBLANK(D8)),NOT(D8=$O$1)),AND(NOT(ISBLANK(C8)),NOT(C8=$O$1)))</formula>
    </cfRule>
    <cfRule type="expression" dxfId="62" priority="2744">
      <formula>OR(AND(NOT(ISBLANK(D8)),NOT(D8=$O$1)),AND(NOT(ISBLANK(C8)),NOT(C8=$O$1)))</formula>
    </cfRule>
  </conditionalFormatting>
  <conditionalFormatting sqref="F8">
    <cfRule type="expression" dxfId="61" priority="2741">
      <formula>AND(AND(NOT(ISBLANK(G8)),NOT(G8=$O$1)),AND(NOT(ISBLANK(H8)),NOT(H8=$O$1)))</formula>
    </cfRule>
    <cfRule type="expression" dxfId="60" priority="2742">
      <formula>OR(AND(NOT(ISBLANK(G8)),NOT(G8=$O$1)),AND(NOT(ISBLANK(H8)),NOT(H8=$O$1)))</formula>
    </cfRule>
  </conditionalFormatting>
  <conditionalFormatting sqref="E9">
    <cfRule type="expression" dxfId="59" priority="2739">
      <formula>AND(AND(NOT(ISBLANK(D9)),NOT(D9=$O$1)),AND(NOT(ISBLANK(C9)),NOT(C9=$O$1)))</formula>
    </cfRule>
    <cfRule type="expression" dxfId="58" priority="2740">
      <formula>OR(AND(NOT(ISBLANK(D9)),NOT(D9=$O$1)),AND(NOT(ISBLANK(C9)),NOT(C9=$O$1)))</formula>
    </cfRule>
  </conditionalFormatting>
  <conditionalFormatting sqref="F9">
    <cfRule type="expression" dxfId="57" priority="2737">
      <formula>AND(AND(NOT(ISBLANK(G9)),NOT(G9=$O$1)),AND(NOT(ISBLANK(H9)),NOT(H9=$O$1)))</formula>
    </cfRule>
    <cfRule type="expression" dxfId="56" priority="2738">
      <formula>OR(AND(NOT(ISBLANK(G9)),NOT(G9=$O$1)),AND(NOT(ISBLANK(H9)),NOT(H9=$O$1)))</formula>
    </cfRule>
  </conditionalFormatting>
  <conditionalFormatting sqref="E10">
    <cfRule type="expression" dxfId="55" priority="2735">
      <formula>AND(AND(NOT(ISBLANK(D10)),NOT(D10=$O$1)),AND(NOT(ISBLANK(C10)),NOT(C10=$O$1)))</formula>
    </cfRule>
    <cfRule type="expression" dxfId="54" priority="2736">
      <formula>OR(AND(NOT(ISBLANK(D10)),NOT(D10=$O$1)),AND(NOT(ISBLANK(C10)),NOT(C10=$O$1)))</formula>
    </cfRule>
  </conditionalFormatting>
  <conditionalFormatting sqref="F10">
    <cfRule type="expression" dxfId="53" priority="2733">
      <formula>AND(AND(NOT(ISBLANK(G10)),NOT(G10=$O$1)),AND(NOT(ISBLANK(H10)),NOT(H10=$O$1)))</formula>
    </cfRule>
    <cfRule type="expression" dxfId="52" priority="2734">
      <formula>OR(AND(NOT(ISBLANK(G10)),NOT(G10=$O$1)),AND(NOT(ISBLANK(H10)),NOT(H10=$O$1)))</formula>
    </cfRule>
  </conditionalFormatting>
  <conditionalFormatting sqref="E11">
    <cfRule type="expression" dxfId="51" priority="2731">
      <formula>AND(AND(NOT(ISBLANK(D11)),NOT(D11=$O$1)),AND(NOT(ISBLANK(C11)),NOT(C11=$O$1)))</formula>
    </cfRule>
    <cfRule type="expression" dxfId="50" priority="2732">
      <formula>OR(AND(NOT(ISBLANK(D11)),NOT(D11=$O$1)),AND(NOT(ISBLANK(C11)),NOT(C11=$O$1)))</formula>
    </cfRule>
  </conditionalFormatting>
  <conditionalFormatting sqref="F11">
    <cfRule type="expression" dxfId="49" priority="2729">
      <formula>AND(AND(NOT(ISBLANK(G11)),NOT(G11=$O$1)),AND(NOT(ISBLANK(H11)),NOT(H11=$O$1)))</formula>
    </cfRule>
    <cfRule type="expression" dxfId="48" priority="2730">
      <formula>OR(AND(NOT(ISBLANK(G11)),NOT(G11=$O$1)),AND(NOT(ISBLANK(H11)),NOT(H11=$O$1)))</formula>
    </cfRule>
  </conditionalFormatting>
  <conditionalFormatting sqref="E12">
    <cfRule type="expression" dxfId="47" priority="1659">
      <formula>AND(AND(NOT(ISBLANK(D12)),NOT(D12=$O$1)),AND(NOT(ISBLANK(C12)),NOT(C12=$O$1)))</formula>
    </cfRule>
    <cfRule type="expression" dxfId="46" priority="1660">
      <formula>OR(AND(NOT(ISBLANK(D12)),NOT(D12=$O$1)),AND(NOT(ISBLANK(C12)),NOT(C12=$O$1)))</formula>
    </cfRule>
  </conditionalFormatting>
  <conditionalFormatting sqref="F12">
    <cfRule type="expression" dxfId="45" priority="1657">
      <formula>AND(AND(NOT(ISBLANK(G12)),NOT(G12=$O$1)),AND(NOT(ISBLANK(H12)),NOT(H12=$O$1)))</formula>
    </cfRule>
    <cfRule type="expression" dxfId="44" priority="1658">
      <formula>OR(AND(NOT(ISBLANK(G12)),NOT(G12=$O$1)),AND(NOT(ISBLANK(H12)),NOT(H12=$O$1)))</formula>
    </cfRule>
  </conditionalFormatting>
  <conditionalFormatting sqref="E13">
    <cfRule type="expression" dxfId="43" priority="1655">
      <formula>AND(AND(NOT(ISBLANK(D13)),NOT(D13=$O$1)),AND(NOT(ISBLANK(C13)),NOT(C13=$O$1)))</formula>
    </cfRule>
    <cfRule type="expression" dxfId="42" priority="1656">
      <formula>OR(AND(NOT(ISBLANK(D13)),NOT(D13=$O$1)),AND(NOT(ISBLANK(C13)),NOT(C13=$O$1)))</formula>
    </cfRule>
  </conditionalFormatting>
  <conditionalFormatting sqref="F13">
    <cfRule type="expression" dxfId="41" priority="1653">
      <formula>AND(AND(NOT(ISBLANK(G13)),NOT(G13=$O$1)),AND(NOT(ISBLANK(H13)),NOT(H13=$O$1)))</formula>
    </cfRule>
    <cfRule type="expression" dxfId="40" priority="1654">
      <formula>OR(AND(NOT(ISBLANK(G13)),NOT(G13=$O$1)),AND(NOT(ISBLANK(H13)),NOT(H13=$O$1)))</formula>
    </cfRule>
  </conditionalFormatting>
  <conditionalFormatting sqref="G4">
    <cfRule type="expression" dxfId="39" priority="306" stopIfTrue="1">
      <formula>AND(NOT(ISBLANK(G4)),NOT(_xlfn.ISFORMULA(G4)))</formula>
    </cfRule>
  </conditionalFormatting>
  <conditionalFormatting sqref="G5">
    <cfRule type="expression" dxfId="38" priority="305" stopIfTrue="1">
      <formula>AND(NOT(ISBLANK(G5)),NOT(_xlfn.ISFORMULA(G5)))</formula>
    </cfRule>
  </conditionalFormatting>
  <conditionalFormatting sqref="G6">
    <cfRule type="expression" dxfId="37" priority="304" stopIfTrue="1">
      <formula>AND(NOT(ISBLANK(G6)),NOT(_xlfn.ISFORMULA(G6)))</formula>
    </cfRule>
  </conditionalFormatting>
  <conditionalFormatting sqref="G7">
    <cfRule type="expression" dxfId="36" priority="303" stopIfTrue="1">
      <formula>AND(NOT(ISBLANK(G7)),NOT(_xlfn.ISFORMULA(G7)))</formula>
    </cfRule>
  </conditionalFormatting>
  <conditionalFormatting sqref="G8">
    <cfRule type="expression" dxfId="35" priority="302" stopIfTrue="1">
      <formula>AND(NOT(ISBLANK(G8)),NOT(_xlfn.ISFORMULA(G8)))</formula>
    </cfRule>
  </conditionalFormatting>
  <conditionalFormatting sqref="G9">
    <cfRule type="expression" dxfId="34" priority="301" stopIfTrue="1">
      <formula>AND(NOT(ISBLANK(G9)),NOT(_xlfn.ISFORMULA(G9)))</formula>
    </cfRule>
  </conditionalFormatting>
  <conditionalFormatting sqref="G10">
    <cfRule type="expression" dxfId="33" priority="300" stopIfTrue="1">
      <formula>AND(NOT(ISBLANK(G10)),NOT(_xlfn.ISFORMULA(G10)))</formula>
    </cfRule>
  </conditionalFormatting>
  <conditionalFormatting sqref="G11">
    <cfRule type="expression" dxfId="32" priority="299" stopIfTrue="1">
      <formula>AND(NOT(ISBLANK(G11)),NOT(_xlfn.ISFORMULA(G11)))</formula>
    </cfRule>
  </conditionalFormatting>
  <conditionalFormatting sqref="G12">
    <cfRule type="expression" dxfId="31" priority="298" stopIfTrue="1">
      <formula>AND(NOT(ISBLANK(G12)),NOT(_xlfn.ISFORMULA(G12)))</formula>
    </cfRule>
  </conditionalFormatting>
  <conditionalFormatting sqref="G13">
    <cfRule type="expression" dxfId="30" priority="297" stopIfTrue="1">
      <formula>AND(NOT(ISBLANK(G13)),NOT(_xlfn.ISFORMULA(G13)))</formula>
    </cfRule>
  </conditionalFormatting>
  <conditionalFormatting sqref="H4">
    <cfRule type="expression" dxfId="29" priority="153" stopIfTrue="1">
      <formula>AND(NOT(ISBLANK(H4)),NOT(_xlfn.ISFORMULA(H4)))</formula>
    </cfRule>
  </conditionalFormatting>
  <conditionalFormatting sqref="H5">
    <cfRule type="expression" dxfId="28" priority="152" stopIfTrue="1">
      <formula>AND(NOT(ISBLANK(H5)),NOT(_xlfn.ISFORMULA(H5)))</formula>
    </cfRule>
  </conditionalFormatting>
  <conditionalFormatting sqref="H6">
    <cfRule type="expression" dxfId="27" priority="151" stopIfTrue="1">
      <formula>AND(NOT(ISBLANK(H6)),NOT(_xlfn.ISFORMULA(H6)))</formula>
    </cfRule>
  </conditionalFormatting>
  <conditionalFormatting sqref="H7">
    <cfRule type="expression" dxfId="26" priority="150" stopIfTrue="1">
      <formula>AND(NOT(ISBLANK(H7)),NOT(_xlfn.ISFORMULA(H7)))</formula>
    </cfRule>
  </conditionalFormatting>
  <conditionalFormatting sqref="H8">
    <cfRule type="expression" dxfId="25" priority="149" stopIfTrue="1">
      <formula>AND(NOT(ISBLANK(H8)),NOT(_xlfn.ISFORMULA(H8)))</formula>
    </cfRule>
  </conditionalFormatting>
  <conditionalFormatting sqref="H9">
    <cfRule type="expression" dxfId="24" priority="148" stopIfTrue="1">
      <formula>AND(NOT(ISBLANK(H9)),NOT(_xlfn.ISFORMULA(H9)))</formula>
    </cfRule>
  </conditionalFormatting>
  <conditionalFormatting sqref="H10">
    <cfRule type="expression" dxfId="23" priority="147" stopIfTrue="1">
      <formula>AND(NOT(ISBLANK(H10)),NOT(_xlfn.ISFORMULA(H10)))</formula>
    </cfRule>
  </conditionalFormatting>
  <conditionalFormatting sqref="H11">
    <cfRule type="expression" dxfId="22" priority="146" stopIfTrue="1">
      <formula>AND(NOT(ISBLANK(H11)),NOT(_xlfn.ISFORMULA(H11)))</formula>
    </cfRule>
  </conditionalFormatting>
  <conditionalFormatting sqref="H12">
    <cfRule type="expression" dxfId="21" priority="145" stopIfTrue="1">
      <formula>AND(NOT(ISBLANK(H12)),NOT(_xlfn.ISFORMULA(H12)))</formula>
    </cfRule>
  </conditionalFormatting>
  <conditionalFormatting sqref="H13">
    <cfRule type="expression" dxfId="20" priority="144" stopIfTrue="1">
      <formula>AND(NOT(ISBLANK(H13)),NOT(_xlfn.ISFORMULA(H13)))</formula>
    </cfRule>
  </conditionalFormatting>
  <conditionalFormatting sqref="D4">
    <cfRule type="expression" dxfId="19" priority="459" stopIfTrue="1">
      <formula>AND(NOT(ISBLANK(D4)),NOT(_xlfn.ISFORMULA(D4)))</formula>
    </cfRule>
  </conditionalFormatting>
  <conditionalFormatting sqref="D5">
    <cfRule type="expression" dxfId="18" priority="458" stopIfTrue="1">
      <formula>AND(NOT(ISBLANK(D5)),NOT(_xlfn.ISFORMULA(D5)))</formula>
    </cfRule>
  </conditionalFormatting>
  <conditionalFormatting sqref="D6">
    <cfRule type="expression" dxfId="17" priority="457" stopIfTrue="1">
      <formula>AND(NOT(ISBLANK(D6)),NOT(_xlfn.ISFORMULA(D6)))</formula>
    </cfRule>
  </conditionalFormatting>
  <conditionalFormatting sqref="D7">
    <cfRule type="expression" dxfId="16" priority="456" stopIfTrue="1">
      <formula>AND(NOT(ISBLANK(D7)),NOT(_xlfn.ISFORMULA(D7)))</formula>
    </cfRule>
  </conditionalFormatting>
  <conditionalFormatting sqref="D8">
    <cfRule type="expression" dxfId="15" priority="455" stopIfTrue="1">
      <formula>AND(NOT(ISBLANK(D8)),NOT(_xlfn.ISFORMULA(D8)))</formula>
    </cfRule>
  </conditionalFormatting>
  <conditionalFormatting sqref="D9">
    <cfRule type="expression" dxfId="14" priority="454" stopIfTrue="1">
      <formula>AND(NOT(ISBLANK(D9)),NOT(_xlfn.ISFORMULA(D9)))</formula>
    </cfRule>
  </conditionalFormatting>
  <conditionalFormatting sqref="D10">
    <cfRule type="expression" dxfId="13" priority="453" stopIfTrue="1">
      <formula>AND(NOT(ISBLANK(D10)),NOT(_xlfn.ISFORMULA(D10)))</formula>
    </cfRule>
  </conditionalFormatting>
  <conditionalFormatting sqref="D11">
    <cfRule type="expression" dxfId="12" priority="452" stopIfTrue="1">
      <formula>AND(NOT(ISBLANK(D11)),NOT(_xlfn.ISFORMULA(D11)))</formula>
    </cfRule>
  </conditionalFormatting>
  <conditionalFormatting sqref="D12">
    <cfRule type="expression" dxfId="11" priority="451" stopIfTrue="1">
      <formula>AND(NOT(ISBLANK(D12)),NOT(_xlfn.ISFORMULA(D12)))</formula>
    </cfRule>
  </conditionalFormatting>
  <conditionalFormatting sqref="D13">
    <cfRule type="expression" dxfId="10" priority="450" stopIfTrue="1">
      <formula>AND(NOT(ISBLANK(D13)),NOT(_xlfn.ISFORMULA(D13)))</formula>
    </cfRule>
  </conditionalFormatting>
  <conditionalFormatting sqref="C4">
    <cfRule type="expression" dxfId="9" priority="612" stopIfTrue="1">
      <formula>AND(NOT(ISBLANK(C4)),NOT(_xlfn.ISFORMULA(C4)))</formula>
    </cfRule>
  </conditionalFormatting>
  <conditionalFormatting sqref="C5">
    <cfRule type="expression" dxfId="8" priority="611" stopIfTrue="1">
      <formula>AND(NOT(ISBLANK(C5)),NOT(_xlfn.ISFORMULA(C5)))</formula>
    </cfRule>
  </conditionalFormatting>
  <conditionalFormatting sqref="C6">
    <cfRule type="expression" dxfId="7" priority="610" stopIfTrue="1">
      <formula>AND(NOT(ISBLANK(C6)),NOT(_xlfn.ISFORMULA(C6)))</formula>
    </cfRule>
  </conditionalFormatting>
  <conditionalFormatting sqref="C7">
    <cfRule type="expression" dxfId="6" priority="609" stopIfTrue="1">
      <formula>AND(NOT(ISBLANK(C7)),NOT(_xlfn.ISFORMULA(C7)))</formula>
    </cfRule>
  </conditionalFormatting>
  <conditionalFormatting sqref="C8">
    <cfRule type="expression" dxfId="5" priority="608" stopIfTrue="1">
      <formula>AND(NOT(ISBLANK(C8)),NOT(_xlfn.ISFORMULA(C8)))</formula>
    </cfRule>
  </conditionalFormatting>
  <conditionalFormatting sqref="C9">
    <cfRule type="expression" dxfId="4" priority="607" stopIfTrue="1">
      <formula>AND(NOT(ISBLANK(C9)),NOT(_xlfn.ISFORMULA(C9)))</formula>
    </cfRule>
  </conditionalFormatting>
  <conditionalFormatting sqref="C10">
    <cfRule type="expression" dxfId="3" priority="606" stopIfTrue="1">
      <formula>AND(NOT(ISBLANK(C10)),NOT(_xlfn.ISFORMULA(C10)))</formula>
    </cfRule>
  </conditionalFormatting>
  <conditionalFormatting sqref="C11">
    <cfRule type="expression" dxfId="2" priority="605" stopIfTrue="1">
      <formula>AND(NOT(ISBLANK(C11)),NOT(_xlfn.ISFORMULA(C11)))</formula>
    </cfRule>
  </conditionalFormatting>
  <conditionalFormatting sqref="C12">
    <cfRule type="expression" dxfId="1" priority="604" stopIfTrue="1">
      <formula>AND(NOT(ISBLANK(C12)),NOT(_xlfn.ISFORMULA(C12)))</formula>
    </cfRule>
  </conditionalFormatting>
  <conditionalFormatting sqref="C13">
    <cfRule type="expression" dxfId="0" priority="603" stopIfTrue="1">
      <formula>AND(NOT(ISBLANK(C13)),NOT(_xlfn.ISFORMULA(C13)))</formula>
    </cfRule>
  </conditionalFormatting>
  <dataValidations count="2">
    <dataValidation type="custom" allowBlank="1" showInputMessage="1" showErrorMessage="1" sqref="E49:F58 E38:F42 J49:L50 A38:B42 I38:L42 J51:J58 A49:B58 I49:I58 I4:J13 E4:F13 A4:B13" xr:uid="{68445343-EC2C-4D0C-B534-EE6EB5234710}">
      <formula1>_xlfn.ISFORMULA(A4)</formula1>
    </dataValidation>
    <dataValidation type="custom" allowBlank="1" showInputMessage="1" showErrorMessage="1" errorTitle="Знак &quot;*&quot; недопустим" error="Знак &quot;*&quot; зарезервирован для обозначения отсутствия кромки и не может быть здесь использован" sqref="E24:E35" xr:uid="{34147AE8-EB12-45CD-BCD0-18F32DD61C54}">
      <formula1>E24&lt;&gt;"*"</formula1>
    </dataValidation>
  </dataValidations>
  <printOptions horizontalCentered="1"/>
  <pageMargins left="0.43307086614173229" right="0.31496062992125984" top="0.47244094488188981" bottom="0.35433070866141736" header="0.19685039370078741" footer="0.31496062992125984"/>
  <pageSetup paperSize="9" scale="90" fitToWidth="0" fitToHeight="0" orientation="landscape" r:id="rId1"/>
  <headerFooter>
    <oddHeader>&amp;R&amp;D. &amp;T. Страница &amp;P/&amp;N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4020" r:id="rId4" name="Button 1012">
              <controlPr defaultSize="0" print="0" autoFill="0" autoPict="0" macro="[0]!ПоказатьПанельИнструментов">
                <anchor moveWithCells="1">
                  <from>
                    <xdr:col>14</xdr:col>
                    <xdr:colOff>0</xdr:colOff>
                    <xdr:row>0</xdr:row>
                    <xdr:rowOff>180975</xdr:rowOff>
                  </from>
                  <to>
                    <xdr:col>15</xdr:col>
                    <xdr:colOff>1666875</xdr:colOff>
                    <xdr:row>1</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53318-4D8E-44C1-855D-CEE57B3D0C2C}">
  <sheetPr codeName="Лист2"/>
  <dimension ref="A1"/>
  <sheetViews>
    <sheetView view="pageBreakPreview" zoomScaleNormal="100" zoomScaleSheetLayoutView="100" workbookViewId="0">
      <selection activeCell="D7" sqref="D7"/>
    </sheetView>
  </sheetViews>
  <sheetFormatPr defaultRowHeight="15" x14ac:dyDescent="0.25"/>
  <cols>
    <col min="1" max="1" width="9.140625" style="82"/>
  </cols>
  <sheetData/>
  <pageMargins left="0.7" right="0.7" top="0.75" bottom="0.75" header="0.3" footer="0.3"/>
  <pageSetup paperSize="9" orientation="portrait" r:id="rId1"/>
  <headerFooter>
    <oddHeader>&amp;R&amp;D. &amp;T. Страница &amp;P/&amp;N&amp;LbCAD</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vt:i4>
      </vt:variant>
      <vt:variant>
        <vt:lpstr>Именованные диапазоны</vt:lpstr>
      </vt:variant>
      <vt:variant>
        <vt:i4>1</vt:i4>
      </vt:variant>
    </vt:vector>
  </HeadingPairs>
  <TitlesOfParts>
    <vt:vector size="4" baseType="lpstr">
      <vt:lpstr>ИсходныйСкрытый</vt:lpstr>
      <vt:lpstr>Деталировка</vt:lpstr>
      <vt:lpstr>Склад</vt:lpstr>
      <vt:lpstr>Деталировка!Область_печати</vt:lpstr>
    </vt:vector>
  </TitlesOfParts>
  <Company>RePack by SPecialiST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i3240;Ганков Ярослав 0662854936</dc:creator>
  <cp:lastModifiedBy>Скиф</cp:lastModifiedBy>
  <cp:lastPrinted>2022-01-25T21:29:32Z</cp:lastPrinted>
  <dcterms:created xsi:type="dcterms:W3CDTF">2014-06-23T08:47:00Z</dcterms:created>
  <dcterms:modified xsi:type="dcterms:W3CDTF">2022-02-03T19:20:42Z</dcterms:modified>
</cp:coreProperties>
</file>
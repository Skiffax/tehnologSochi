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D:\работа\Проекты\tehnolog-sochi\"/>
    </mc:Choice>
  </mc:AlternateContent>
  <xr:revisionPtr revIDLastSave="0" documentId="13_ncr:1_{3E8F0282-AD32-4576-A036-D804BCBA70E8}" xr6:coauthVersionLast="45" xr6:coauthVersionMax="47" xr10:uidLastSave="{00000000-0000-0000-0000-000000000000}"/>
  <bookViews>
    <workbookView xWindow="-120" yWindow="-120" windowWidth="29040" windowHeight="15840" tabRatio="368" activeTab="2" xr2:uid="{00000000-000D-0000-FFFF-FFFF00000000}"/>
  </bookViews>
  <sheets>
    <sheet name="ИсходныйСкрытый" sheetId="662" r:id="rId1"/>
    <sheet name="Деталировка" sheetId="660" r:id="rId2"/>
    <sheet name="Склад" sheetId="663" r:id="rId3"/>
  </sheets>
  <functionGroups builtInGroupCount="19"/>
  <definedNames>
    <definedName name="_xlnm._FilterDatabase" localSheetId="1" hidden="1">Деталировка!#REF!</definedName>
    <definedName name="_xlnm.Print_Area" localSheetId="1">Деталировка!$A$2:$M$26</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0" i="660" l="1"/>
  <c r="G10" i="660"/>
  <c r="D10" i="660"/>
  <c r="C10" i="660"/>
  <c r="H9" i="660"/>
  <c r="G9" i="660"/>
  <c r="D9" i="660"/>
  <c r="C9" i="660"/>
  <c r="D8" i="660"/>
  <c r="C8" i="660"/>
  <c r="D7" i="660"/>
  <c r="C7" i="660"/>
  <c r="H6" i="660"/>
  <c r="G6" i="660"/>
  <c r="D6" i="660"/>
  <c r="C6" i="660"/>
  <c r="H5" i="660"/>
  <c r="G5" i="660"/>
  <c r="D5" i="660"/>
  <c r="C5" i="660"/>
  <c r="J10" i="660"/>
  <c r="A10" i="660" s="1"/>
  <c r="J6" i="660"/>
  <c r="A6" i="660" s="1"/>
  <c r="M6" i="660"/>
  <c r="F6" i="660" s="1"/>
  <c r="L6" i="660"/>
  <c r="K6" i="660"/>
  <c r="B6" i="660"/>
  <c r="M8" i="660"/>
  <c r="E8" i="660" s="1"/>
  <c r="N8" i="660" s="1"/>
  <c r="L8" i="660"/>
  <c r="K8" i="660"/>
  <c r="J8" i="660"/>
  <c r="B8" i="660"/>
  <c r="M4" i="660"/>
  <c r="F4" i="660" s="1"/>
  <c r="L4" i="660"/>
  <c r="K4" i="660"/>
  <c r="J4" i="660"/>
  <c r="A4" i="660" s="1"/>
  <c r="I4" i="660"/>
  <c r="B4" i="660"/>
  <c r="M5" i="660"/>
  <c r="E5" i="660" s="1"/>
  <c r="N5" i="660" s="1"/>
  <c r="L5" i="660"/>
  <c r="K5" i="660"/>
  <c r="J5" i="660"/>
  <c r="A5" i="660" s="1"/>
  <c r="I5" i="660"/>
  <c r="B5" i="660"/>
  <c r="M9" i="660"/>
  <c r="L9" i="660"/>
  <c r="K9" i="660"/>
  <c r="J9" i="660"/>
  <c r="A9" i="660" s="1"/>
  <c r="I9" i="660"/>
  <c r="B9" i="660"/>
  <c r="M10" i="660"/>
  <c r="I10" i="660" s="1"/>
  <c r="L10" i="660"/>
  <c r="K10" i="660"/>
  <c r="B10" i="660"/>
  <c r="M7" i="660"/>
  <c r="L7" i="660"/>
  <c r="K7" i="660"/>
  <c r="J7" i="660"/>
  <c r="A7" i="660" s="1"/>
  <c r="I7" i="660"/>
  <c r="B7" i="660"/>
  <c r="I8" i="660" l="1"/>
  <c r="F9" i="660"/>
  <c r="E9" i="660"/>
  <c r="N9" i="660" s="1"/>
  <c r="F7" i="660"/>
  <c r="E7" i="660"/>
  <c r="N7" i="660" s="1"/>
  <c r="E4" i="660"/>
  <c r="N4" i="660" s="1"/>
  <c r="I6" i="660"/>
  <c r="A8" i="660"/>
  <c r="E10" i="660"/>
  <c r="N10" i="660" s="1"/>
  <c r="E6" i="660"/>
  <c r="N6" i="660" s="1"/>
  <c r="F5" i="660"/>
  <c r="F10" i="660"/>
  <c r="F8" i="660"/>
  <c r="I11" i="660" l="1"/>
  <c r="M5" i="662"/>
  <c r="F5" i="662" s="1"/>
  <c r="L5" i="662"/>
  <c r="K5" i="662"/>
  <c r="J5" i="662"/>
  <c r="A5" i="662" s="1"/>
  <c r="B5" i="662"/>
  <c r="I5" i="662" l="1"/>
  <c r="E5" i="662"/>
  <c r="N5" i="662" s="1"/>
  <c r="M15" i="662"/>
  <c r="H15" i="662" s="1"/>
  <c r="J15" i="662"/>
  <c r="A15" i="662" s="1"/>
  <c r="I15" i="662"/>
  <c r="I50" i="660"/>
  <c r="I34" i="660"/>
  <c r="B3" i="660"/>
  <c r="A2" i="660"/>
  <c r="D15" i="662" l="1"/>
  <c r="N15" i="662" s="1"/>
  <c r="E15" i="662"/>
  <c r="A19" i="660"/>
  <c r="A38" i="660"/>
  <c r="A27"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1"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19"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sharedStrings.xml><?xml version="1.0" encoding="utf-8"?>
<sst xmlns="http://schemas.openxmlformats.org/spreadsheetml/2006/main" count="164" uniqueCount="127">
  <si>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</si>
  <si>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</si>
  <si>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</si>
  <si>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</si>
  <si>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</si>
  <si>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</si>
  <si>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</si>
  <si>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</si>
  <si>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</si>
  <si>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</si>
  <si>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</si>
  <si>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</si>
  <si>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</si>
  <si>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</si>
  <si>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</si>
  <si>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</si>
  <si>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</si>
  <si>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</si>
  <si>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</si>
  <si>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</si>
  <si>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</si>
  <si>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</si>
  <si>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</si>
  <si>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</si>
  <si>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</si>
  <si>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</si>
  <si>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</si>
  <si>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</si>
  <si>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</si>
  <si>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</si>
  <si>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</si>
  <si>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</si>
  <si>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</si>
  <si>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</si>
  <si>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</si>
  <si>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</si>
  <si>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</si>
  <si>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</si>
  <si>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</si>
  <si>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</si>
  <si>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</si>
  <si>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</si>
  <si>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</si>
  <si>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</si>
  <si>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</si>
  <si>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</si>
  <si>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</si>
  <si>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</si>
  <si>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</si>
  <si>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</si>
  <si>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</si>
  <si>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</si>
  <si>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</si>
  <si>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</si>
  <si>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</si>
  <si>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</si>
  <si>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XДФ 3.2 Белый</t>
  </si>
  <si>
    <t>XДФ 4 Белый</t>
  </si>
  <si>
    <t>МДФ 2800х2070х19 мм лам. Белая 1 ст. (фанком)</t>
  </si>
  <si>
    <t>ЛМДФ 19 Белый 1 ст.</t>
  </si>
  <si>
    <t>МДФ 2800х2070х6 мм (фанком)</t>
  </si>
  <si>
    <t>МДФ 6 мм</t>
  </si>
  <si>
    <t>ЛДСП EGGER U222 ST9 Крем бежевый 2800х2070х16</t>
  </si>
  <si>
    <t>ЛДСП 16 EGGER U222 ST9 Крем бежевый</t>
  </si>
  <si>
    <t>камень Akrilika apietra M611</t>
  </si>
  <si>
    <t>камень 12 Akrilika apietra M-611</t>
  </si>
  <si>
    <t>Пластик EGGER U702 HG Кашемир серый 2800х1310х0.8</t>
  </si>
  <si>
    <t>пластик 0.8 EGGER U702 HG Кашемир серый</t>
  </si>
  <si>
    <t>Пластик Arpa 2516 Перламутр 3050х1300х0,6 (домфорт)</t>
  </si>
  <si>
    <t>Пластик 0.6 Arpa 2516 Перламутр</t>
  </si>
  <si>
    <t>Кромка ABS dlk 1001/647 глянец 23*1 мм, бьянко (Doellken)</t>
  </si>
  <si>
    <t>кромка ABS 23*1 Doellken 1001/647 бьянко глянец</t>
  </si>
  <si>
    <t>Кромка EGGER U222 ST9 Крем бежевый 0.4х19</t>
  </si>
  <si>
    <t>кромка ПВХ 0.4*19 EGGER U222 ST9 Крем бежевый</t>
  </si>
  <si>
    <t>Ножки/Ножка пластмассовая кухонная (Н=100)</t>
  </si>
  <si>
    <t>Ножка кухонная с клипсой пластик H=100</t>
  </si>
  <si>
    <t>Клипса ножки кухонной</t>
  </si>
  <si>
    <t>Полкодержатели/Полкодержатель для деревянных полок (боченок)</t>
  </si>
  <si>
    <t>Полкодержатель бочёнок</t>
  </si>
  <si>
    <t>Крепеж/Уголок таккера</t>
  </si>
  <si>
    <t>Уголок 20*20 с крышкой в цвет</t>
  </si>
  <si>
    <t>BLUM Ящик antaro M с выс. фас., "D", 1 релинг, 500мм, бел.ш.</t>
  </si>
  <si>
    <t>BLUM ящик antaro "D", 1 релинг, 500мм, бел.ш.</t>
  </si>
  <si>
    <t>BLUM Петля Clip t. B. 110° 1/2накл. с дов. п.самор.</t>
  </si>
  <si>
    <t>BLUM петля 110° полунакладная + дов.</t>
  </si>
  <si>
    <t>BLUM Петля Clip накл с дов. п.самор. 110гр. (71B3550)</t>
  </si>
  <si>
    <t>BLUM петля 110° накладная + дов.</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</si>
  <si>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</si>
  <si>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</si>
  <si>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</si>
  <si>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</si>
  <si>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</si>
  <si>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</si>
  <si>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</si>
  <si>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</si>
  <si>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</si>
  <si>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</si>
  <si>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</si>
  <si>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</si>
  <si>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</si>
  <si>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</si>
  <si>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</si>
  <si>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</si>
  <si>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</si>
  <si>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</si>
  <si>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</si>
  <si>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</si>
  <si>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</si>
  <si>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</si>
  <si>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</si>
  <si>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</si>
  <si>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</si>
  <si>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</si>
  <si>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</si>
  <si>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</si>
  <si>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</si>
  <si>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</si>
  <si>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</si>
  <si>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</si>
  <si>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bCad-teh</t>
  </si>
  <si>
    <t>камень_Akrilika MA-502 Everest 3660*760*12 б/к</t>
  </si>
  <si>
    <t>Склейка 28 ДСП</t>
  </si>
  <si>
    <t>ЛДСП Lamarty 2750*1830*16 Белый б/к</t>
  </si>
  <si>
    <t>МДФ 2800х2070х16 лам. Белый 2 ст. б/к</t>
  </si>
  <si>
    <t>XДФ 2800*2070*4 Белый б/к</t>
  </si>
  <si>
    <t>ЛДСП Lamarty 2750*1830*16мм Вулканический серый б/к</t>
  </si>
  <si>
    <t>ЛДСП FB68 Ares 2800х2070х18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</si>
</sst>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sz val="11"/>
      <name val="Arial"/>
      <family val="2"/>
      <charset val="204"/>
    </font>
    <font>
      <b/>
      <sz val="11"/>
      <name val="Arial"/>
      <family val="2"/>
      <charset val="204"/>
    </font>
    <font>
      <b/>
      <sz val="16"/>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9">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1" fillId="0" borderId="0"/>
  </cellStyleXfs>
  <cellXfs count="85">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8" xfId="0" applyNumberFormat="1" applyFont="1" applyBorder="1"/>
    <xf numFmtId="0" fontId="15" fillId="0" borderId="8" xfId="0" applyFont="1" applyBorder="1"/>
    <xf numFmtId="49" fontId="16"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5" fillId="0" borderId="0" xfId="0" applyNumberFormat="1" applyFont="1" applyBorder="1"/>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7" fillId="0" borderId="0" xfId="0" applyFont="1"/>
    <xf numFmtId="0" fontId="0" fillId="0" borderId="0" xfId="0" applyAlignment="1">
      <alignment horizontal="center"/>
    </xf>
    <xf numFmtId="49" fontId="4" fillId="2" borderId="2" xfId="0" applyNumberFormat="1" applyFont="1" applyFill="1" applyBorder="1" applyAlignment="1">
      <alignment horizontal="center" vertical="center"/>
    </xf>
  </cellXfs>
  <cellStyles count="2">
    <cellStyle name="Обычный" xfId="0" builtinId="0"/>
    <cellStyle name="Обычный 3" xfId="1" xr:uid="{00000000-0005-0000-0000-000001000000}"/>
  </cellStyles>
  <dxfs count="2958">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87794</xdr:colOff>
          <xdr:row>0</xdr:row>
          <xdr:rowOff>130037</xdr:rowOff>
        </xdr:from>
        <xdr:to>
          <xdr:col>19</xdr:col>
          <xdr:colOff>414129</xdr:colOff>
          <xdr:row>3</xdr:row>
          <xdr:rowOff>149087</xdr:rowOff>
        </xdr:to>
        <xdr:sp macro="" textlink="">
          <xdr:nvSpPr>
            <xdr:cNvPr id="46081" name="Button 1" descr="Проверка сумм" hidden="1">
              <a:extLst>
                <a:ext uri="{63B3BB69-23CF-44E3-9099-C40C66FF867C}">
                  <a14:compatExt spid="_x0000_s46081"/>
                </a:ext>
                <a:ext uri="{FF2B5EF4-FFF2-40B4-BE49-F238E27FC236}">
                  <a16:creationId xmlns:a16="http://schemas.microsoft.com/office/drawing/2014/main" id="{00000000-0008-0000-0200-00000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Вставить и рассчитать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87795</xdr:colOff>
          <xdr:row>7</xdr:row>
          <xdr:rowOff>168138</xdr:rowOff>
        </xdr:from>
        <xdr:to>
          <xdr:col>19</xdr:col>
          <xdr:colOff>397565</xdr:colOff>
          <xdr:row>11</xdr:row>
          <xdr:rowOff>33132</xdr:rowOff>
        </xdr:to>
        <xdr:sp macro="" textlink="">
          <xdr:nvSpPr>
            <xdr:cNvPr id="46082" name="Button 2" descr="Проверка сумм" hidden="1">
              <a:extLst>
                <a:ext uri="{63B3BB69-23CF-44E3-9099-C40C66FF867C}">
                  <a14:compatExt spid="_x0000_s46082"/>
                </a:ext>
                <a:ext uri="{FF2B5EF4-FFF2-40B4-BE49-F238E27FC236}">
                  <a16:creationId xmlns:a16="http://schemas.microsoft.com/office/drawing/2014/main" id="{00000000-0008-0000-0200-00000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Очистить всё</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54"/>
  <sheetViews>
    <sheetView topLeftCell="A61" workbookViewId="0">
      <selection activeCell="A28" sqref="A28"/>
    </sheetView>
  </sheetViews>
  <sheetFormatPr defaultRowHeight="15" x14ac:dyDescent="0.25"/>
  <cols>
    <col min="1" max="1" width="50.85546875" customWidth="1"/>
    <col min="2" max="2" width="52" customWidth="1"/>
  </cols>
  <sheetData>
    <row r="1" spans="1:29"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29" ht="18.75" x14ac:dyDescent="0.3">
      <c r="A2" s="1" t="s">
        <v>92</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29"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29"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29"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row>
    <row r="6" spans="1:29"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29"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29"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29"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29"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29"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29"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29"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29"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29"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93</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89</v>
      </c>
    </row>
    <row r="24" spans="1:6" x14ac:dyDescent="0.25">
      <c r="B24" t="s">
        <v>91</v>
      </c>
    </row>
    <row r="26" spans="1:6" s="30" customFormat="1" ht="21" x14ac:dyDescent="0.35">
      <c r="A26" s="82" t="s">
        <v>116</v>
      </c>
    </row>
    <row r="27" spans="1:6" s="30" customFormat="1" x14ac:dyDescent="0.25"/>
    <row r="28" spans="1:6" s="30" customFormat="1" ht="15.75" x14ac:dyDescent="0.25">
      <c r="A28" s="2" t="s">
        <v>94</v>
      </c>
      <c r="F28" s="31" t="s">
        <v>95</v>
      </c>
    </row>
    <row r="29" spans="1:6" s="30" customFormat="1" x14ac:dyDescent="0.25">
      <c r="A29" s="75" t="s">
        <v>3</v>
      </c>
      <c r="B29" s="75" t="s">
        <v>96</v>
      </c>
      <c r="C29" s="75" t="s">
        <v>97</v>
      </c>
      <c r="F29" s="76" t="s">
        <v>98</v>
      </c>
    </row>
    <row r="30" spans="1:6" s="30" customFormat="1" x14ac:dyDescent="0.25">
      <c r="F30" s="30" t="s">
        <v>99</v>
      </c>
    </row>
    <row r="31" spans="1:6" s="30" customFormat="1" x14ac:dyDescent="0.25">
      <c r="A31" s="77" t="s">
        <v>100</v>
      </c>
      <c r="C31" s="78"/>
      <c r="F31" s="30" t="s">
        <v>101</v>
      </c>
    </row>
    <row r="32" spans="1:6" s="30" customFormat="1" x14ac:dyDescent="0.25">
      <c r="A32" s="75" t="s">
        <v>3</v>
      </c>
      <c r="B32" s="75" t="s">
        <v>96</v>
      </c>
      <c r="C32" s="75" t="s">
        <v>97</v>
      </c>
    </row>
    <row r="33" spans="1:6" s="30" customFormat="1" x14ac:dyDescent="0.25">
      <c r="F33" s="30" t="s">
        <v>118</v>
      </c>
    </row>
    <row r="34" spans="1:6" s="30" customFormat="1" x14ac:dyDescent="0.25">
      <c r="A34" s="2" t="s">
        <v>102</v>
      </c>
      <c r="B34" s="2"/>
      <c r="C34" s="79"/>
    </row>
    <row r="35" spans="1:6" s="30" customFormat="1" x14ac:dyDescent="0.25">
      <c r="A35" s="75" t="s">
        <v>3</v>
      </c>
      <c r="B35" s="75" t="s">
        <v>103</v>
      </c>
      <c r="C35" s="80">
        <v>1.2</v>
      </c>
    </row>
    <row r="36" spans="1:6" s="30" customFormat="1" x14ac:dyDescent="0.25"/>
    <row r="37" spans="1:6" s="30" customFormat="1" x14ac:dyDescent="0.25">
      <c r="A37" s="2" t="s">
        <v>105</v>
      </c>
      <c r="C37" s="78"/>
    </row>
    <row r="38" spans="1:6" s="30" customFormat="1" x14ac:dyDescent="0.25">
      <c r="A38" s="75" t="s">
        <v>106</v>
      </c>
      <c r="B38" s="75" t="s">
        <v>107</v>
      </c>
      <c r="C38" s="75" t="s">
        <v>108</v>
      </c>
    </row>
    <row r="39" spans="1:6" s="30" customFormat="1" x14ac:dyDescent="0.25"/>
    <row r="40" spans="1:6" s="30" customFormat="1" x14ac:dyDescent="0.25">
      <c r="A40" s="77" t="s">
        <v>109</v>
      </c>
      <c r="B40" s="81"/>
      <c r="C40" s="81"/>
    </row>
    <row r="41" spans="1:6" s="30" customFormat="1" x14ac:dyDescent="0.25">
      <c r="A41" s="75" t="s">
        <v>106</v>
      </c>
      <c r="B41" s="75" t="s">
        <v>110</v>
      </c>
      <c r="C41" s="75" t="s">
        <v>108</v>
      </c>
    </row>
    <row r="42" spans="1:6" s="30" customFormat="1" x14ac:dyDescent="0.25"/>
    <row r="43" spans="1:6" s="30" customFormat="1" ht="18.75" x14ac:dyDescent="0.3">
      <c r="A43" s="1" t="s">
        <v>111</v>
      </c>
    </row>
    <row r="44" spans="1:6" s="30" customFormat="1" x14ac:dyDescent="0.25"/>
    <row r="45" spans="1:6" x14ac:dyDescent="0.25">
      <c r="A45" s="30"/>
      <c r="B45" s="30"/>
      <c r="C45" s="30"/>
      <c r="D45" s="30"/>
      <c r="E45" s="30"/>
      <c r="F45" s="30"/>
    </row>
    <row r="46" spans="1:6" x14ac:dyDescent="0.25">
      <c r="A46" s="2" t="s">
        <v>112</v>
      </c>
      <c r="B46" s="30"/>
      <c r="C46" s="30"/>
      <c r="D46" s="30"/>
      <c r="E46" s="30"/>
      <c r="F46" s="30"/>
    </row>
    <row r="47" spans="1:6" s="30" customFormat="1" x14ac:dyDescent="0.25">
      <c r="A47" s="30" t="s">
        <v>113</v>
      </c>
    </row>
    <row r="48" spans="1:6" s="30" customFormat="1" x14ac:dyDescent="0.25">
      <c r="A48" s="30" t="s">
        <v>114</v>
      </c>
    </row>
    <row r="49" spans="1:6" s="30" customFormat="1" x14ac:dyDescent="0.25">
      <c r="A49" s="2" t="s">
        <v>115</v>
      </c>
    </row>
    <row r="50" spans="1:6" s="30" customFormat="1" x14ac:dyDescent="0.25"/>
    <row r="51" spans="1:6" s="30" customFormat="1" ht="21" x14ac:dyDescent="0.35">
      <c r="A51" s="82" t="s">
        <v>117</v>
      </c>
    </row>
    <row r="52" spans="1:6" s="30" customFormat="1" x14ac:dyDescent="0.25"/>
    <row r="53" spans="1:6" ht="15.75" x14ac:dyDescent="0.25">
      <c r="F53" s="31" t="s">
        <v>95</v>
      </c>
    </row>
    <row r="54" spans="1:6" ht="18.75" x14ac:dyDescent="0.3">
      <c r="A54" s="1" t="s">
        <v>55</v>
      </c>
      <c r="F54" s="30" t="s">
        <v>104</v>
      </c>
    </row>
    <row r="55" spans="1:6" x14ac:dyDescent="0.25">
      <c r="A55" s="66" t="s">
        <v>87</v>
      </c>
      <c r="B55" s="66" t="s">
        <v>88</v>
      </c>
    </row>
    <row r="56" spans="1:6" x14ac:dyDescent="0.25">
      <c r="A56" s="64" t="s">
        <v>56</v>
      </c>
      <c r="B56" s="64" t="s">
        <v>57</v>
      </c>
    </row>
    <row r="57" spans="1:6" x14ac:dyDescent="0.25">
      <c r="A57" s="64" t="s">
        <v>58</v>
      </c>
      <c r="B57" s="64" t="s">
        <v>59</v>
      </c>
    </row>
    <row r="58" spans="1:6" x14ac:dyDescent="0.25">
      <c r="A58" s="64" t="s">
        <v>60</v>
      </c>
      <c r="B58" s="64" t="s">
        <v>61</v>
      </c>
    </row>
    <row r="59" spans="1:6" x14ac:dyDescent="0.25">
      <c r="A59" s="64" t="s">
        <v>62</v>
      </c>
      <c r="B59" s="64" t="s">
        <v>63</v>
      </c>
    </row>
    <row r="60" spans="1:6" x14ac:dyDescent="0.25">
      <c r="A60" s="65" t="s">
        <v>64</v>
      </c>
      <c r="B60" s="65" t="s">
        <v>65</v>
      </c>
    </row>
    <row r="61" spans="1:6" x14ac:dyDescent="0.25">
      <c r="A61" s="64" t="s">
        <v>66</v>
      </c>
      <c r="B61" s="64" t="s">
        <v>67</v>
      </c>
    </row>
    <row r="62" spans="1:6" x14ac:dyDescent="0.25">
      <c r="A62" s="64" t="s">
        <v>68</v>
      </c>
      <c r="B62" s="64" t="s">
        <v>69</v>
      </c>
    </row>
    <row r="63" spans="1:6" x14ac:dyDescent="0.25">
      <c r="A63" s="64" t="s">
        <v>70</v>
      </c>
      <c r="B63" s="64" t="s">
        <v>71</v>
      </c>
    </row>
    <row r="64" spans="1:6" x14ac:dyDescent="0.25">
      <c r="A64" s="64" t="s">
        <v>72</v>
      </c>
      <c r="B64" s="64" t="s">
        <v>73</v>
      </c>
    </row>
    <row r="65" spans="1:3" x14ac:dyDescent="0.25">
      <c r="A65" s="64" t="s">
        <v>74</v>
      </c>
      <c r="B65" s="64" t="s">
        <v>75</v>
      </c>
    </row>
    <row r="66" spans="1:3" x14ac:dyDescent="0.25">
      <c r="A66" s="64" t="s">
        <v>76</v>
      </c>
      <c r="B66" s="64"/>
    </row>
    <row r="67" spans="1:3" x14ac:dyDescent="0.25">
      <c r="A67" s="64" t="s">
        <v>77</v>
      </c>
      <c r="B67" s="64" t="s">
        <v>78</v>
      </c>
    </row>
    <row r="68" spans="1:3" x14ac:dyDescent="0.25">
      <c r="A68" s="64" t="s">
        <v>79</v>
      </c>
      <c r="B68" s="64" t="s">
        <v>80</v>
      </c>
    </row>
    <row r="69" spans="1:3" x14ac:dyDescent="0.25">
      <c r="A69" s="64" t="s">
        <v>81</v>
      </c>
      <c r="B69" s="64" t="s">
        <v>82</v>
      </c>
    </row>
    <row r="70" spans="1:3" x14ac:dyDescent="0.25">
      <c r="A70" s="64" t="s">
        <v>83</v>
      </c>
      <c r="B70" s="64" t="s">
        <v>84</v>
      </c>
    </row>
    <row r="71" spans="1:3" x14ac:dyDescent="0.25">
      <c r="A71" s="64" t="s">
        <v>85</v>
      </c>
      <c r="B71" s="64" t="s">
        <v>86</v>
      </c>
    </row>
    <row r="72" spans="1:3" s="30" customFormat="1" x14ac:dyDescent="0.25">
      <c r="A72" s="74"/>
      <c r="B72" s="74"/>
    </row>
    <row r="73" spans="1:3" s="30" customFormat="1" x14ac:dyDescent="0.25"/>
    <row r="74" spans="1:3" s="30" customFormat="1" x14ac:dyDescent="0.25"/>
    <row r="75" spans="1:3" s="30" customFormat="1" x14ac:dyDescent="0.25"/>
    <row r="76" spans="1:3" s="30" customFormat="1" x14ac:dyDescent="0.25"/>
    <row r="77" spans="1:3" s="30" customFormat="1" x14ac:dyDescent="0.25"/>
    <row r="78" spans="1:3" s="30" customFormat="1" x14ac:dyDescent="0.25">
      <c r="A78"/>
    </row>
    <row r="79" spans="1:3" s="30" customFormat="1" x14ac:dyDescent="0.25">
      <c r="A79"/>
      <c r="B79"/>
      <c r="C79"/>
    </row>
    <row r="80" spans="1:3" s="30" customFormat="1" x14ac:dyDescent="0.25">
      <c r="A80"/>
      <c r="B80"/>
      <c r="C80"/>
    </row>
    <row r="81" spans="1:3" s="30" customFormat="1" x14ac:dyDescent="0.25">
      <c r="A81"/>
      <c r="B81"/>
      <c r="C81"/>
    </row>
    <row r="82" spans="1:3" s="30" customFormat="1" x14ac:dyDescent="0.25">
      <c r="A82"/>
      <c r="B82"/>
      <c r="C82"/>
    </row>
    <row r="83" spans="1:3" s="30" customFormat="1" x14ac:dyDescent="0.25">
      <c r="A83"/>
      <c r="B83"/>
      <c r="C83"/>
    </row>
    <row r="84" spans="1:3" s="30" customFormat="1" x14ac:dyDescent="0.25">
      <c r="A84"/>
      <c r="B84"/>
      <c r="C84"/>
    </row>
    <row r="85" spans="1:3" s="30" customFormat="1" x14ac:dyDescent="0.25">
      <c r="A85"/>
      <c r="B85"/>
      <c r="C85"/>
    </row>
    <row r="86" spans="1:3" s="30" customFormat="1" x14ac:dyDescent="0.25">
      <c r="A86"/>
      <c r="B86"/>
      <c r="C86"/>
    </row>
    <row r="87" spans="1:3" s="30" customFormat="1" x14ac:dyDescent="0.25">
      <c r="A87"/>
      <c r="B87"/>
      <c r="C87"/>
    </row>
    <row r="88" spans="1:3" s="30" customFormat="1" x14ac:dyDescent="0.25">
      <c r="A88"/>
      <c r="B88"/>
      <c r="C88"/>
    </row>
    <row r="89" spans="1:3" s="30" customFormat="1" x14ac:dyDescent="0.25">
      <c r="A89"/>
      <c r="B89"/>
      <c r="C89"/>
    </row>
    <row r="90" spans="1:3" s="30" customFormat="1" x14ac:dyDescent="0.25">
      <c r="A90"/>
      <c r="B90"/>
      <c r="C90"/>
    </row>
    <row r="254" spans="35:35" x14ac:dyDescent="0.25">
      <c r="AI254" t="s">
        <v>90</v>
      </c>
    </row>
  </sheetData>
  <conditionalFormatting sqref="D15">
    <cfRule type="expression" dxfId="2957" priority="19">
      <formula>AND(AND(NOT(ISBLANK(C15)),NOT(C15=$O$1)),AND(NOT(ISBLANK(B15)),NOT(B15=$O$1)))</formula>
    </cfRule>
    <cfRule type="expression" dxfId="2956" priority="20">
      <formula>OR(AND(NOT(ISBLANK(C15)),NOT(C15=$O$1)),AND(NOT(ISBLANK(B15)),NOT(B15=$O$1)))</formula>
    </cfRule>
  </conditionalFormatting>
  <conditionalFormatting sqref="E15">
    <cfRule type="expression" dxfId="2955" priority="17">
      <formula>AND(AND(NOT(ISBLANK(F15)),NOT(F15=$O$1)),AND(NOT(ISBLANK(G15)),NOT(G15=$O$1)))</formula>
    </cfRule>
    <cfRule type="expression" dxfId="2954" priority="18">
      <formula>OR(AND(NOT(ISBLANK(F15)),NOT(F15=$O$1)),AND(NOT(ISBLANK(G15)),NOT(G15=$O$1)))</formula>
    </cfRule>
  </conditionalFormatting>
  <conditionalFormatting sqref="B15">
    <cfRule type="expression" dxfId="2953" priority="16" stopIfTrue="1">
      <formula>AND(NOT(ISBLANK(B15)),NOT(_xlfn.ISFORMULA(B15)))</formula>
    </cfRule>
  </conditionalFormatting>
  <conditionalFormatting sqref="C15">
    <cfRule type="expression" dxfId="2952" priority="15" stopIfTrue="1">
      <formula>AND(NOT(ISBLANK(C15)),NOT(_xlfn.ISFORMULA(C15)))</formula>
    </cfRule>
  </conditionalFormatting>
  <conditionalFormatting sqref="F15">
    <cfRule type="expression" dxfId="2951" priority="14" stopIfTrue="1">
      <formula>AND(NOT(ISBLANK(F15)),NOT(_xlfn.ISFORMULA(F15)))</formula>
    </cfRule>
  </conditionalFormatting>
  <conditionalFormatting sqref="G15">
    <cfRule type="expression" dxfId="2950" priority="13" stopIfTrue="1">
      <formula>AND(NOT(ISBLANK(G15)),NOT(_xlfn.ISFORMULA(G15)))</formula>
    </cfRule>
  </conditionalFormatting>
  <conditionalFormatting sqref="E5">
    <cfRule type="expression" dxfId="2949" priority="3">
      <formula>AND(AND(NOT(ISBLANK(D5)),NOT(D5=$O$1)),AND(NOT(ISBLANK(C5)),NOT(C5=$O$1)))</formula>
    </cfRule>
    <cfRule type="expression" dxfId="2948" priority="4">
      <formula>OR(AND(NOT(ISBLANK(D5)),NOT(D5=$O$1)),AND(NOT(ISBLANK(C5)),NOT(C5=$O$1)))</formula>
    </cfRule>
  </conditionalFormatting>
  <conditionalFormatting sqref="F5">
    <cfRule type="expression" dxfId="2947" priority="1">
      <formula>AND(AND(NOT(ISBLANK(G5)),NOT(G5=$O$1)),AND(NOT(ISBLANK(H5)),NOT(H5=$O$1)))</formula>
    </cfRule>
    <cfRule type="expression" dxfId="2946" priority="2">
      <formula>OR(AND(NOT(ISBLANK(G5)),NOT(G5=$O$1)),AND(NOT(ISBLANK(H5)),NOT(H5=$O$1)))</formula>
    </cfRule>
  </conditionalFormatting>
  <dataValidations disablePrompts="1"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28"/>
  <sheetViews>
    <sheetView view="pageBreakPreview" zoomScale="70" zoomScaleNormal="100" zoomScaleSheetLayoutView="70" workbookViewId="0">
      <selection activeCell="A21" sqref="A21:M26"/>
    </sheetView>
  </sheetViews>
  <sheetFormatPr defaultRowHeight="15" x14ac:dyDescent="0.25"/>
  <cols>
    <col min="1" max="1" width="4.5703125" style="30" customWidth="1"/>
    <col min="2" max="2" width="29.5703125" style="30" customWidth="1"/>
    <col min="3" max="3" width="3.85546875" style="38" bestFit="1" customWidth="1"/>
    <col min="4" max="4" width="2.85546875" style="38" bestFit="1" customWidth="1"/>
    <col min="5" max="5" width="9.140625" style="30" customWidth="1"/>
    <col min="6" max="6" width="8.5703125" style="30" customWidth="1"/>
    <col min="7" max="7" width="3.85546875" style="38" bestFit="1" customWidth="1"/>
    <col min="8" max="8" width="4.8554687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119</v>
      </c>
      <c r="C1" s="38">
        <v>1</v>
      </c>
      <c r="J1" s="19"/>
      <c r="O1" s="20" t="s">
        <v>27</v>
      </c>
      <c r="P1" s="30">
        <v>10</v>
      </c>
      <c r="Q1" s="30">
        <v>20</v>
      </c>
      <c r="S1" s="30" t="s">
        <v>51</v>
      </c>
      <c r="X1" s="30" t="s">
        <v>54</v>
      </c>
      <c r="AA1"/>
      <c r="AB1"/>
      <c r="AC1"/>
      <c r="AD1"/>
      <c r="AE1"/>
      <c r="AG1" s="30" t="s">
        <v>36</v>
      </c>
    </row>
    <row r="2" spans="1:56" ht="18.75" x14ac:dyDescent="0.3">
      <c r="A2" s="1" t="str">
        <f>FunctionGetFileName()</f>
        <v>Деталировка+Склад. tehnolog5</v>
      </c>
      <c r="AA2"/>
      <c r="AB2"/>
      <c r="AC2"/>
      <c r="AD2"/>
      <c r="AE2"/>
    </row>
    <row r="3" spans="1:56" x14ac:dyDescent="0.25">
      <c r="A3" s="67" t="s">
        <v>6</v>
      </c>
      <c r="B3" s="68" t="str">
        <f>"Наименование"</f>
        <v>Наименование</v>
      </c>
      <c r="C3" s="69" t="s">
        <v>9</v>
      </c>
      <c r="D3" s="70" t="s">
        <v>11</v>
      </c>
      <c r="E3" s="71" t="s">
        <v>1</v>
      </c>
      <c r="F3" s="68" t="s">
        <v>0</v>
      </c>
      <c r="G3" s="70" t="s">
        <v>10</v>
      </c>
      <c r="H3" s="72" t="s">
        <v>12</v>
      </c>
      <c r="I3" s="73" t="s">
        <v>2</v>
      </c>
      <c r="J3" s="67" t="s">
        <v>48</v>
      </c>
      <c r="K3" s="68" t="s">
        <v>49</v>
      </c>
      <c r="L3" s="68" t="s">
        <v>50</v>
      </c>
      <c r="M3" s="67"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K3" s="18"/>
      <c r="AL3" s="18"/>
    </row>
    <row r="4" spans="1:56" x14ac:dyDescent="0.25">
      <c r="A4" s="9" t="str">
        <f>CONCATENATE(O4,".",LEFT(J4))</f>
        <v>.0</v>
      </c>
      <c r="B4" s="32" t="str">
        <f>CONCATENATE(IF(OR(Y4="Не определена",Y4,ISBLANK(Y4)),"↕",),IF(Y4="Не обязательна","±",),Q4,".",P4)</f>
        <v>↕.</v>
      </c>
      <c r="C4" s="47"/>
      <c r="D4" s="47"/>
      <c r="E4" s="48">
        <f>IF(M4="скрутка",T4+$Q$1,IF(M4="склейка",T4+$Q$1,IF(M4="запил торца",ROUND(T4+$P$1,0),IF(M4="запил торцов",ROUND(T4+$P$1*2,0),T4))))+IF(G4=$O$1,$P$1,)+IF(H4=$O$1,$P$1,)</f>
        <v>0</v>
      </c>
      <c r="F4" s="48">
        <f>IF(M4="скрутка",U4+$Q$1,IF(M4="склейка",U4+$Q$1,IF(M4="запил торца",ROUND(U4+$P$1,0),IF(M4="запил торцов",ROUND(U4+$P$1*2,0),U4))))+IF(C4=$O$1,$P$1,)+IF(D4=$O$1,$P$1,)</f>
        <v>0</v>
      </c>
      <c r="G4" s="47"/>
      <c r="H4" s="47"/>
      <c r="I4" s="49">
        <f>IF(OR(M4="скрутка",M4="склейка"),Z4*2,Z4)</f>
        <v>0</v>
      </c>
      <c r="J4" s="84">
        <f>X4</f>
        <v>0</v>
      </c>
      <c r="K4" s="52" t="str">
        <f>IF(ISBLANK(AB4),"",AB4)</f>
        <v/>
      </c>
      <c r="L4" s="52" t="str">
        <f>IF(ISBLANK(AC4),"",AC4)</f>
        <v/>
      </c>
      <c r="M4" s="51" t="str">
        <f>IF(AA4="","",AA4)</f>
        <v/>
      </c>
      <c r="N4" s="30" t="str">
        <f>CONCATENATE(IF(E4&lt;&gt;T4,"НеРавны",),IF(AND(NOT(ISBLANK(R4)),R4&lt;&gt;T4),"Д",),IF(AND(NOT(ISBLANK(S4)),S4&lt;&gt;U4),"Ш",))</f>
        <v/>
      </c>
      <c r="O4" s="22"/>
      <c r="P4" s="18"/>
      <c r="Q4" s="18"/>
      <c r="R4" s="18"/>
      <c r="S4" s="18"/>
      <c r="T4" s="3"/>
      <c r="U4" s="3"/>
      <c r="V4" s="23"/>
      <c r="W4" s="23"/>
      <c r="X4" s="18"/>
      <c r="Y4" s="18"/>
      <c r="Z4" s="18"/>
      <c r="AA4" s="18"/>
      <c r="AB4" s="18"/>
      <c r="AC4" s="18"/>
      <c r="BB4" s="30" t="s">
        <v>124</v>
      </c>
      <c r="BC4" s="30">
        <v>1</v>
      </c>
      <c r="BD4" s="30">
        <v>142</v>
      </c>
    </row>
    <row r="5" spans="1:56" x14ac:dyDescent="0.25">
      <c r="A5" s="9" t="str">
        <f>CONCATENATE(O5,".",LEFT(J5))</f>
        <v>.0</v>
      </c>
      <c r="B5" s="32" t="str">
        <f>CONCATENATE(IF(OR(Y5="Не определена",Y5,ISBLANK(Y5)),"↕",),IF(Y5="Не обязательна","±",),Q5,".",P5)</f>
        <v>↕.</v>
      </c>
      <c r="C5" s="54">
        <f>I21</f>
        <v>0</v>
      </c>
      <c r="D5" s="54">
        <f>I21</f>
        <v>0</v>
      </c>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54">
        <f>I21</f>
        <v>0</v>
      </c>
      <c r="H5" s="54">
        <f>I21</f>
        <v>0</v>
      </c>
      <c r="I5" s="49">
        <f>IF(OR(M5="скрутка",M5="склейка"),Z5*2,Z5)</f>
        <v>0</v>
      </c>
      <c r="J5" s="53">
        <f>X5</f>
        <v>0</v>
      </c>
      <c r="K5" s="52" t="str">
        <f>IF(ISBLANK(AB5),"",AB5)</f>
        <v/>
      </c>
      <c r="L5" s="52" t="str">
        <f>IF(ISBLANK(AC5),"",AC5)</f>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c r="BB5" s="30" t="s">
        <v>122</v>
      </c>
      <c r="BC5" s="30">
        <v>1</v>
      </c>
      <c r="BD5" s="30">
        <v>160</v>
      </c>
    </row>
    <row r="6" spans="1:56" x14ac:dyDescent="0.25">
      <c r="A6" s="9" t="str">
        <f>CONCATENATE(O6,".",LEFT(J6))</f>
        <v>.0</v>
      </c>
      <c r="B6" s="32" t="str">
        <f>CONCATENATE(IF(OR(Y6="Не определена",Y6,ISBLANK(Y6)),"↕",),IF(Y6="Не обязательна","±",),Q6,".",P6)</f>
        <v>↕.</v>
      </c>
      <c r="C6" s="54">
        <f>I21</f>
        <v>0</v>
      </c>
      <c r="D6" s="54">
        <f>I21</f>
        <v>0</v>
      </c>
      <c r="E6" s="48">
        <f>IF(M6="скрутка",T6+$Q$1,IF(M6="склейка",T6+$Q$1,IF(M6="запил торца",ROUND(T6+$P$1,0),IF(M6="запил торцов",ROUND(T6+$P$1*2,0),T6))))+IF(G6=$O$1,$P$1,)+IF(H6=$O$1,$P$1,)</f>
        <v>0</v>
      </c>
      <c r="F6" s="48">
        <f>IF(M6="скрутка",U6+$Q$1,IF(M6="склейка",U6+$Q$1,IF(M6="запил торца",ROUND(U6+$P$1,0),IF(M6="запил торцов",ROUND(U6+$P$1*2,0),U6))))+IF(C6=$O$1,$P$1,)+IF(D6=$O$1,$P$1,)</f>
        <v>0</v>
      </c>
      <c r="G6" s="54">
        <f>I21</f>
        <v>0</v>
      </c>
      <c r="H6" s="54">
        <f>I21</f>
        <v>0</v>
      </c>
      <c r="I6" s="49">
        <f>IF(OR(M6="скрутка",M6="склейка"),Z6*2,Z6)</f>
        <v>0</v>
      </c>
      <c r="J6" s="53">
        <f>X6</f>
        <v>0</v>
      </c>
      <c r="K6" s="52" t="str">
        <f>IF(ISBLANK(AB6),"",AB6)</f>
        <v/>
      </c>
      <c r="L6" s="52" t="str">
        <f>IF(ISBLANK(AC6),"",AC6)</f>
        <v/>
      </c>
      <c r="M6" s="51" t="str">
        <f>IF(AA6="","",AA6)</f>
        <v/>
      </c>
      <c r="N6" s="30" t="str">
        <f>CONCATENATE(IF(E6&lt;&gt;T6,"НеРавны",),IF(AND(NOT(ISBLANK(R6)),R6&lt;&gt;T6),"Д",),IF(AND(NOT(ISBLANK(S6)),S6&lt;&gt;U6),"Ш",))</f>
        <v/>
      </c>
      <c r="O6" s="22"/>
      <c r="P6" s="18"/>
      <c r="Q6" s="18"/>
      <c r="R6" s="18"/>
      <c r="S6" s="18"/>
      <c r="T6" s="3"/>
      <c r="U6" s="3"/>
      <c r="V6" s="23"/>
      <c r="W6" s="23"/>
      <c r="X6" s="26"/>
      <c r="Y6" s="18"/>
      <c r="Z6" s="18"/>
      <c r="AA6" s="18"/>
      <c r="AB6" s="18"/>
      <c r="AC6" s="18"/>
      <c r="BB6" s="30" t="s">
        <v>123</v>
      </c>
      <c r="BC6" s="30">
        <v>1</v>
      </c>
      <c r="BD6" s="30">
        <v>161</v>
      </c>
    </row>
    <row r="7" spans="1:56" x14ac:dyDescent="0.25">
      <c r="A7" s="9" t="str">
        <f>CONCATENATE(O7,".",LEFT(J7))</f>
        <v>.0</v>
      </c>
      <c r="B7" s="32" t="str">
        <f>CONCATENATE(IF(OR(Y7="Не определена",Y7,ISBLANK(Y7)),"↕",),IF(Y7="Не обязательна","±",),Q7,".",P7)</f>
        <v>↕.</v>
      </c>
      <c r="C7" s="54">
        <f>I21</f>
        <v>0</v>
      </c>
      <c r="D7" s="54">
        <f>I21</f>
        <v>0</v>
      </c>
      <c r="E7" s="48">
        <f>IF(M7="скрутка",T7+$Q$1,IF(M7="склейка",T7+$Q$1,IF(M7="запил торца",ROUND(T7+$P$1,0),IF(M7="запил торцов",ROUND(T7+$P$1*2,0),T7))))+IF(G7=$O$1,$P$1,)+IF(H7=$O$1,$P$1,)</f>
        <v>0</v>
      </c>
      <c r="F7" s="48">
        <f>IF(M7="скрутка",U7+$Q$1,IF(M7="склейка",U7+$Q$1,IF(M7="запил торца",ROUND(U7+$P$1,0),IF(M7="запил торцов",ROUND(U7+$P$1*2,0),U7))))+IF(C7=$O$1,$P$1,)+IF(D7=$O$1,$P$1,)</f>
        <v>0</v>
      </c>
      <c r="G7" s="47"/>
      <c r="H7" s="47"/>
      <c r="I7" s="49">
        <f>IF(OR(M7="скрутка",M7="склейка"),Z7*2,Z7)</f>
        <v>0</v>
      </c>
      <c r="J7" s="53">
        <f>X7</f>
        <v>0</v>
      </c>
      <c r="K7" s="52" t="str">
        <f>IF(ISBLANK(AB7),"",AB7)</f>
        <v/>
      </c>
      <c r="L7" s="52" t="str">
        <f>IF(ISBLANK(AC7),"",AC7)</f>
        <v/>
      </c>
      <c r="M7" s="51" t="str">
        <f>IF(AA7="","",AA7)</f>
        <v/>
      </c>
      <c r="N7" s="30" t="str">
        <f>CONCATENATE(IF(E7&lt;&gt;T7,"НеРавны",),IF(AND(NOT(ISBLANK(R7)),R7&lt;&gt;T7),"Д",),IF(AND(NOT(ISBLANK(S7)),S7&lt;&gt;U7),"Ш",))</f>
        <v/>
      </c>
      <c r="O7" s="22"/>
      <c r="P7" s="18"/>
      <c r="Q7" s="18"/>
      <c r="R7" s="18"/>
      <c r="S7" s="18"/>
      <c r="T7" s="3"/>
      <c r="U7" s="3"/>
      <c r="V7" s="23"/>
      <c r="W7" s="23"/>
      <c r="X7" s="26"/>
      <c r="Y7" s="18"/>
      <c r="Z7" s="18"/>
      <c r="AA7" s="18"/>
      <c r="AB7" s="18"/>
      <c r="AC7" s="18"/>
      <c r="BB7" s="30" t="s">
        <v>126</v>
      </c>
      <c r="BC7" s="30">
        <v>1</v>
      </c>
      <c r="BD7" s="30">
        <v>159</v>
      </c>
    </row>
    <row r="8" spans="1:56" x14ac:dyDescent="0.25">
      <c r="A8" s="9" t="str">
        <f>CONCATENATE(O8,".",LEFT(J8))</f>
        <v>.0</v>
      </c>
      <c r="B8" s="32" t="str">
        <f>CONCATENATE(IF(OR(Y8="Не определена",Y8,ISBLANK(Y8)),"↕",),IF(Y8="Не обязательна","±",),Q8,".",P8)</f>
        <v>↕.</v>
      </c>
      <c r="C8" s="54">
        <f>I21</f>
        <v>0</v>
      </c>
      <c r="D8" s="54">
        <f>I21</f>
        <v>0</v>
      </c>
      <c r="E8" s="48">
        <f>IF(M8="скрутка",T8+$Q$1,IF(M8="склейка",T8+$Q$1,IF(M8="запил торца",ROUND(T8+$P$1,0),IF(M8="запил торцов",ROUND(T8+$P$1*2,0),T8))))+IF(G8=$O$1,$P$1,)+IF(H8=$O$1,$P$1,)</f>
        <v>0</v>
      </c>
      <c r="F8" s="48">
        <f>IF(M8="скрутка",U8+$Q$1,IF(M8="склейка",U8+$Q$1,IF(M8="запил торца",ROUND(U8+$P$1,0),IF(M8="запил торцов",ROUND(U8+$P$1*2,0),U8))))+IF(C8=$O$1,$P$1,)+IF(D8=$O$1,$P$1,)</f>
        <v>0</v>
      </c>
      <c r="G8" s="47"/>
      <c r="H8" s="47"/>
      <c r="I8" s="49">
        <f>IF(OR(M8="скрутка",M8="склейка"),Z8*2,Z8)</f>
        <v>0</v>
      </c>
      <c r="J8" s="53">
        <f>X8</f>
        <v>0</v>
      </c>
      <c r="K8" s="52" t="str">
        <f>IF(ISBLANK(AB8),"",AB8)</f>
        <v/>
      </c>
      <c r="L8" s="52" t="str">
        <f>IF(ISBLANK(AC8),"",AC8)</f>
        <v/>
      </c>
      <c r="M8" s="51" t="str">
        <f>IF(AA8="","",AA8)</f>
        <v/>
      </c>
      <c r="N8" s="30" t="str">
        <f>CONCATENATE(IF(E8&lt;&gt;T8,"НеРавны",),IF(AND(NOT(ISBLANK(R8)),R8&lt;&gt;T8),"Д",),IF(AND(NOT(ISBLANK(S8)),S8&lt;&gt;U8),"Ш",))</f>
        <v/>
      </c>
      <c r="O8" s="22"/>
      <c r="P8" s="18"/>
      <c r="Q8" s="18"/>
      <c r="R8" s="18"/>
      <c r="S8" s="18"/>
      <c r="T8" s="3"/>
      <c r="U8" s="3"/>
      <c r="V8" s="23"/>
      <c r="W8" s="23"/>
      <c r="X8" s="26"/>
      <c r="Y8" s="18"/>
      <c r="Z8" s="18"/>
      <c r="AA8" s="18"/>
      <c r="AB8" s="18"/>
      <c r="AC8" s="18"/>
      <c r="BB8" s="30" t="s">
        <v>125</v>
      </c>
      <c r="BC8" s="30">
        <v>1</v>
      </c>
      <c r="BD8" s="30">
        <v>90</v>
      </c>
    </row>
    <row r="9" spans="1:56" x14ac:dyDescent="0.25">
      <c r="A9" s="9" t="str">
        <f>CONCATENATE(O9,".",LEFT(J9))</f>
        <v>.0</v>
      </c>
      <c r="B9" s="32" t="str">
        <f>CONCATENATE(IF(OR(Y9="Не определена",Y9,ISBLANK(Y9)),"↕",),IF(Y9="Не обязательна","±",),Q9,".",P9)</f>
        <v>↕.</v>
      </c>
      <c r="C9" s="54">
        <f>I25</f>
        <v>0</v>
      </c>
      <c r="D9" s="54">
        <f>I25</f>
        <v>0</v>
      </c>
      <c r="E9" s="48">
        <f>IF(M9="скрутка",T9+$Q$1,IF(M9="склейка",T9+$Q$1,IF(M9="запил торца",ROUND(T9+$P$1,0),IF(M9="запил торцов",ROUND(T9+$P$1*2,0),T9))))+IF(G9=$O$1,$P$1,)+IF(H9=$O$1,$P$1,)</f>
        <v>0</v>
      </c>
      <c r="F9" s="48">
        <f>IF(M9="скрутка",U9+$Q$1,IF(M9="склейка",U9+$Q$1,IF(M9="запил торца",ROUND(U9+$P$1,0),IF(M9="запил торцов",ROUND(U9+$P$1*2,0),U9))))+IF(C9=$O$1,$P$1,)+IF(D9=$O$1,$P$1,)</f>
        <v>0</v>
      </c>
      <c r="G9" s="54">
        <f>I25</f>
        <v>0</v>
      </c>
      <c r="H9" s="54">
        <f>I25</f>
        <v>0</v>
      </c>
      <c r="I9" s="49">
        <f>IF(OR(M9="скрутка",M9="склейка"),Z9*2,Z9)</f>
        <v>0</v>
      </c>
      <c r="J9" s="53">
        <f>X9</f>
        <v>0</v>
      </c>
      <c r="K9" s="52" t="str">
        <f>IF(ISBLANK(AB9),"",AB9)</f>
        <v/>
      </c>
      <c r="L9" s="52" t="str">
        <f>IF(ISBLANK(AC9),"",AC9)</f>
        <v/>
      </c>
      <c r="M9" s="51" t="str">
        <f>IF(AA9="","",AA9)</f>
        <v/>
      </c>
      <c r="N9" s="30" t="str">
        <f>CONCATENATE(IF(E9&lt;&gt;T9,"НеРавны",),IF(AND(NOT(ISBLANK(R9)),R9&lt;&gt;T9),"Д",),IF(AND(NOT(ISBLANK(S9)),S9&lt;&gt;U9),"Ш",))</f>
        <v/>
      </c>
      <c r="O9" s="22"/>
      <c r="P9" s="18"/>
      <c r="Q9" s="18"/>
      <c r="R9" s="18"/>
      <c r="S9" s="18"/>
      <c r="T9" s="3"/>
      <c r="U9" s="3"/>
      <c r="V9" s="23"/>
      <c r="W9" s="23"/>
      <c r="X9" s="18"/>
      <c r="Y9" s="18"/>
      <c r="Z9" s="18"/>
      <c r="AA9" s="18"/>
      <c r="AB9" s="18"/>
      <c r="AC9" s="18"/>
      <c r="BB9" s="30" t="s">
        <v>120</v>
      </c>
      <c r="BC9" s="30">
        <v>1</v>
      </c>
      <c r="BD9" s="30">
        <v>155</v>
      </c>
    </row>
    <row r="10" spans="1:56" x14ac:dyDescent="0.25">
      <c r="A10" s="9" t="str">
        <f>CONCATENATE(O10,".",LEFT(J10))</f>
        <v>.0</v>
      </c>
      <c r="B10" s="32" t="str">
        <f>CONCATENATE(IF(OR(Y10="Не определена",Y10,ISBLANK(Y10)),"↕",),IF(Y10="Не обязательна","±",),Q10,".",P10)</f>
        <v>↕.</v>
      </c>
      <c r="C10" s="54">
        <f>I25</f>
        <v>0</v>
      </c>
      <c r="D10" s="54">
        <f>I25</f>
        <v>0</v>
      </c>
      <c r="E10" s="48">
        <f>IF(M10="скрутка",T10+$Q$1,IF(M10="склейка",T10+$Q$1,IF(M10="запил торца",ROUND(T10+$P$1,0),IF(M10="запил торцов",ROUND(T10+$P$1*2,0),T10))))+IF(G10=$O$1,$P$1,)+IF(H10=$O$1,$P$1,)</f>
        <v>0</v>
      </c>
      <c r="F10" s="48">
        <f>IF(M10="скрутка",U10+$Q$1,IF(M10="склейка",U10+$Q$1,IF(M10="запил торца",ROUND(U10+$P$1,0),IF(M10="запил торцов",ROUND(U10+$P$1*2,0),U10))))+IF(C10=$O$1,$P$1,)+IF(D10=$O$1,$P$1,)</f>
        <v>0</v>
      </c>
      <c r="G10" s="54">
        <f>I25</f>
        <v>0</v>
      </c>
      <c r="H10" s="54">
        <f>I25</f>
        <v>0</v>
      </c>
      <c r="I10" s="49">
        <f>IF(OR(M10="скрутка",M10="склейка"),Z10*2,Z10)</f>
        <v>0</v>
      </c>
      <c r="J10" s="53">
        <f>X10</f>
        <v>0</v>
      </c>
      <c r="K10" s="52" t="str">
        <f>IF(ISBLANK(AB10),"",AB10)</f>
        <v/>
      </c>
      <c r="L10" s="52" t="str">
        <f>IF(ISBLANK(AC10),"",AC10)</f>
        <v/>
      </c>
      <c r="M10" s="51" t="str">
        <f>IF(AA10="","",AA10)</f>
        <v/>
      </c>
      <c r="N10" s="30" t="str">
        <f>CONCATENATE(IF(E10&lt;&gt;T10,"НеРавны",),IF(AND(NOT(ISBLANK(R10)),R10&lt;&gt;T10),"Д",),IF(AND(NOT(ISBLANK(S10)),S10&lt;&gt;U10),"Ш",))</f>
        <v/>
      </c>
      <c r="O10" s="22"/>
      <c r="P10" s="18"/>
      <c r="Q10" s="18"/>
      <c r="R10" s="18"/>
      <c r="S10" s="18"/>
      <c r="T10" s="3"/>
      <c r="U10" s="3"/>
      <c r="V10" s="23"/>
      <c r="W10" s="23"/>
      <c r="X10" s="26"/>
      <c r="Y10" s="18"/>
      <c r="Z10" s="18"/>
      <c r="AA10" s="18"/>
      <c r="AB10" s="18"/>
      <c r="AC10" s="18"/>
      <c r="BB10" s="30" t="s">
        <v>121</v>
      </c>
      <c r="BC10" s="30">
        <v>1</v>
      </c>
      <c r="BD10" s="30">
        <v>163</v>
      </c>
    </row>
    <row r="11" spans="1:56" x14ac:dyDescent="0.25">
      <c r="A11" s="13"/>
      <c r="B11" s="34"/>
      <c r="C11" s="42"/>
      <c r="D11" s="42"/>
      <c r="E11" s="33"/>
      <c r="F11" s="33"/>
      <c r="G11" s="42"/>
      <c r="H11" s="45" t="s">
        <v>15</v>
      </c>
      <c r="I11" s="50">
        <f>SUM(I4:I10)</f>
        <v>0</v>
      </c>
      <c r="J11" s="35"/>
      <c r="K11" s="34"/>
      <c r="L11" s="34"/>
      <c r="M11" s="36"/>
      <c r="O11" s="24"/>
      <c r="V11" s="17"/>
      <c r="W11" s="17"/>
    </row>
    <row r="12" spans="1:56" ht="15" customHeight="1" x14ac:dyDescent="0.25">
      <c r="A12" s="34"/>
      <c r="B12" s="34"/>
      <c r="C12" s="42"/>
      <c r="D12" s="42"/>
      <c r="E12" s="33"/>
      <c r="F12" s="33"/>
      <c r="G12" s="42"/>
      <c r="H12" s="42"/>
      <c r="I12" s="25"/>
      <c r="J12" s="35"/>
      <c r="K12" s="34"/>
      <c r="L12" s="34"/>
      <c r="M12" s="36"/>
      <c r="O12" s="24"/>
      <c r="V12" s="17"/>
      <c r="W12" s="17"/>
    </row>
    <row r="13" spans="1:56" x14ac:dyDescent="0.25">
      <c r="A13" s="2" t="s">
        <v>8</v>
      </c>
      <c r="B13" s="13"/>
      <c r="C13" s="42"/>
      <c r="D13" s="42"/>
      <c r="E13" s="33"/>
      <c r="F13" s="33"/>
      <c r="G13" s="42"/>
      <c r="H13" s="42"/>
      <c r="I13" s="25"/>
      <c r="J13" s="37"/>
      <c r="K13" s="13"/>
      <c r="L13" s="13"/>
      <c r="M13" s="36"/>
      <c r="O13" s="24"/>
      <c r="V13" s="17"/>
      <c r="W13" s="17"/>
    </row>
    <row r="14" spans="1:56" x14ac:dyDescent="0.25">
      <c r="A14" s="30" t="s">
        <v>32</v>
      </c>
      <c r="B14" s="13"/>
      <c r="C14" s="42"/>
      <c r="D14" s="42"/>
      <c r="E14" s="33"/>
      <c r="F14" s="33"/>
      <c r="G14" s="42"/>
      <c r="H14" s="42"/>
      <c r="I14" s="25"/>
      <c r="J14" s="37"/>
      <c r="K14" s="13"/>
      <c r="L14" s="13"/>
      <c r="M14" s="36"/>
      <c r="O14" s="24"/>
      <c r="V14" s="17"/>
      <c r="W14" s="17"/>
    </row>
    <row r="15" spans="1:56" x14ac:dyDescent="0.25">
      <c r="A15" s="13" t="s">
        <v>33</v>
      </c>
    </row>
    <row r="16" spans="1:56" x14ac:dyDescent="0.25">
      <c r="A16" s="13" t="s">
        <v>16</v>
      </c>
    </row>
    <row r="17" spans="1:29" x14ac:dyDescent="0.25">
      <c r="A17" s="13" t="s">
        <v>28</v>
      </c>
    </row>
    <row r="18" spans="1:29" x14ac:dyDescent="0.25">
      <c r="A18" s="13"/>
    </row>
    <row r="19" spans="1:29" ht="18.75" x14ac:dyDescent="0.3">
      <c r="A19" s="1" t="str">
        <f>CONCATENATE(A2, ". Соответствие кромки и ДСП")</f>
        <v>Деталировка+Склад. tehnolog5. Соответствие кромки и ДСП</v>
      </c>
      <c r="N19" s="30" t="s">
        <v>35</v>
      </c>
    </row>
    <row r="20" spans="1:29" x14ac:dyDescent="0.25">
      <c r="A20" s="3" t="s">
        <v>6</v>
      </c>
      <c r="B20" s="4" t="s">
        <v>14</v>
      </c>
      <c r="C20" s="40"/>
      <c r="D20" s="60"/>
      <c r="E20" s="61"/>
      <c r="F20" s="5"/>
      <c r="G20" s="44"/>
      <c r="H20" s="57" t="s">
        <v>31</v>
      </c>
      <c r="I20" s="58" t="s">
        <v>30</v>
      </c>
      <c r="J20" s="3" t="s">
        <v>13</v>
      </c>
      <c r="K20" s="3" t="s">
        <v>52</v>
      </c>
      <c r="L20" s="55"/>
      <c r="M20" s="56"/>
    </row>
    <row r="21" spans="1:29" x14ac:dyDescent="0.25">
      <c r="A21" s="3"/>
      <c r="B21" s="4"/>
      <c r="C21" s="46"/>
      <c r="D21" s="62"/>
      <c r="E21" s="63"/>
      <c r="F21" s="5"/>
      <c r="G21" s="43"/>
      <c r="H21" s="59"/>
      <c r="I21" s="18"/>
      <c r="J21" s="3"/>
      <c r="K21" s="3"/>
      <c r="L21" s="55"/>
      <c r="M21" s="56"/>
    </row>
    <row r="22" spans="1:29" x14ac:dyDescent="0.25">
      <c r="A22" s="3"/>
      <c r="B22" s="4"/>
      <c r="C22" s="46"/>
      <c r="D22" s="62"/>
      <c r="E22" s="63"/>
      <c r="F22" s="5"/>
      <c r="G22" s="43"/>
      <c r="H22" s="59"/>
      <c r="I22" s="18"/>
      <c r="J22" s="3"/>
      <c r="K22" s="3"/>
      <c r="L22" s="55"/>
      <c r="M22" s="56"/>
    </row>
    <row r="23" spans="1:29" x14ac:dyDescent="0.25">
      <c r="A23" s="3"/>
      <c r="B23" s="4"/>
      <c r="C23" s="46"/>
      <c r="D23" s="62"/>
      <c r="E23" s="63"/>
      <c r="F23" s="5"/>
      <c r="G23" s="43"/>
      <c r="H23" s="59"/>
      <c r="I23" s="18"/>
      <c r="J23" s="3"/>
      <c r="K23" s="3"/>
      <c r="L23" s="55"/>
      <c r="M23" s="56"/>
    </row>
    <row r="24" spans="1:29" x14ac:dyDescent="0.25">
      <c r="A24" s="3"/>
      <c r="B24" s="4"/>
      <c r="C24" s="46"/>
      <c r="D24" s="62"/>
      <c r="E24" s="63"/>
      <c r="F24" s="5"/>
      <c r="G24" s="43"/>
      <c r="H24" s="59"/>
      <c r="I24" s="18"/>
      <c r="J24" s="3"/>
      <c r="K24" s="3"/>
      <c r="L24" s="55"/>
      <c r="M24" s="56"/>
    </row>
    <row r="25" spans="1:29" x14ac:dyDescent="0.25">
      <c r="A25" s="3"/>
      <c r="B25" s="4"/>
      <c r="C25" s="46"/>
      <c r="D25" s="62"/>
      <c r="E25" s="63"/>
      <c r="F25" s="5"/>
      <c r="G25" s="43"/>
      <c r="H25" s="59"/>
      <c r="I25" s="18"/>
      <c r="J25" s="3"/>
      <c r="K25" s="3"/>
      <c r="L25" s="55"/>
      <c r="M25" s="56"/>
    </row>
    <row r="26" spans="1:29" x14ac:dyDescent="0.25">
      <c r="A26" s="3"/>
      <c r="B26" s="4"/>
      <c r="C26" s="46"/>
      <c r="D26" s="62"/>
      <c r="E26" s="63"/>
      <c r="F26" s="5"/>
      <c r="G26" s="43"/>
      <c r="H26" s="59"/>
      <c r="I26" s="18"/>
      <c r="J26" s="18"/>
      <c r="K26" s="3"/>
      <c r="L26" s="55"/>
      <c r="M26" s="56"/>
    </row>
    <row r="27" spans="1:29" ht="18.75" x14ac:dyDescent="0.3">
      <c r="A27" s="1" t="str">
        <f>CONCATENATE(A2, ". Стекло")</f>
        <v>Деталировка+Склад. tehnolog5. Стекло</v>
      </c>
    </row>
    <row r="28" spans="1:29" x14ac:dyDescent="0.25">
      <c r="A28" s="3" t="s">
        <v>6</v>
      </c>
      <c r="B28" s="4" t="s">
        <v>5</v>
      </c>
      <c r="C28" s="39" t="s">
        <v>9</v>
      </c>
      <c r="D28" s="40" t="s">
        <v>11</v>
      </c>
      <c r="E28" s="6" t="s">
        <v>1</v>
      </c>
      <c r="F28" s="7" t="s">
        <v>0</v>
      </c>
      <c r="G28" s="40" t="s">
        <v>10</v>
      </c>
      <c r="H28" s="44" t="s">
        <v>12</v>
      </c>
      <c r="I28" s="8" t="s">
        <v>2</v>
      </c>
      <c r="J28" s="3" t="s">
        <v>3</v>
      </c>
      <c r="K28" s="4"/>
      <c r="L28" s="4"/>
      <c r="M28" s="3" t="s">
        <v>4</v>
      </c>
    </row>
    <row r="29" spans="1:29" x14ac:dyDescent="0.25">
      <c r="A29" s="9"/>
      <c r="B29" s="32"/>
      <c r="C29" s="41"/>
      <c r="D29" s="41"/>
      <c r="E29" s="14"/>
      <c r="F29" s="14"/>
      <c r="G29" s="41"/>
      <c r="H29" s="41"/>
      <c r="I29" s="10"/>
      <c r="J29" s="11"/>
      <c r="K29" s="32"/>
      <c r="L29" s="32"/>
      <c r="M29" s="28"/>
      <c r="O29" s="22"/>
      <c r="P29" s="18"/>
      <c r="Q29" s="18"/>
      <c r="R29" s="18"/>
      <c r="S29" s="18"/>
      <c r="T29" s="3"/>
      <c r="U29" s="3"/>
      <c r="V29" s="23"/>
      <c r="W29" s="23"/>
      <c r="X29" s="18"/>
      <c r="Y29" s="18"/>
      <c r="Z29" s="18"/>
      <c r="AA29" s="18"/>
      <c r="AB29" s="18"/>
      <c r="AC29" s="18"/>
    </row>
    <row r="30" spans="1:29" x14ac:dyDescent="0.25">
      <c r="A30" s="9"/>
      <c r="B30" s="32"/>
      <c r="C30" s="41"/>
      <c r="D30" s="41"/>
      <c r="E30" s="14"/>
      <c r="F30" s="14"/>
      <c r="G30" s="41"/>
      <c r="H30" s="41"/>
      <c r="I30" s="10"/>
      <c r="J30" s="11"/>
      <c r="K30" s="32"/>
      <c r="L30" s="32"/>
      <c r="M30" s="28"/>
      <c r="O30" s="22"/>
      <c r="P30" s="18"/>
      <c r="Q30" s="18"/>
      <c r="R30" s="18"/>
      <c r="S30" s="18"/>
      <c r="T30" s="3"/>
      <c r="U30" s="3"/>
      <c r="V30" s="23"/>
      <c r="W30" s="23"/>
      <c r="X30" s="18"/>
      <c r="Y30" s="18"/>
      <c r="Z30" s="18"/>
      <c r="AA30" s="18"/>
      <c r="AB30" s="18"/>
      <c r="AC30" s="18"/>
    </row>
    <row r="31" spans="1:29" x14ac:dyDescent="0.25">
      <c r="A31" s="9"/>
      <c r="B31" s="32"/>
      <c r="C31" s="41"/>
      <c r="D31" s="41"/>
      <c r="E31" s="14"/>
      <c r="F31" s="14"/>
      <c r="G31" s="41"/>
      <c r="H31" s="41"/>
      <c r="I31" s="10"/>
      <c r="J31" s="11"/>
      <c r="K31" s="32"/>
      <c r="L31" s="32"/>
      <c r="M31" s="28"/>
      <c r="O31" s="22"/>
      <c r="P31" s="18"/>
      <c r="Q31" s="18"/>
      <c r="R31" s="18"/>
      <c r="S31" s="18"/>
      <c r="T31" s="3"/>
      <c r="U31" s="3"/>
      <c r="V31" s="23"/>
      <c r="W31" s="23"/>
      <c r="X31" s="18"/>
      <c r="Y31" s="18"/>
      <c r="Z31" s="18"/>
      <c r="AA31" s="18"/>
      <c r="AB31" s="18"/>
      <c r="AC31" s="18"/>
    </row>
    <row r="32" spans="1:29" x14ac:dyDescent="0.25">
      <c r="A32" s="9"/>
      <c r="B32" s="32"/>
      <c r="C32" s="41"/>
      <c r="D32" s="41"/>
      <c r="E32" s="14"/>
      <c r="F32" s="14"/>
      <c r="G32" s="41"/>
      <c r="H32" s="41"/>
      <c r="I32" s="10"/>
      <c r="J32" s="11"/>
      <c r="K32" s="32"/>
      <c r="L32" s="32"/>
      <c r="M32" s="28"/>
      <c r="O32" s="22"/>
      <c r="P32" s="18"/>
      <c r="Q32" s="18"/>
      <c r="R32" s="18"/>
      <c r="S32" s="18"/>
      <c r="T32" s="3"/>
      <c r="U32" s="3"/>
      <c r="V32" s="23"/>
      <c r="W32" s="23"/>
      <c r="X32" s="18"/>
      <c r="Y32" s="18"/>
      <c r="Z32" s="18"/>
      <c r="AA32" s="18"/>
      <c r="AB32" s="18"/>
      <c r="AC32" s="18"/>
    </row>
    <row r="33" spans="1:29" x14ac:dyDescent="0.25">
      <c r="A33" s="9"/>
      <c r="B33" s="32"/>
      <c r="C33" s="41"/>
      <c r="D33" s="41"/>
      <c r="E33" s="14"/>
      <c r="F33" s="14"/>
      <c r="G33" s="41"/>
      <c r="H33" s="41"/>
      <c r="I33" s="10"/>
      <c r="J33" s="11"/>
      <c r="K33" s="32"/>
      <c r="L33" s="32"/>
      <c r="M33" s="28"/>
      <c r="O33" s="22"/>
      <c r="P33" s="18"/>
      <c r="Q33" s="18"/>
      <c r="R33" s="18"/>
      <c r="S33" s="18"/>
      <c r="T33" s="3"/>
      <c r="U33" s="3"/>
      <c r="V33" s="23"/>
      <c r="W33" s="23"/>
      <c r="X33" s="18"/>
      <c r="Y33" s="18"/>
      <c r="Z33" s="18"/>
      <c r="AA33" s="18"/>
      <c r="AB33" s="18"/>
      <c r="AC33" s="18"/>
    </row>
    <row r="34" spans="1:29" x14ac:dyDescent="0.25">
      <c r="A34" s="13"/>
      <c r="B34" s="9"/>
      <c r="C34" s="41"/>
      <c r="D34" s="41"/>
      <c r="E34" s="14"/>
      <c r="F34" s="14"/>
      <c r="G34" s="41"/>
      <c r="H34" s="45" t="s">
        <v>15</v>
      </c>
      <c r="I34" s="25">
        <f>SUM(I29:I33)</f>
        <v>0</v>
      </c>
      <c r="J34" s="11"/>
      <c r="K34" s="9"/>
      <c r="L34" s="9"/>
      <c r="M34" s="12"/>
      <c r="O34" s="24"/>
      <c r="V34" s="17"/>
      <c r="W34" s="17"/>
    </row>
    <row r="35" spans="1:29" x14ac:dyDescent="0.25">
      <c r="A35" s="16" t="s">
        <v>8</v>
      </c>
      <c r="B35" s="9"/>
      <c r="C35" s="41"/>
      <c r="D35" s="41"/>
      <c r="E35" s="14"/>
      <c r="F35" s="14"/>
      <c r="G35" s="41"/>
      <c r="H35" s="41"/>
      <c r="I35" s="10"/>
      <c r="J35" s="15"/>
      <c r="K35" s="9"/>
      <c r="L35" s="9"/>
      <c r="M35" s="12"/>
    </row>
    <row r="36" spans="1:29" x14ac:dyDescent="0.25">
      <c r="A36" s="13" t="s">
        <v>40</v>
      </c>
      <c r="B36" s="9"/>
      <c r="C36" s="41"/>
      <c r="D36" s="41"/>
      <c r="E36" s="14"/>
      <c r="F36" s="14"/>
      <c r="G36" s="41"/>
      <c r="H36" s="41"/>
      <c r="I36" s="10"/>
      <c r="J36" s="15"/>
      <c r="K36" s="9"/>
      <c r="L36" s="9"/>
      <c r="M36" s="12"/>
    </row>
    <row r="38" spans="1:29" ht="18.75" x14ac:dyDescent="0.3">
      <c r="A38" s="1" t="str">
        <f>CONCATENATE(A2, ". Пластик")</f>
        <v>Деталировка+Склад. tehnolog5. Пластик</v>
      </c>
    </row>
    <row r="39" spans="1:29" x14ac:dyDescent="0.25">
      <c r="A39" s="3" t="s">
        <v>6</v>
      </c>
      <c r="B39" s="4" t="s">
        <v>5</v>
      </c>
      <c r="C39" s="39" t="s">
        <v>9</v>
      </c>
      <c r="D39" s="40" t="s">
        <v>11</v>
      </c>
      <c r="E39" s="6" t="s">
        <v>1</v>
      </c>
      <c r="F39" s="7" t="s">
        <v>0</v>
      </c>
      <c r="G39" s="40" t="s">
        <v>10</v>
      </c>
      <c r="H39" s="44" t="s">
        <v>12</v>
      </c>
      <c r="I39" s="8" t="s">
        <v>2</v>
      </c>
      <c r="J39" s="3" t="s">
        <v>3</v>
      </c>
      <c r="K39" s="4"/>
      <c r="L39" s="4"/>
      <c r="M39" s="3" t="s">
        <v>4</v>
      </c>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32"/>
      <c r="L41" s="32"/>
      <c r="M41" s="28"/>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15"/>
      <c r="L42" s="15"/>
      <c r="M42" s="11"/>
      <c r="O42" s="22"/>
      <c r="P42" s="18"/>
      <c r="Q42" s="18"/>
      <c r="R42" s="18"/>
      <c r="S42" s="18"/>
      <c r="T42" s="3"/>
      <c r="U42" s="3"/>
      <c r="V42" s="23"/>
      <c r="W42" s="23"/>
      <c r="X42" s="18"/>
      <c r="Y42" s="18"/>
      <c r="Z42" s="18"/>
      <c r="AA42" s="18"/>
      <c r="AB42" s="18"/>
      <c r="AC42" s="18"/>
    </row>
    <row r="43" spans="1:29" x14ac:dyDescent="0.25">
      <c r="A43" s="9"/>
      <c r="B43" s="32"/>
      <c r="C43" s="41"/>
      <c r="D43" s="41"/>
      <c r="E43" s="14"/>
      <c r="F43" s="14"/>
      <c r="G43" s="41"/>
      <c r="H43" s="41"/>
      <c r="I43" s="10"/>
      <c r="J43" s="11"/>
      <c r="K43" s="15"/>
      <c r="L43" s="15"/>
      <c r="M43" s="11"/>
      <c r="O43" s="22"/>
      <c r="P43" s="18"/>
      <c r="Q43" s="18"/>
      <c r="R43" s="18"/>
      <c r="S43" s="18"/>
      <c r="T43" s="3"/>
      <c r="U43" s="3"/>
      <c r="V43" s="23"/>
      <c r="W43" s="23"/>
      <c r="X43" s="18"/>
      <c r="Y43" s="18"/>
      <c r="Z43" s="18"/>
      <c r="AA43" s="18"/>
      <c r="AB43" s="18"/>
      <c r="AC43" s="18"/>
    </row>
    <row r="44" spans="1:29" x14ac:dyDescent="0.25">
      <c r="A44" s="9"/>
      <c r="B44" s="32"/>
      <c r="C44" s="41"/>
      <c r="D44" s="41"/>
      <c r="E44" s="14"/>
      <c r="F44" s="14"/>
      <c r="G44" s="41"/>
      <c r="H44" s="41"/>
      <c r="I44" s="10"/>
      <c r="J44" s="11"/>
      <c r="K44" s="15"/>
      <c r="L44" s="15"/>
      <c r="M44" s="11"/>
      <c r="O44" s="22"/>
      <c r="P44" s="18"/>
      <c r="Q44" s="18"/>
      <c r="R44" s="18"/>
      <c r="S44" s="18"/>
      <c r="T44" s="3"/>
      <c r="U44" s="3"/>
      <c r="V44" s="23"/>
      <c r="W44" s="23"/>
      <c r="X44" s="18"/>
      <c r="Y44" s="18"/>
      <c r="Z44" s="18"/>
      <c r="AA44" s="18"/>
      <c r="AB44" s="18"/>
      <c r="AC44" s="18"/>
    </row>
    <row r="45" spans="1:29" x14ac:dyDescent="0.25">
      <c r="A45" s="9"/>
      <c r="B45" s="32"/>
      <c r="C45" s="41"/>
      <c r="D45" s="41"/>
      <c r="E45" s="14"/>
      <c r="F45" s="14"/>
      <c r="G45" s="41"/>
      <c r="H45" s="41"/>
      <c r="I45" s="10"/>
      <c r="J45" s="11"/>
      <c r="K45" s="15"/>
      <c r="L45" s="15"/>
      <c r="M45" s="11"/>
      <c r="O45" s="22"/>
      <c r="P45" s="18"/>
      <c r="Q45" s="18"/>
      <c r="R45" s="18"/>
      <c r="S45" s="18"/>
      <c r="T45" s="3"/>
      <c r="U45" s="3"/>
      <c r="V45" s="23"/>
      <c r="W45" s="23"/>
      <c r="X45" s="18"/>
      <c r="Y45" s="18"/>
      <c r="Z45" s="18"/>
      <c r="AA45" s="18"/>
      <c r="AB45" s="18"/>
      <c r="AC45" s="18"/>
    </row>
    <row r="46" spans="1:29" x14ac:dyDescent="0.25">
      <c r="A46" s="9"/>
      <c r="B46" s="32"/>
      <c r="C46" s="41"/>
      <c r="D46" s="41"/>
      <c r="E46" s="14"/>
      <c r="F46" s="14"/>
      <c r="G46" s="41"/>
      <c r="H46" s="41"/>
      <c r="I46" s="10"/>
      <c r="J46" s="11"/>
      <c r="K46" s="15"/>
      <c r="L46" s="15"/>
      <c r="M46" s="11"/>
      <c r="O46" s="22"/>
      <c r="P46" s="18"/>
      <c r="Q46" s="18"/>
      <c r="R46" s="18"/>
      <c r="S46" s="18"/>
      <c r="T46" s="3"/>
      <c r="U46" s="3"/>
      <c r="V46" s="23"/>
      <c r="W46" s="23"/>
      <c r="X46" s="18"/>
      <c r="Y46" s="18"/>
      <c r="Z46" s="18"/>
      <c r="AA46" s="18"/>
      <c r="AB46" s="18"/>
      <c r="AC46" s="18"/>
    </row>
    <row r="47" spans="1:29" x14ac:dyDescent="0.25">
      <c r="A47" s="9"/>
      <c r="B47" s="32"/>
      <c r="C47" s="41"/>
      <c r="D47" s="41"/>
      <c r="E47" s="14"/>
      <c r="F47" s="14"/>
      <c r="G47" s="41"/>
      <c r="H47" s="41"/>
      <c r="I47" s="10"/>
      <c r="J47" s="11"/>
      <c r="K47" s="15"/>
      <c r="L47" s="15"/>
      <c r="M47" s="11"/>
      <c r="O47" s="22"/>
      <c r="P47" s="18"/>
      <c r="Q47" s="18"/>
      <c r="R47" s="18"/>
      <c r="S47" s="18"/>
      <c r="T47" s="3"/>
      <c r="U47" s="3"/>
      <c r="V47" s="23"/>
      <c r="W47" s="23"/>
      <c r="X47" s="18"/>
      <c r="Y47" s="18"/>
      <c r="Z47" s="18"/>
      <c r="AA47" s="18"/>
      <c r="AB47" s="18"/>
      <c r="AC47" s="18"/>
    </row>
    <row r="48" spans="1:29" x14ac:dyDescent="0.25">
      <c r="A48" s="9"/>
      <c r="B48" s="32"/>
      <c r="C48" s="41"/>
      <c r="D48" s="41"/>
      <c r="E48" s="14"/>
      <c r="F48" s="14"/>
      <c r="G48" s="41"/>
      <c r="H48" s="41"/>
      <c r="I48" s="10"/>
      <c r="J48" s="11"/>
      <c r="K48" s="15"/>
      <c r="L48" s="15"/>
      <c r="M48" s="11"/>
      <c r="O48" s="22"/>
      <c r="P48" s="18"/>
      <c r="Q48" s="18"/>
      <c r="R48" s="18"/>
      <c r="S48" s="18"/>
      <c r="T48" s="3"/>
      <c r="U48" s="3"/>
      <c r="V48" s="23"/>
      <c r="W48" s="23"/>
      <c r="X48" s="18"/>
      <c r="Y48" s="18"/>
      <c r="Z48" s="18"/>
      <c r="AA48" s="18"/>
      <c r="AB48" s="18"/>
      <c r="AC48" s="18"/>
    </row>
    <row r="49" spans="1:57" x14ac:dyDescent="0.25">
      <c r="A49" s="9"/>
      <c r="B49" s="32"/>
      <c r="C49" s="41"/>
      <c r="D49" s="41"/>
      <c r="E49" s="14"/>
      <c r="F49" s="14"/>
      <c r="G49" s="41"/>
      <c r="H49" s="41"/>
      <c r="I49" s="10"/>
      <c r="J49" s="11"/>
      <c r="K49" s="15"/>
      <c r="L49" s="15"/>
      <c r="M49" s="11"/>
      <c r="O49" s="22"/>
      <c r="P49" s="18"/>
      <c r="Q49" s="18"/>
      <c r="R49" s="18"/>
      <c r="S49" s="18"/>
      <c r="T49" s="3"/>
      <c r="U49" s="3"/>
      <c r="V49" s="23"/>
      <c r="W49" s="23"/>
      <c r="X49" s="18"/>
      <c r="Y49" s="18"/>
      <c r="Z49" s="18"/>
      <c r="AA49" s="18"/>
      <c r="AB49" s="18"/>
      <c r="AC49" s="18"/>
    </row>
    <row r="50" spans="1:57" x14ac:dyDescent="0.25">
      <c r="A50" s="13"/>
      <c r="B50" s="9"/>
      <c r="C50" s="41"/>
      <c r="D50" s="41"/>
      <c r="E50" s="14"/>
      <c r="F50" s="14"/>
      <c r="G50" s="41"/>
      <c r="H50" s="45" t="s">
        <v>15</v>
      </c>
      <c r="I50" s="25">
        <f>SUM(I40:I49)</f>
        <v>0</v>
      </c>
      <c r="J50" s="11"/>
      <c r="K50" s="9"/>
      <c r="L50" s="9"/>
      <c r="M50" s="12"/>
    </row>
    <row r="51" spans="1:57" x14ac:dyDescent="0.25">
      <c r="A51" s="16" t="s">
        <v>8</v>
      </c>
      <c r="B51" s="9"/>
      <c r="C51" s="41"/>
      <c r="D51" s="41"/>
      <c r="E51" s="14"/>
      <c r="F51" s="14"/>
      <c r="G51" s="41"/>
      <c r="H51" s="41"/>
      <c r="I51" s="10"/>
      <c r="J51" s="15"/>
      <c r="K51" s="9"/>
      <c r="L51" s="9"/>
      <c r="M51" s="12"/>
    </row>
    <row r="52" spans="1:57" x14ac:dyDescent="0.25">
      <c r="A52" s="13" t="s">
        <v>40</v>
      </c>
      <c r="B52" s="9"/>
      <c r="C52" s="41"/>
      <c r="D52" s="41"/>
      <c r="E52" s="14"/>
      <c r="F52" s="14"/>
      <c r="G52" s="41"/>
      <c r="H52" s="41"/>
      <c r="I52" s="10"/>
      <c r="J52" s="15"/>
      <c r="K52" s="9"/>
      <c r="L52" s="9"/>
      <c r="M52" s="12"/>
    </row>
    <row r="57" spans="1:57" ht="18.75" x14ac:dyDescent="0.3">
      <c r="A57" s="1" t="s">
        <v>29</v>
      </c>
    </row>
    <row r="58" spans="1:57" x14ac:dyDescent="0.25">
      <c r="A58" s="30" t="s">
        <v>37</v>
      </c>
    </row>
    <row r="59" spans="1:57" x14ac:dyDescent="0.25">
      <c r="M59" s="30"/>
      <c r="T59" s="30"/>
      <c r="U59" s="30"/>
    </row>
    <row r="60" spans="1:57" x14ac:dyDescent="0.25">
      <c r="M60" s="30"/>
      <c r="T60" s="30"/>
      <c r="U60" s="30"/>
    </row>
    <row r="61" spans="1:57" x14ac:dyDescent="0.25">
      <c r="M61" s="30"/>
      <c r="T61" s="30"/>
      <c r="U61" s="30"/>
    </row>
    <row r="62" spans="1:57"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row>
    <row r="64" spans="1:5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row>
    <row r="65" spans="1:8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row>
    <row r="66" spans="1:8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row>
    <row r="67" spans="1:8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row>
    <row r="68" spans="1:8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row>
    <row r="69" spans="1:8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row>
    <row r="70" spans="1:8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row>
    <row r="72" spans="1:8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row r="428" spans="1:8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row>
  </sheetData>
  <sortState xmlns:xlrd2="http://schemas.microsoft.com/office/spreadsheetml/2017/richdata2" ref="A4:AC10">
    <sortCondition ref="Q4:Q10"/>
    <sortCondition ref="X4:X10"/>
    <sortCondition ref="P4:P10"/>
  </sortState>
  <phoneticPr fontId="10" type="noConversion"/>
  <conditionalFormatting sqref="C49">
    <cfRule type="expression" dxfId="2945" priority="15644" stopIfTrue="1">
      <formula>AND(NOT(ISBLANK(C49)),NOT(_xlfn.ISFORMULA(C49)))</formula>
    </cfRule>
  </conditionalFormatting>
  <conditionalFormatting sqref="D49">
    <cfRule type="expression" dxfId="2944" priority="15643" stopIfTrue="1">
      <formula>AND(NOT(ISBLANK(D49)),NOT(_xlfn.ISFORMULA(D49)))</formula>
    </cfRule>
  </conditionalFormatting>
  <conditionalFormatting sqref="G49">
    <cfRule type="expression" dxfId="2943" priority="15642" stopIfTrue="1">
      <formula>AND(NOT(ISBLANK(G49)),NOT(_xlfn.ISFORMULA(G49)))</formula>
    </cfRule>
  </conditionalFormatting>
  <conditionalFormatting sqref="H49">
    <cfRule type="expression" dxfId="2942" priority="15641" stopIfTrue="1">
      <formula>AND(NOT(ISBLANK(H49)),NOT(_xlfn.ISFORMULA(H49)))</formula>
    </cfRule>
  </conditionalFormatting>
  <conditionalFormatting sqref="D40">
    <cfRule type="expression" dxfId="2941" priority="15759" stopIfTrue="1">
      <formula>AND(NOT(ISBLANK(D40)),NOT(_xlfn.ISFORMULA(D40)))</formula>
    </cfRule>
  </conditionalFormatting>
  <conditionalFormatting sqref="G40">
    <cfRule type="expression" dxfId="2940" priority="15758" stopIfTrue="1">
      <formula>AND(NOT(ISBLANK(G40)),NOT(_xlfn.ISFORMULA(G40)))</formula>
    </cfRule>
  </conditionalFormatting>
  <conditionalFormatting sqref="H40">
    <cfRule type="expression" dxfId="2939" priority="15757" stopIfTrue="1">
      <formula>AND(NOT(ISBLANK(H40)),NOT(_xlfn.ISFORMULA(H40)))</formula>
    </cfRule>
  </conditionalFormatting>
  <conditionalFormatting sqref="E29">
    <cfRule type="expression" dxfId="2938" priority="15755">
      <formula>AND(AND(NOT(ISBLANK(D29)),NOT(D29=$O$1)),AND(NOT(ISBLANK(C29)),NOT(C29=$O$1)))</formula>
    </cfRule>
    <cfRule type="expression" dxfId="2937" priority="15756">
      <formula>OR(AND(NOT(ISBLANK(D29)),NOT(D29=$O$1)),AND(NOT(ISBLANK(C29)),NOT(C29=$O$1)))</formula>
    </cfRule>
  </conditionalFormatting>
  <conditionalFormatting sqref="F29">
    <cfRule type="expression" dxfId="2936" priority="15753">
      <formula>AND(AND(NOT(ISBLANK(G29)),NOT(G29=$O$1)),AND(NOT(ISBLANK(H29)),NOT(H29=$O$1)))</formula>
    </cfRule>
    <cfRule type="expression" dxfId="2935" priority="15754">
      <formula>OR(AND(NOT(ISBLANK(G29)),NOT(G29=$O$1)),AND(NOT(ISBLANK(H29)),NOT(H29=$O$1)))</formula>
    </cfRule>
  </conditionalFormatting>
  <conditionalFormatting sqref="C29">
    <cfRule type="expression" dxfId="2934" priority="15752" stopIfTrue="1">
      <formula>AND(NOT(ISBLANK(C29)),NOT(_xlfn.ISFORMULA(C29)))</formula>
    </cfRule>
  </conditionalFormatting>
  <conditionalFormatting sqref="D29">
    <cfRule type="expression" dxfId="2933" priority="15751" stopIfTrue="1">
      <formula>AND(NOT(ISBLANK(D29)),NOT(_xlfn.ISFORMULA(D29)))</formula>
    </cfRule>
  </conditionalFormatting>
  <conditionalFormatting sqref="G29">
    <cfRule type="expression" dxfId="2932" priority="15750" stopIfTrue="1">
      <formula>AND(NOT(ISBLANK(G29)),NOT(_xlfn.ISFORMULA(G29)))</formula>
    </cfRule>
  </conditionalFormatting>
  <conditionalFormatting sqref="H29">
    <cfRule type="expression" dxfId="2931" priority="15749" stopIfTrue="1">
      <formula>AND(NOT(ISBLANK(H29)),NOT(_xlfn.ISFORMULA(H29)))</formula>
    </cfRule>
  </conditionalFormatting>
  <conditionalFormatting sqref="E40">
    <cfRule type="expression" dxfId="2930" priority="15763">
      <formula>AND(AND(NOT(ISBLANK(D40)),NOT(D40=$O$1)),AND(NOT(ISBLANK(C40)),NOT(C40=$O$1)))</formula>
    </cfRule>
    <cfRule type="expression" dxfId="2929" priority="15764">
      <formula>OR(AND(NOT(ISBLANK(D40)),NOT(D40=$O$1)),AND(NOT(ISBLANK(C40)),NOT(C40=$O$1)))</formula>
    </cfRule>
  </conditionalFormatting>
  <conditionalFormatting sqref="F40">
    <cfRule type="expression" dxfId="2928" priority="15761">
      <formula>AND(AND(NOT(ISBLANK(G40)),NOT(G40=$O$1)),AND(NOT(ISBLANK(H40)),NOT(H40=$O$1)))</formula>
    </cfRule>
    <cfRule type="expression" dxfId="2927" priority="15762">
      <formula>OR(AND(NOT(ISBLANK(G40)),NOT(G40=$O$1)),AND(NOT(ISBLANK(H40)),NOT(H40=$O$1)))</formula>
    </cfRule>
  </conditionalFormatting>
  <conditionalFormatting sqref="C40">
    <cfRule type="expression" dxfId="2926" priority="15760" stopIfTrue="1">
      <formula>AND(NOT(ISBLANK(C40)),NOT(_xlfn.ISFORMULA(C40)))</formula>
    </cfRule>
  </conditionalFormatting>
  <conditionalFormatting sqref="E41">
    <cfRule type="expression" dxfId="2925" priority="15747">
      <formula>AND(AND(NOT(ISBLANK(D41)),NOT(D41=$O$1)),AND(NOT(ISBLANK(C41)),NOT(C41=$O$1)))</formula>
    </cfRule>
    <cfRule type="expression" dxfId="2924" priority="15748">
      <formula>OR(AND(NOT(ISBLANK(D41)),NOT(D41=$O$1)),AND(NOT(ISBLANK(C41)),NOT(C41=$O$1)))</formula>
    </cfRule>
  </conditionalFormatting>
  <conditionalFormatting sqref="F41">
    <cfRule type="expression" dxfId="2923" priority="15745">
      <formula>AND(AND(NOT(ISBLANK(G41)),NOT(G41=$O$1)),AND(NOT(ISBLANK(H41)),NOT(H41=$O$1)))</formula>
    </cfRule>
    <cfRule type="expression" dxfId="2922" priority="15746">
      <formula>OR(AND(NOT(ISBLANK(G41)),NOT(G41=$O$1)),AND(NOT(ISBLANK(H41)),NOT(H41=$O$1)))</formula>
    </cfRule>
  </conditionalFormatting>
  <conditionalFormatting sqref="C41">
    <cfRule type="expression" dxfId="2921" priority="15744" stopIfTrue="1">
      <formula>AND(NOT(ISBLANK(C41)),NOT(_xlfn.ISFORMULA(C41)))</formula>
    </cfRule>
  </conditionalFormatting>
  <conditionalFormatting sqref="D41">
    <cfRule type="expression" dxfId="2920" priority="15743" stopIfTrue="1">
      <formula>AND(NOT(ISBLANK(D41)),NOT(_xlfn.ISFORMULA(D41)))</formula>
    </cfRule>
  </conditionalFormatting>
  <conditionalFormatting sqref="G41">
    <cfRule type="expression" dxfId="2919" priority="15742" stopIfTrue="1">
      <formula>AND(NOT(ISBLANK(G41)),NOT(_xlfn.ISFORMULA(G41)))</formula>
    </cfRule>
  </conditionalFormatting>
  <conditionalFormatting sqref="H41">
    <cfRule type="expression" dxfId="2918" priority="15741" stopIfTrue="1">
      <formula>AND(NOT(ISBLANK(H41)),NOT(_xlfn.ISFORMULA(H41)))</formula>
    </cfRule>
  </conditionalFormatting>
  <conditionalFormatting sqref="C42">
    <cfRule type="expression" dxfId="2917" priority="15736" stopIfTrue="1">
      <formula>AND(NOT(ISBLANK(C42)),NOT(_xlfn.ISFORMULA(C42)))</formula>
    </cfRule>
  </conditionalFormatting>
  <conditionalFormatting sqref="D42">
    <cfRule type="expression" dxfId="2916" priority="15735" stopIfTrue="1">
      <formula>AND(NOT(ISBLANK(D42)),NOT(_xlfn.ISFORMULA(D42)))</formula>
    </cfRule>
  </conditionalFormatting>
  <conditionalFormatting sqref="G42">
    <cfRule type="expression" dxfId="2915" priority="15734" stopIfTrue="1">
      <formula>AND(NOT(ISBLANK(G42)),NOT(_xlfn.ISFORMULA(G42)))</formula>
    </cfRule>
  </conditionalFormatting>
  <conditionalFormatting sqref="E42">
    <cfRule type="expression" dxfId="2914" priority="15739">
      <formula>AND(AND(NOT(ISBLANK(D42)),NOT(D42=$O$1)),AND(NOT(ISBLANK(C42)),NOT(C42=$O$1)))</formula>
    </cfRule>
    <cfRule type="expression" dxfId="2913" priority="15740">
      <formula>OR(AND(NOT(ISBLANK(D42)),NOT(D42=$O$1)),AND(NOT(ISBLANK(C42)),NOT(C42=$O$1)))</formula>
    </cfRule>
  </conditionalFormatting>
  <conditionalFormatting sqref="F42">
    <cfRule type="expression" dxfId="2912" priority="15737">
      <formula>AND(AND(NOT(ISBLANK(G42)),NOT(G42=$O$1)),AND(NOT(ISBLANK(H42)),NOT(H42=$O$1)))</formula>
    </cfRule>
    <cfRule type="expression" dxfId="2911" priority="15738">
      <formula>OR(AND(NOT(ISBLANK(G42)),NOT(G42=$O$1)),AND(NOT(ISBLANK(H42)),NOT(H42=$O$1)))</formula>
    </cfRule>
  </conditionalFormatting>
  <conditionalFormatting sqref="C30">
    <cfRule type="expression" dxfId="2910" priority="15728" stopIfTrue="1">
      <formula>AND(NOT(ISBLANK(C30)),NOT(_xlfn.ISFORMULA(C30)))</formula>
    </cfRule>
  </conditionalFormatting>
  <conditionalFormatting sqref="D30">
    <cfRule type="expression" dxfId="2909" priority="15727" stopIfTrue="1">
      <formula>AND(NOT(ISBLANK(D30)),NOT(_xlfn.ISFORMULA(D30)))</formula>
    </cfRule>
  </conditionalFormatting>
  <conditionalFormatting sqref="G30">
    <cfRule type="expression" dxfId="2908" priority="15726" stopIfTrue="1">
      <formula>AND(NOT(ISBLANK(G30)),NOT(_xlfn.ISFORMULA(G30)))</formula>
    </cfRule>
  </conditionalFormatting>
  <conditionalFormatting sqref="H42">
    <cfRule type="expression" dxfId="2907" priority="15733" stopIfTrue="1">
      <formula>AND(NOT(ISBLANK(H42)),NOT(_xlfn.ISFORMULA(H42)))</formula>
    </cfRule>
  </conditionalFormatting>
  <conditionalFormatting sqref="E30">
    <cfRule type="expression" dxfId="2906" priority="15731">
      <formula>AND(AND(NOT(ISBLANK(D30)),NOT(D30=$O$1)),AND(NOT(ISBLANK(C30)),NOT(C30=$O$1)))</formula>
    </cfRule>
    <cfRule type="expression" dxfId="2905" priority="15732">
      <formula>OR(AND(NOT(ISBLANK(D30)),NOT(D30=$O$1)),AND(NOT(ISBLANK(C30)),NOT(C30=$O$1)))</formula>
    </cfRule>
  </conditionalFormatting>
  <conditionalFormatting sqref="F30">
    <cfRule type="expression" dxfId="2904" priority="15729">
      <formula>AND(AND(NOT(ISBLANK(G30)),NOT(G30=$O$1)),AND(NOT(ISBLANK(H30)),NOT(H30=$O$1)))</formula>
    </cfRule>
    <cfRule type="expression" dxfId="2903" priority="15730">
      <formula>OR(AND(NOT(ISBLANK(G30)),NOT(G30=$O$1)),AND(NOT(ISBLANK(H30)),NOT(H30=$O$1)))</formula>
    </cfRule>
  </conditionalFormatting>
  <conditionalFormatting sqref="C43">
    <cfRule type="expression" dxfId="2902" priority="15720" stopIfTrue="1">
      <formula>AND(NOT(ISBLANK(C43)),NOT(_xlfn.ISFORMULA(C43)))</formula>
    </cfRule>
  </conditionalFormatting>
  <conditionalFormatting sqref="D43">
    <cfRule type="expression" dxfId="2901" priority="15719" stopIfTrue="1">
      <formula>AND(NOT(ISBLANK(D43)),NOT(_xlfn.ISFORMULA(D43)))</formula>
    </cfRule>
  </conditionalFormatting>
  <conditionalFormatting sqref="G43">
    <cfRule type="expression" dxfId="2900" priority="15718" stopIfTrue="1">
      <formula>AND(NOT(ISBLANK(G43)),NOT(_xlfn.ISFORMULA(G43)))</formula>
    </cfRule>
  </conditionalFormatting>
  <conditionalFormatting sqref="H30">
    <cfRule type="expression" dxfId="2899" priority="15725" stopIfTrue="1">
      <formula>AND(NOT(ISBLANK(H30)),NOT(_xlfn.ISFORMULA(H30)))</formula>
    </cfRule>
  </conditionalFormatting>
  <conditionalFormatting sqref="E43">
    <cfRule type="expression" dxfId="2898" priority="15723">
      <formula>AND(AND(NOT(ISBLANK(D43)),NOT(D43=$O$1)),AND(NOT(ISBLANK(C43)),NOT(C43=$O$1)))</formula>
    </cfRule>
    <cfRule type="expression" dxfId="2897" priority="15724">
      <formula>OR(AND(NOT(ISBLANK(D43)),NOT(D43=$O$1)),AND(NOT(ISBLANK(C43)),NOT(C43=$O$1)))</formula>
    </cfRule>
  </conditionalFormatting>
  <conditionalFormatting sqref="F43">
    <cfRule type="expression" dxfId="2896" priority="15721">
      <formula>AND(AND(NOT(ISBLANK(G43)),NOT(G43=$O$1)),AND(NOT(ISBLANK(H43)),NOT(H43=$O$1)))</formula>
    </cfRule>
    <cfRule type="expression" dxfId="2895" priority="15722">
      <formula>OR(AND(NOT(ISBLANK(G43)),NOT(G43=$O$1)),AND(NOT(ISBLANK(H43)),NOT(H43=$O$1)))</formula>
    </cfRule>
  </conditionalFormatting>
  <conditionalFormatting sqref="H43">
    <cfRule type="expression" dxfId="2894" priority="15717" stopIfTrue="1">
      <formula>AND(NOT(ISBLANK(H43)),NOT(_xlfn.ISFORMULA(H43)))</formula>
    </cfRule>
  </conditionalFormatting>
  <conditionalFormatting sqref="H44">
    <cfRule type="expression" dxfId="2893" priority="15709" stopIfTrue="1">
      <formula>AND(NOT(ISBLANK(H44)),NOT(_xlfn.ISFORMULA(H44)))</formula>
    </cfRule>
  </conditionalFormatting>
  <conditionalFormatting sqref="E44">
    <cfRule type="expression" dxfId="2892" priority="15715">
      <formula>AND(AND(NOT(ISBLANK(D44)),NOT(D44=$O$1)),AND(NOT(ISBLANK(C44)),NOT(C44=$O$1)))</formula>
    </cfRule>
    <cfRule type="expression" dxfId="2891" priority="15716">
      <formula>OR(AND(NOT(ISBLANK(D44)),NOT(D44=$O$1)),AND(NOT(ISBLANK(C44)),NOT(C44=$O$1)))</formula>
    </cfRule>
  </conditionalFormatting>
  <conditionalFormatting sqref="F44">
    <cfRule type="expression" dxfId="2890" priority="15713">
      <formula>AND(AND(NOT(ISBLANK(G44)),NOT(G44=$O$1)),AND(NOT(ISBLANK(H44)),NOT(H44=$O$1)))</formula>
    </cfRule>
    <cfRule type="expression" dxfId="2889" priority="15714">
      <formula>OR(AND(NOT(ISBLANK(G44)),NOT(G44=$O$1)),AND(NOT(ISBLANK(H44)),NOT(H44=$O$1)))</formula>
    </cfRule>
  </conditionalFormatting>
  <conditionalFormatting sqref="C44">
    <cfRule type="expression" dxfId="2888" priority="15712" stopIfTrue="1">
      <formula>AND(NOT(ISBLANK(C44)),NOT(_xlfn.ISFORMULA(C44)))</formula>
    </cfRule>
  </conditionalFormatting>
  <conditionalFormatting sqref="D44">
    <cfRule type="expression" dxfId="2887" priority="15711" stopIfTrue="1">
      <formula>AND(NOT(ISBLANK(D44)),NOT(_xlfn.ISFORMULA(D44)))</formula>
    </cfRule>
  </conditionalFormatting>
  <conditionalFormatting sqref="G44">
    <cfRule type="expression" dxfId="2886" priority="15710" stopIfTrue="1">
      <formula>AND(NOT(ISBLANK(G44)),NOT(_xlfn.ISFORMULA(G44)))</formula>
    </cfRule>
  </conditionalFormatting>
  <conditionalFormatting sqref="E31">
    <cfRule type="expression" dxfId="2885" priority="15707">
      <formula>AND(AND(NOT(ISBLANK(D31)),NOT(D31=$O$1)),AND(NOT(ISBLANK(C31)),NOT(C31=$O$1)))</formula>
    </cfRule>
    <cfRule type="expression" dxfId="2884" priority="15708">
      <formula>OR(AND(NOT(ISBLANK(D31)),NOT(D31=$O$1)),AND(NOT(ISBLANK(C31)),NOT(C31=$O$1)))</formula>
    </cfRule>
  </conditionalFormatting>
  <conditionalFormatting sqref="F31">
    <cfRule type="expression" dxfId="2883" priority="15705">
      <formula>AND(AND(NOT(ISBLANK(G31)),NOT(G31=$O$1)),AND(NOT(ISBLANK(H31)),NOT(H31=$O$1)))</formula>
    </cfRule>
    <cfRule type="expression" dxfId="2882" priority="15706">
      <formula>OR(AND(NOT(ISBLANK(G31)),NOT(G31=$O$1)),AND(NOT(ISBLANK(H31)),NOT(H31=$O$1)))</formula>
    </cfRule>
  </conditionalFormatting>
  <conditionalFormatting sqref="C31">
    <cfRule type="expression" dxfId="2881" priority="15704" stopIfTrue="1">
      <formula>AND(NOT(ISBLANK(C31)),NOT(_xlfn.ISFORMULA(C31)))</formula>
    </cfRule>
  </conditionalFormatting>
  <conditionalFormatting sqref="D31">
    <cfRule type="expression" dxfId="2880" priority="15703" stopIfTrue="1">
      <formula>AND(NOT(ISBLANK(D31)),NOT(_xlfn.ISFORMULA(D31)))</formula>
    </cfRule>
  </conditionalFormatting>
  <conditionalFormatting sqref="G31">
    <cfRule type="expression" dxfId="2879" priority="15702" stopIfTrue="1">
      <formula>AND(NOT(ISBLANK(G31)),NOT(_xlfn.ISFORMULA(G31)))</formula>
    </cfRule>
  </conditionalFormatting>
  <conditionalFormatting sqref="H31">
    <cfRule type="expression" dxfId="2878" priority="15701" stopIfTrue="1">
      <formula>AND(NOT(ISBLANK(H31)),NOT(_xlfn.ISFORMULA(H31)))</formula>
    </cfRule>
  </conditionalFormatting>
  <conditionalFormatting sqref="E45">
    <cfRule type="expression" dxfId="2877" priority="15699">
      <formula>AND(AND(NOT(ISBLANK(D45)),NOT(D45=$O$1)),AND(NOT(ISBLANK(C45)),NOT(C45=$O$1)))</formula>
    </cfRule>
    <cfRule type="expression" dxfId="2876" priority="15700">
      <formula>OR(AND(NOT(ISBLANK(D45)),NOT(D45=$O$1)),AND(NOT(ISBLANK(C45)),NOT(C45=$O$1)))</formula>
    </cfRule>
  </conditionalFormatting>
  <conditionalFormatting sqref="F45">
    <cfRule type="expression" dxfId="2875" priority="15697">
      <formula>AND(AND(NOT(ISBLANK(G45)),NOT(G45=$O$1)),AND(NOT(ISBLANK(H45)),NOT(H45=$O$1)))</formula>
    </cfRule>
    <cfRule type="expression" dxfId="2874" priority="15698">
      <formula>OR(AND(NOT(ISBLANK(G45)),NOT(G45=$O$1)),AND(NOT(ISBLANK(H45)),NOT(H45=$O$1)))</formula>
    </cfRule>
  </conditionalFormatting>
  <conditionalFormatting sqref="C45">
    <cfRule type="expression" dxfId="2873" priority="15696" stopIfTrue="1">
      <formula>AND(NOT(ISBLANK(C45)),NOT(_xlfn.ISFORMULA(C45)))</formula>
    </cfRule>
  </conditionalFormatting>
  <conditionalFormatting sqref="D45">
    <cfRule type="expression" dxfId="2872" priority="15695" stopIfTrue="1">
      <formula>AND(NOT(ISBLANK(D45)),NOT(_xlfn.ISFORMULA(D45)))</formula>
    </cfRule>
  </conditionalFormatting>
  <conditionalFormatting sqref="G45">
    <cfRule type="expression" dxfId="2871" priority="15694" stopIfTrue="1">
      <formula>AND(NOT(ISBLANK(G45)),NOT(_xlfn.ISFORMULA(G45)))</formula>
    </cfRule>
  </conditionalFormatting>
  <conditionalFormatting sqref="H45">
    <cfRule type="expression" dxfId="2870" priority="15693" stopIfTrue="1">
      <formula>AND(NOT(ISBLANK(H45)),NOT(_xlfn.ISFORMULA(H45)))</formula>
    </cfRule>
  </conditionalFormatting>
  <conditionalFormatting sqref="H46">
    <cfRule type="expression" dxfId="2869" priority="15681" stopIfTrue="1">
      <formula>AND(NOT(ISBLANK(H46)),NOT(_xlfn.ISFORMULA(H46)))</formula>
    </cfRule>
  </conditionalFormatting>
  <conditionalFormatting sqref="E46">
    <cfRule type="expression" dxfId="2868" priority="15687">
      <formula>AND(AND(NOT(ISBLANK(D46)),NOT(D46=$O$1)),AND(NOT(ISBLANK(C46)),NOT(C46=$O$1)))</formula>
    </cfRule>
    <cfRule type="expression" dxfId="2867" priority="15688">
      <formula>OR(AND(NOT(ISBLANK(D46)),NOT(D46=$O$1)),AND(NOT(ISBLANK(C46)),NOT(C46=$O$1)))</formula>
    </cfRule>
  </conditionalFormatting>
  <conditionalFormatting sqref="F46">
    <cfRule type="expression" dxfId="2866" priority="15685">
      <formula>AND(AND(NOT(ISBLANK(G46)),NOT(G46=$O$1)),AND(NOT(ISBLANK(H46)),NOT(H46=$O$1)))</formula>
    </cfRule>
    <cfRule type="expression" dxfId="2865" priority="15686">
      <formula>OR(AND(NOT(ISBLANK(G46)),NOT(G46=$O$1)),AND(NOT(ISBLANK(H46)),NOT(H46=$O$1)))</formula>
    </cfRule>
  </conditionalFormatting>
  <conditionalFormatting sqref="C46">
    <cfRule type="expression" dxfId="2864" priority="15684" stopIfTrue="1">
      <formula>AND(NOT(ISBLANK(C46)),NOT(_xlfn.ISFORMULA(C46)))</formula>
    </cfRule>
  </conditionalFormatting>
  <conditionalFormatting sqref="D46">
    <cfRule type="expression" dxfId="2863" priority="15683" stopIfTrue="1">
      <formula>AND(NOT(ISBLANK(D46)),NOT(_xlfn.ISFORMULA(D46)))</formula>
    </cfRule>
  </conditionalFormatting>
  <conditionalFormatting sqref="G46">
    <cfRule type="expression" dxfId="2862" priority="15682" stopIfTrue="1">
      <formula>AND(NOT(ISBLANK(G46)),NOT(_xlfn.ISFORMULA(G46)))</formula>
    </cfRule>
  </conditionalFormatting>
  <conditionalFormatting sqref="E32">
    <cfRule type="expression" dxfId="2861" priority="15679">
      <formula>AND(AND(NOT(ISBLANK(D32)),NOT(D32=$O$1)),AND(NOT(ISBLANK(C32)),NOT(C32=$O$1)))</formula>
    </cfRule>
    <cfRule type="expression" dxfId="2860" priority="15680">
      <formula>OR(AND(NOT(ISBLANK(D32)),NOT(D32=$O$1)),AND(NOT(ISBLANK(C32)),NOT(C32=$O$1)))</formula>
    </cfRule>
  </conditionalFormatting>
  <conditionalFormatting sqref="F32">
    <cfRule type="expression" dxfId="2859" priority="15677">
      <formula>AND(AND(NOT(ISBLANK(G32)),NOT(G32=$O$1)),AND(NOT(ISBLANK(H32)),NOT(H32=$O$1)))</formula>
    </cfRule>
    <cfRule type="expression" dxfId="2858" priority="15678">
      <formula>OR(AND(NOT(ISBLANK(G32)),NOT(G32=$O$1)),AND(NOT(ISBLANK(H32)),NOT(H32=$O$1)))</formula>
    </cfRule>
  </conditionalFormatting>
  <conditionalFormatting sqref="C32">
    <cfRule type="expression" dxfId="2857" priority="15676" stopIfTrue="1">
      <formula>AND(NOT(ISBLANK(C32)),NOT(_xlfn.ISFORMULA(C32)))</formula>
    </cfRule>
  </conditionalFormatting>
  <conditionalFormatting sqref="D32">
    <cfRule type="expression" dxfId="2856" priority="15675" stopIfTrue="1">
      <formula>AND(NOT(ISBLANK(D32)),NOT(_xlfn.ISFORMULA(D32)))</formula>
    </cfRule>
  </conditionalFormatting>
  <conditionalFormatting sqref="G32">
    <cfRule type="expression" dxfId="2855" priority="15674" stopIfTrue="1">
      <formula>AND(NOT(ISBLANK(G32)),NOT(_xlfn.ISFORMULA(G32)))</formula>
    </cfRule>
  </conditionalFormatting>
  <conditionalFormatting sqref="H32">
    <cfRule type="expression" dxfId="2854" priority="15673" stopIfTrue="1">
      <formula>AND(NOT(ISBLANK(H32)),NOT(_xlfn.ISFORMULA(H32)))</formula>
    </cfRule>
  </conditionalFormatting>
  <conditionalFormatting sqref="E47">
    <cfRule type="expression" dxfId="2853" priority="15671">
      <formula>AND(AND(NOT(ISBLANK(D47)),NOT(D47=$O$1)),AND(NOT(ISBLANK(C47)),NOT(C47=$O$1)))</formula>
    </cfRule>
    <cfRule type="expression" dxfId="2852" priority="15672">
      <formula>OR(AND(NOT(ISBLANK(D47)),NOT(D47=$O$1)),AND(NOT(ISBLANK(C47)),NOT(C47=$O$1)))</formula>
    </cfRule>
  </conditionalFormatting>
  <conditionalFormatting sqref="F47">
    <cfRule type="expression" dxfId="2851" priority="15669">
      <formula>AND(AND(NOT(ISBLANK(G47)),NOT(G47=$O$1)),AND(NOT(ISBLANK(H47)),NOT(H47=$O$1)))</formula>
    </cfRule>
    <cfRule type="expression" dxfId="2850" priority="15670">
      <formula>OR(AND(NOT(ISBLANK(G47)),NOT(G47=$O$1)),AND(NOT(ISBLANK(H47)),NOT(H47=$O$1)))</formula>
    </cfRule>
  </conditionalFormatting>
  <conditionalFormatting sqref="C47">
    <cfRule type="expression" dxfId="2849" priority="15668" stopIfTrue="1">
      <formula>AND(NOT(ISBLANK(C47)),NOT(_xlfn.ISFORMULA(C47)))</formula>
    </cfRule>
  </conditionalFormatting>
  <conditionalFormatting sqref="D47">
    <cfRule type="expression" dxfId="2848" priority="15667" stopIfTrue="1">
      <formula>AND(NOT(ISBLANK(D47)),NOT(_xlfn.ISFORMULA(D47)))</formula>
    </cfRule>
  </conditionalFormatting>
  <conditionalFormatting sqref="G47">
    <cfRule type="expression" dxfId="2847" priority="15666" stopIfTrue="1">
      <formula>AND(NOT(ISBLANK(G47)),NOT(_xlfn.ISFORMULA(G47)))</formula>
    </cfRule>
  </conditionalFormatting>
  <conditionalFormatting sqref="H47">
    <cfRule type="expression" dxfId="2846" priority="15665" stopIfTrue="1">
      <formula>AND(NOT(ISBLANK(H47)),NOT(_xlfn.ISFORMULA(H47)))</formula>
    </cfRule>
  </conditionalFormatting>
  <conditionalFormatting sqref="E48">
    <cfRule type="expression" dxfId="2845" priority="15663">
      <formula>AND(AND(NOT(ISBLANK(D48)),NOT(D48=$O$1)),AND(NOT(ISBLANK(C48)),NOT(C48=$O$1)))</formula>
    </cfRule>
    <cfRule type="expression" dxfId="2844" priority="15664">
      <formula>OR(AND(NOT(ISBLANK(D48)),NOT(D48=$O$1)),AND(NOT(ISBLANK(C48)),NOT(C48=$O$1)))</formula>
    </cfRule>
  </conditionalFormatting>
  <conditionalFormatting sqref="F48">
    <cfRule type="expression" dxfId="2843" priority="15661">
      <formula>AND(AND(NOT(ISBLANK(G48)),NOT(G48=$O$1)),AND(NOT(ISBLANK(H48)),NOT(H48=$O$1)))</formula>
    </cfRule>
    <cfRule type="expression" dxfId="2842" priority="15662">
      <formula>OR(AND(NOT(ISBLANK(G48)),NOT(G48=$O$1)),AND(NOT(ISBLANK(H48)),NOT(H48=$O$1)))</formula>
    </cfRule>
  </conditionalFormatting>
  <conditionalFormatting sqref="E33">
    <cfRule type="expression" dxfId="2841" priority="15655">
      <formula>AND(AND(NOT(ISBLANK(D33)),NOT(D33=$O$1)),AND(NOT(ISBLANK(C33)),NOT(C33=$O$1)))</formula>
    </cfRule>
    <cfRule type="expression" dxfId="2840" priority="15656">
      <formula>OR(AND(NOT(ISBLANK(D33)),NOT(D33=$O$1)),AND(NOT(ISBLANK(C33)),NOT(C33=$O$1)))</formula>
    </cfRule>
  </conditionalFormatting>
  <conditionalFormatting sqref="F33">
    <cfRule type="expression" dxfId="2839" priority="15653">
      <formula>AND(AND(NOT(ISBLANK(G33)),NOT(G33=$O$1)),AND(NOT(ISBLANK(H33)),NOT(H33=$O$1)))</formula>
    </cfRule>
    <cfRule type="expression" dxfId="2838" priority="15654">
      <formula>OR(AND(NOT(ISBLANK(G33)),NOT(G33=$O$1)),AND(NOT(ISBLANK(H33)),NOT(H33=$O$1)))</formula>
    </cfRule>
  </conditionalFormatting>
  <conditionalFormatting sqref="C48">
    <cfRule type="expression" dxfId="2837" priority="15660" stopIfTrue="1">
      <formula>AND(NOT(ISBLANK(C48)),NOT(_xlfn.ISFORMULA(C48)))</formula>
    </cfRule>
  </conditionalFormatting>
  <conditionalFormatting sqref="D48">
    <cfRule type="expression" dxfId="2836" priority="15659" stopIfTrue="1">
      <formula>AND(NOT(ISBLANK(D48)),NOT(_xlfn.ISFORMULA(D48)))</formula>
    </cfRule>
  </conditionalFormatting>
  <conditionalFormatting sqref="G48">
    <cfRule type="expression" dxfId="2835" priority="15658" stopIfTrue="1">
      <formula>AND(NOT(ISBLANK(G48)),NOT(_xlfn.ISFORMULA(G48)))</formula>
    </cfRule>
  </conditionalFormatting>
  <conditionalFormatting sqref="H48">
    <cfRule type="expression" dxfId="2834" priority="15657" stopIfTrue="1">
      <formula>AND(NOT(ISBLANK(H48)),NOT(_xlfn.ISFORMULA(H48)))</formula>
    </cfRule>
  </conditionalFormatting>
  <conditionalFormatting sqref="C33">
    <cfRule type="expression" dxfId="2833" priority="15652" stopIfTrue="1">
      <formula>AND(NOT(ISBLANK(C33)),NOT(_xlfn.ISFORMULA(C33)))</formula>
    </cfRule>
  </conditionalFormatting>
  <conditionalFormatting sqref="D33">
    <cfRule type="expression" dxfId="2832" priority="15651" stopIfTrue="1">
      <formula>AND(NOT(ISBLANK(D33)),NOT(_xlfn.ISFORMULA(D33)))</formula>
    </cfRule>
  </conditionalFormatting>
  <conditionalFormatting sqref="G33">
    <cfRule type="expression" dxfId="2831" priority="15650" stopIfTrue="1">
      <formula>AND(NOT(ISBLANK(G33)),NOT(_xlfn.ISFORMULA(G33)))</formula>
    </cfRule>
  </conditionalFormatting>
  <conditionalFormatting sqref="H33">
    <cfRule type="expression" dxfId="2830" priority="15649" stopIfTrue="1">
      <formula>AND(NOT(ISBLANK(H33)),NOT(_xlfn.ISFORMULA(H33)))</formula>
    </cfRule>
  </conditionalFormatting>
  <conditionalFormatting sqref="E49">
    <cfRule type="expression" dxfId="2829" priority="15647">
      <formula>AND(AND(NOT(ISBLANK(D49)),NOT(D49=$O$1)),AND(NOT(ISBLANK(C49)),NOT(C49=$O$1)))</formula>
    </cfRule>
    <cfRule type="expression" dxfId="2828" priority="15648">
      <formula>OR(AND(NOT(ISBLANK(D49)),NOT(D49=$O$1)),AND(NOT(ISBLANK(C49)),NOT(C49=$O$1)))</formula>
    </cfRule>
  </conditionalFormatting>
  <conditionalFormatting sqref="F49">
    <cfRule type="expression" dxfId="2827" priority="15645">
      <formula>AND(AND(NOT(ISBLANK(G49)),NOT(G49=$O$1)),AND(NOT(ISBLANK(H49)),NOT(H49=$O$1)))</formula>
    </cfRule>
    <cfRule type="expression" dxfId="2826" priority="15646">
      <formula>OR(AND(NOT(ISBLANK(G49)),NOT(G49=$O$1)),AND(NOT(ISBLANK(H49)),NOT(H49=$O$1)))</formula>
    </cfRule>
  </conditionalFormatting>
  <conditionalFormatting sqref="E4">
    <cfRule type="expression" dxfId="2825" priority="14987">
      <formula>AND(AND(NOT(ISBLANK(D4)),NOT(D4=$O$1)),AND(NOT(ISBLANK(C4)),NOT(C4=$O$1)))</formula>
    </cfRule>
    <cfRule type="expression" dxfId="2824" priority="14988">
      <formula>OR(AND(NOT(ISBLANK(D4)),NOT(D4=$O$1)),AND(NOT(ISBLANK(C4)),NOT(C4=$O$1)))</formula>
    </cfRule>
  </conditionalFormatting>
  <conditionalFormatting sqref="F4">
    <cfRule type="expression" dxfId="2823" priority="14985">
      <formula>AND(AND(NOT(ISBLANK(G4)),NOT(G4=$O$1)),AND(NOT(ISBLANK(H4)),NOT(H4=$O$1)))</formula>
    </cfRule>
    <cfRule type="expression" dxfId="2822" priority="14986">
      <formula>OR(AND(NOT(ISBLANK(G4)),NOT(G4=$O$1)),AND(NOT(ISBLANK(H4)),NOT(H4=$O$1)))</formula>
    </cfRule>
  </conditionalFormatting>
  <conditionalFormatting sqref="E5">
    <cfRule type="expression" dxfId="2821" priority="14983">
      <formula>AND(AND(NOT(ISBLANK(D5)),NOT(D5=$O$1)),AND(NOT(ISBLANK(C5)),NOT(C5=$O$1)))</formula>
    </cfRule>
    <cfRule type="expression" dxfId="2820" priority="14984">
      <formula>OR(AND(NOT(ISBLANK(D5)),NOT(D5=$O$1)),AND(NOT(ISBLANK(C5)),NOT(C5=$O$1)))</formula>
    </cfRule>
  </conditionalFormatting>
  <conditionalFormatting sqref="F5">
    <cfRule type="expression" dxfId="2819" priority="14981">
      <formula>AND(AND(NOT(ISBLANK(G5)),NOT(G5=$O$1)),AND(NOT(ISBLANK(H5)),NOT(H5=$O$1)))</formula>
    </cfRule>
    <cfRule type="expression" dxfId="2818" priority="14982">
      <formula>OR(AND(NOT(ISBLANK(G5)),NOT(G5=$O$1)),AND(NOT(ISBLANK(H5)),NOT(H5=$O$1)))</formula>
    </cfRule>
  </conditionalFormatting>
  <conditionalFormatting sqref="E6">
    <cfRule type="expression" dxfId="2817" priority="14979">
      <formula>AND(AND(NOT(ISBLANK(D6)),NOT(D6=$O$1)),AND(NOT(ISBLANK(C6)),NOT(C6=$O$1)))</formula>
    </cfRule>
    <cfRule type="expression" dxfId="2816" priority="14980">
      <formula>OR(AND(NOT(ISBLANK(D6)),NOT(D6=$O$1)),AND(NOT(ISBLANK(C6)),NOT(C6=$O$1)))</formula>
    </cfRule>
  </conditionalFormatting>
  <conditionalFormatting sqref="F6">
    <cfRule type="expression" dxfId="2815" priority="14977">
      <formula>AND(AND(NOT(ISBLANK(G6)),NOT(G6=$O$1)),AND(NOT(ISBLANK(H6)),NOT(H6=$O$1)))</formula>
    </cfRule>
    <cfRule type="expression" dxfId="2814" priority="14978">
      <formula>OR(AND(NOT(ISBLANK(G6)),NOT(G6=$O$1)),AND(NOT(ISBLANK(H6)),NOT(H6=$O$1)))</formula>
    </cfRule>
  </conditionalFormatting>
  <conditionalFormatting sqref="E7">
    <cfRule type="expression" dxfId="2813" priority="8763">
      <formula>AND(AND(NOT(ISBLANK(D7)),NOT(D7=$O$1)),AND(NOT(ISBLANK(C7)),NOT(C7=$O$1)))</formula>
    </cfRule>
    <cfRule type="expression" dxfId="2812" priority="8764">
      <formula>OR(AND(NOT(ISBLANK(D7)),NOT(D7=$O$1)),AND(NOT(ISBLANK(C7)),NOT(C7=$O$1)))</formula>
    </cfRule>
  </conditionalFormatting>
  <conditionalFormatting sqref="F7">
    <cfRule type="expression" dxfId="2811" priority="8761">
      <formula>AND(AND(NOT(ISBLANK(G7)),NOT(G7=$O$1)),AND(NOT(ISBLANK(H7)),NOT(H7=$O$1)))</formula>
    </cfRule>
    <cfRule type="expression" dxfId="2810" priority="8762">
      <formula>OR(AND(NOT(ISBLANK(G7)),NOT(G7=$O$1)),AND(NOT(ISBLANK(H7)),NOT(H7=$O$1)))</formula>
    </cfRule>
  </conditionalFormatting>
  <conditionalFormatting sqref="E8">
    <cfRule type="expression" dxfId="2803" priority="2803">
      <formula>AND(AND(NOT(ISBLANK(D8)),NOT(D8=$O$1)),AND(NOT(ISBLANK(C8)),NOT(C8=$O$1)))</formula>
    </cfRule>
    <cfRule type="expression" dxfId="2802" priority="2804">
      <formula>OR(AND(NOT(ISBLANK(D8)),NOT(D8=$O$1)),AND(NOT(ISBLANK(C8)),NOT(C8=$O$1)))</formula>
    </cfRule>
  </conditionalFormatting>
  <conditionalFormatting sqref="F8">
    <cfRule type="expression" dxfId="2801" priority="2801">
      <formula>AND(AND(NOT(ISBLANK(G8)),NOT(G8=$O$1)),AND(NOT(ISBLANK(H8)),NOT(H8=$O$1)))</formula>
    </cfRule>
    <cfRule type="expression" dxfId="2800" priority="2802">
      <formula>OR(AND(NOT(ISBLANK(G8)),NOT(G8=$O$1)),AND(NOT(ISBLANK(H8)),NOT(H8=$O$1)))</formula>
    </cfRule>
  </conditionalFormatting>
  <conditionalFormatting sqref="G4">
    <cfRule type="expression" dxfId="2179" priority="1400" stopIfTrue="1">
      <formula>AND(NOT(ISBLANK(G4)),NOT(_xlfn.ISFORMULA(G4)))</formula>
    </cfRule>
  </conditionalFormatting>
  <conditionalFormatting sqref="G7">
    <cfRule type="expression" dxfId="2176" priority="1397" stopIfTrue="1">
      <formula>AND(NOT(ISBLANK(G7)),NOT(_xlfn.ISFORMULA(G7)))</formula>
    </cfRule>
  </conditionalFormatting>
  <conditionalFormatting sqref="G8">
    <cfRule type="expression" dxfId="2175" priority="1396" stopIfTrue="1">
      <formula>AND(NOT(ISBLANK(G8)),NOT(_xlfn.ISFORMULA(G8)))</formula>
    </cfRule>
  </conditionalFormatting>
  <conditionalFormatting sqref="H7">
    <cfRule type="expression" dxfId="2172" priority="1237" stopIfTrue="1">
      <formula>AND(NOT(ISBLANK(H7)),NOT(_xlfn.ISFORMULA(H7)))</formula>
    </cfRule>
  </conditionalFormatting>
  <conditionalFormatting sqref="H4">
    <cfRule type="expression" dxfId="2171" priority="1240" stopIfTrue="1">
      <formula>AND(NOT(ISBLANK(H4)),NOT(_xlfn.ISFORMULA(H4)))</formula>
    </cfRule>
  </conditionalFormatting>
  <conditionalFormatting sqref="D5">
    <cfRule type="expression" dxfId="2170" priority="459" stopIfTrue="1">
      <formula>AND(NOT(ISBLANK(D5)),NOT(_xlfn.ISFORMULA(D5)))</formula>
    </cfRule>
  </conditionalFormatting>
  <conditionalFormatting sqref="G5">
    <cfRule type="expression" dxfId="2169" priority="458" stopIfTrue="1">
      <formula>AND(NOT(ISBLANK(G5)),NOT(_xlfn.ISFORMULA(G5)))</formula>
    </cfRule>
  </conditionalFormatting>
  <conditionalFormatting sqref="H5">
    <cfRule type="expression" dxfId="2168" priority="457" stopIfTrue="1">
      <formula>AND(NOT(ISBLANK(H5)),NOT(_xlfn.ISFORMULA(H5)))</formula>
    </cfRule>
  </conditionalFormatting>
  <conditionalFormatting sqref="H8">
    <cfRule type="expression" dxfId="2167" priority="1236" stopIfTrue="1">
      <formula>AND(NOT(ISBLANK(H8)),NOT(_xlfn.ISFORMULA(H8)))</formula>
    </cfRule>
  </conditionalFormatting>
  <conditionalFormatting sqref="D6">
    <cfRule type="expression" dxfId="2166" priority="455" stopIfTrue="1">
      <formula>AND(NOT(ISBLANK(D6)),NOT(_xlfn.ISFORMULA(D6)))</formula>
    </cfRule>
  </conditionalFormatting>
  <conditionalFormatting sqref="G6">
    <cfRule type="expression" dxfId="2165" priority="454" stopIfTrue="1">
      <formula>AND(NOT(ISBLANK(G6)),NOT(_xlfn.ISFORMULA(G6)))</formula>
    </cfRule>
  </conditionalFormatting>
  <conditionalFormatting sqref="H6">
    <cfRule type="expression" dxfId="2164" priority="453" stopIfTrue="1">
      <formula>AND(NOT(ISBLANK(H6)),NOT(_xlfn.ISFORMULA(H6)))</formula>
    </cfRule>
  </conditionalFormatting>
  <conditionalFormatting sqref="C5">
    <cfRule type="expression" dxfId="2163" priority="460" stopIfTrue="1">
      <formula>AND(NOT(ISBLANK(C5)),NOT(_xlfn.ISFORMULA(C5)))</formula>
    </cfRule>
  </conditionalFormatting>
  <conditionalFormatting sqref="D7">
    <cfRule type="expression" dxfId="2162" priority="451" stopIfTrue="1">
      <formula>AND(NOT(ISBLANK(D7)),NOT(_xlfn.ISFORMULA(D7)))</formula>
    </cfRule>
  </conditionalFormatting>
  <conditionalFormatting sqref="C8">
    <cfRule type="expression" dxfId="2161" priority="450" stopIfTrue="1">
      <formula>AND(NOT(ISBLANK(C8)),NOT(_xlfn.ISFORMULA(C8)))</formula>
    </cfRule>
  </conditionalFormatting>
  <conditionalFormatting sqref="D8">
    <cfRule type="expression" dxfId="2160" priority="449" stopIfTrue="1">
      <formula>AND(NOT(ISBLANK(D8)),NOT(_xlfn.ISFORMULA(D8)))</formula>
    </cfRule>
  </conditionalFormatting>
  <conditionalFormatting sqref="C6">
    <cfRule type="expression" dxfId="2159" priority="456" stopIfTrue="1">
      <formula>AND(NOT(ISBLANK(C6)),NOT(_xlfn.ISFORMULA(C6)))</formula>
    </cfRule>
  </conditionalFormatting>
  <conditionalFormatting sqref="D9">
    <cfRule type="expression" dxfId="2158" priority="447" stopIfTrue="1">
      <formula>AND(NOT(ISBLANK(D9)),NOT(_xlfn.ISFORMULA(D9)))</formula>
    </cfRule>
  </conditionalFormatting>
  <conditionalFormatting sqref="G9">
    <cfRule type="expression" dxfId="2157" priority="446" stopIfTrue="1">
      <formula>AND(NOT(ISBLANK(G9)),NOT(_xlfn.ISFORMULA(G9)))</formula>
    </cfRule>
  </conditionalFormatting>
  <conditionalFormatting sqref="H9">
    <cfRule type="expression" dxfId="2156" priority="445" stopIfTrue="1">
      <formula>AND(NOT(ISBLANK(H9)),NOT(_xlfn.ISFORMULA(H9)))</formula>
    </cfRule>
  </conditionalFormatting>
  <conditionalFormatting sqref="C7">
    <cfRule type="expression" dxfId="2155" priority="452" stopIfTrue="1">
      <formula>AND(NOT(ISBLANK(C7)),NOT(_xlfn.ISFORMULA(C7)))</formula>
    </cfRule>
  </conditionalFormatting>
  <conditionalFormatting sqref="D10">
    <cfRule type="expression" dxfId="2154" priority="443" stopIfTrue="1">
      <formula>AND(NOT(ISBLANK(D10)),NOT(_xlfn.ISFORMULA(D10)))</formula>
    </cfRule>
  </conditionalFormatting>
  <conditionalFormatting sqref="G10">
    <cfRule type="expression" dxfId="2153" priority="442" stopIfTrue="1">
      <formula>AND(NOT(ISBLANK(G10)),NOT(_xlfn.ISFORMULA(G10)))</formula>
    </cfRule>
  </conditionalFormatting>
  <conditionalFormatting sqref="H10">
    <cfRule type="expression" dxfId="2152" priority="441" stopIfTrue="1">
      <formula>AND(NOT(ISBLANK(H10)),NOT(_xlfn.ISFORMULA(H10)))</formula>
    </cfRule>
  </conditionalFormatting>
  <conditionalFormatting sqref="C9">
    <cfRule type="expression" dxfId="2151" priority="448" stopIfTrue="1">
      <formula>AND(NOT(ISBLANK(C9)),NOT(_xlfn.ISFORMULA(C9)))</formula>
    </cfRule>
  </conditionalFormatting>
  <conditionalFormatting sqref="C10">
    <cfRule type="expression" dxfId="2147" priority="444" stopIfTrue="1">
      <formula>AND(NOT(ISBLANK(C10)),NOT(_xlfn.ISFORMULA(C10)))</formula>
    </cfRule>
  </conditionalFormatting>
  <conditionalFormatting sqref="C4">
    <cfRule type="expression" dxfId="1719" priority="1720" stopIfTrue="1">
      <formula>AND(NOT(ISBLANK(C4)),NOT(_xlfn.ISFORMULA(C4)))</formula>
    </cfRule>
  </conditionalFormatting>
  <conditionalFormatting sqref="D4">
    <cfRule type="expression" dxfId="1711" priority="1560" stopIfTrue="1">
      <formula>AND(NOT(ISBLANK(D4)),NOT(_xlfn.ISFORMULA(D4)))</formula>
    </cfRule>
  </conditionalFormatting>
  <conditionalFormatting sqref="E9">
    <cfRule type="expression" dxfId="1079" priority="1079">
      <formula>AND(AND(NOT(ISBLANK(D9)),NOT(D9=$O$1)),AND(NOT(ISBLANK(C9)),NOT(C9=$O$1)))</formula>
    </cfRule>
    <cfRule type="expression" dxfId="1078" priority="1080">
      <formula>OR(AND(NOT(ISBLANK(D9)),NOT(D9=$O$1)),AND(NOT(ISBLANK(C9)),NOT(C9=$O$1)))</formula>
    </cfRule>
  </conditionalFormatting>
  <conditionalFormatting sqref="F9">
    <cfRule type="expression" dxfId="1077" priority="1077">
      <formula>AND(AND(NOT(ISBLANK(G9)),NOT(G9=$O$1)),AND(NOT(ISBLANK(H9)),NOT(H9=$O$1)))</formula>
    </cfRule>
    <cfRule type="expression" dxfId="1076" priority="1078">
      <formula>OR(AND(NOT(ISBLANK(G9)),NOT(G9=$O$1)),AND(NOT(ISBLANK(H9)),NOT(H9=$O$1)))</formula>
    </cfRule>
  </conditionalFormatting>
  <conditionalFormatting sqref="E10">
    <cfRule type="expression" dxfId="1075" priority="1075">
      <formula>AND(AND(NOT(ISBLANK(D10)),NOT(D10=$O$1)),AND(NOT(ISBLANK(C10)),NOT(C10=$O$1)))</formula>
    </cfRule>
    <cfRule type="expression" dxfId="1074" priority="1076">
      <formula>OR(AND(NOT(ISBLANK(D10)),NOT(D10=$O$1)),AND(NOT(ISBLANK(C10)),NOT(C10=$O$1)))</formula>
    </cfRule>
  </conditionalFormatting>
  <conditionalFormatting sqref="F10">
    <cfRule type="expression" dxfId="1073" priority="1073">
      <formula>AND(AND(NOT(ISBLANK(G10)),NOT(G10=$O$1)),AND(NOT(ISBLANK(H10)),NOT(H10=$O$1)))</formula>
    </cfRule>
    <cfRule type="expression" dxfId="1072" priority="1074">
      <formula>OR(AND(NOT(ISBLANK(G10)),NOT(G10=$O$1)),AND(NOT(ISBLANK(H10)),NOT(H10=$O$1)))</formula>
    </cfRule>
  </conditionalFormatting>
  <dataValidations count="2">
    <dataValidation type="custom" allowBlank="1" showInputMessage="1" showErrorMessage="1" sqref="E40:F49 E29:F33 J40:L41 A29:B33 I29:L33 J42:J49 A40:B49 I40:I49 I4:J10 E4:F10 A4:B10"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1:E26" xr:uid="{34147AE8-EB12-45CD-BCD0-18F32DD61C54}">
      <formula1>E21&lt;&gt;"*"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&amp;P/&amp;N&amp;LbCad-teh</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tabSelected="1" view="pageBreakPreview" zoomScale="115" zoomScaleNormal="100" zoomScaleSheetLayoutView="115" workbookViewId="0"/>
  </sheetViews>
  <sheetFormatPr defaultRowHeight="15" x14ac:dyDescent="0.25"/>
  <cols>
    <col min="1" max="1" width="9.140625" style="83"/>
  </cols>
  <sheetData>
    <row r="1" spans="1:1" x14ac:dyDescent="0.25">
      <c r="A1"/>
    </row>
  </sheetData>
  <pageMargins left="0.7" right="0.7" top="0.75" bottom="0.75" header="0.3" footer="0.3"/>
  <pageSetup paperSize="9" orientation="portrait" r:id="rId1"/>
  <headerFooter>
    <oddHeader>&amp;R&amp;D. &amp;T. Страница &amp;P/&amp;N&amp;LbCad-teh5555</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ВставитьИРассчитать" altText="Проверка сумм">
                <anchor>
                  <from>
                    <xdr:col>15</xdr:col>
                    <xdr:colOff>85725</xdr:colOff>
                    <xdr:row>0</xdr:row>
                    <xdr:rowOff>133350</xdr:rowOff>
                  </from>
                  <to>
                    <xdr:col>19</xdr:col>
                    <xdr:colOff>409575</xdr:colOff>
                    <xdr:row>3</xdr:row>
                    <xdr:rowOff>152400</xdr:rowOff>
                  </to>
                </anchor>
              </controlPr>
            </control>
          </mc:Choice>
        </mc:AlternateContent>
        <mc:AlternateContent xmlns:mc="http://schemas.openxmlformats.org/markup-compatibility/2006">
          <mc:Choice Requires="x14">
            <control shapeId="46082" r:id="rId5" name="Button 2">
              <controlPr defaultSize="0" print="0" autoFill="0" autoPict="0" macro="[0]!ОчиститьВсюТаблицу" altText="Проверка сумм">
                <anchor>
                  <from>
                    <xdr:col>15</xdr:col>
                    <xdr:colOff>85725</xdr:colOff>
                    <xdr:row>7</xdr:row>
                    <xdr:rowOff>171450</xdr:rowOff>
                  </from>
                  <to>
                    <xdr:col>19</xdr:col>
                    <xdr:colOff>400050</xdr:colOff>
                    <xdr:row>11</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vt:i4>
      </vt:variant>
      <vt:variant>
        <vt:lpstr>Именованные диапазоны</vt:lpstr>
      </vt:variant>
      <vt:variant>
        <vt:i4>1</vt:i4>
      </vt:variant>
    </vt:vector>
  </HeadingPairs>
  <TitlesOfParts>
    <vt:vector size="4" baseType="lpstr">
      <vt:lpstr>ИсходныйСкрытый</vt:lpstr>
      <vt:lpstr>Деталировка</vt:lpstr>
      <vt:lpstr>Склад</vt:lpstr>
      <vt:lpstr>Деталировка!Область_печати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2022-01-25T21:29:32Z</cp:lastPrinted>
  <dcterms:created xsi:type="dcterms:W3CDTF">2014-06-23T08:47:00Z</dcterms:created>
  <dcterms:modified xsi:type="dcterms:W3CDTF">2022-01-25T21:56:11Z</dcterms:modified>
</cp:coreProperties>
</file>
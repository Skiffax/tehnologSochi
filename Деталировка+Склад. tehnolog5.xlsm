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D:\работа\Проекты\tehnolog-sochi\"/>
    </mc:Choice>
  </mc:AlternateContent>
  <xr:revisionPtr revIDLastSave="0" documentId="13_ncr:1_{AF1CD55A-111C-4A03-B6AA-713E56AE557A}" xr6:coauthVersionLast="45" xr6:coauthVersionMax="45" xr10:uidLastSave="{00000000-0000-0000-0000-000000000000}"/>
  <bookViews>
    <workbookView xWindow="-120" yWindow="-120" windowWidth="29040" windowHeight="15840" tabRatio="419" activeTab="1" xr2:uid="{00000000-000D-0000-FFFF-FFFF00000000}"/>
  </bookViews>
  <sheets>
    <sheet name="ИсходныйСкрытый" sheetId="662" r:id="rId1"/>
    <sheet name="Деталировка" sheetId="660" r:id="rId2"/>
    <sheet name="СКЛАД" sheetId="663" r:id="rId3"/>
    <sheet name="КРОМКА" sheetId="664" r:id="rId4"/>
    <sheet name="РАСПИЛ" sheetId="665" r:id="rId5"/>
  </sheets>
  <functionGroups builtInGroupCount="19"/>
  <definedNames>
    <definedName name="_xlnm._FilterDatabase" localSheetId="1" hidden="1">Деталировка!#REF!</definedName>
    <definedName name="_xlnm.Print_Area" localSheetId="1">Деталировка!$A$2:$M$25</definedName>
    <definedName name="_xlnm.Print_Area" localSheetId="3">КРОМКА!$A$1:$M$34</definedName>
    <definedName name="_xlnm.Print_Area" localSheetId="4">РАСПИЛ!$A$1:$J$30</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8" i="665" l="1"/>
  <c r="J28" i="665"/>
  <c r="B2" i="665"/>
  <c r="M22" i="664" l="1"/>
  <c r="I22" i="664"/>
  <c r="B2" i="664"/>
  <c r="M13" i="660" l="1"/>
  <c r="E13" i="660" s="1"/>
  <c r="N13" i="660" s="1"/>
  <c r="L13" i="660"/>
  <c r="K13" i="660"/>
  <c r="J13" i="660"/>
  <c r="I13" i="660"/>
  <c r="B13" i="660"/>
  <c r="M7" i="660"/>
  <c r="L7" i="660"/>
  <c r="K7" i="660"/>
  <c r="J7" i="660"/>
  <c r="A7" i="660" s="1"/>
  <c r="B7" i="660"/>
  <c r="M5" i="660"/>
  <c r="L5" i="660"/>
  <c r="K5" i="660"/>
  <c r="J5" i="660"/>
  <c r="A5" i="660" s="1"/>
  <c r="I5" i="660"/>
  <c r="B5" i="660"/>
  <c r="M11" i="660"/>
  <c r="L11" i="660"/>
  <c r="K11" i="660"/>
  <c r="J11" i="660"/>
  <c r="B11" i="660"/>
  <c r="M10" i="660"/>
  <c r="L10" i="660"/>
  <c r="K10" i="660"/>
  <c r="J10" i="660"/>
  <c r="I10" i="660"/>
  <c r="B10" i="660"/>
  <c r="M8" i="660"/>
  <c r="L8" i="660"/>
  <c r="K8" i="660"/>
  <c r="J8" i="660"/>
  <c r="A8" i="660" s="1"/>
  <c r="I8" i="660"/>
  <c r="B8" i="660"/>
  <c r="M12" i="660"/>
  <c r="F12" i="660" s="1"/>
  <c r="L12" i="660"/>
  <c r="K12" i="660"/>
  <c r="J12" i="660"/>
  <c r="I12" i="660"/>
  <c r="B12" i="660"/>
  <c r="M9" i="660"/>
  <c r="I9" i="660" s="1"/>
  <c r="L9" i="660"/>
  <c r="K9" i="660"/>
  <c r="J9" i="660"/>
  <c r="A9" i="660" s="1"/>
  <c r="B9" i="660"/>
  <c r="M4" i="660"/>
  <c r="L4" i="660"/>
  <c r="K4" i="660"/>
  <c r="J4" i="660"/>
  <c r="A4" i="660" s="1"/>
  <c r="I4" i="660"/>
  <c r="B4" i="660"/>
  <c r="M6" i="660"/>
  <c r="L6" i="660"/>
  <c r="K6" i="660"/>
  <c r="J6" i="660"/>
  <c r="A6" i="660" s="1"/>
  <c r="B6" i="660"/>
  <c r="E10" i="660" l="1"/>
  <c r="N10" i="660" s="1"/>
  <c r="E5" i="660"/>
  <c r="N5" i="660" s="1"/>
  <c r="E4" i="660"/>
  <c r="N4" i="660" s="1"/>
  <c r="E6" i="660"/>
  <c r="N6" i="660" s="1"/>
  <c r="E7" i="660"/>
  <c r="N7" i="660" s="1"/>
  <c r="I7" i="660"/>
  <c r="A12" i="660"/>
  <c r="A10" i="660"/>
  <c r="A11" i="660"/>
  <c r="F7" i="660"/>
  <c r="I6" i="660"/>
  <c r="F5" i="660"/>
  <c r="A13" i="660"/>
  <c r="E12" i="660"/>
  <c r="N12" i="660" s="1"/>
  <c r="F10" i="660"/>
  <c r="F13" i="660"/>
  <c r="F8" i="660"/>
  <c r="E8" i="660"/>
  <c r="N8" i="660" s="1"/>
  <c r="F11" i="660"/>
  <c r="E11" i="660"/>
  <c r="N11" i="660" s="1"/>
  <c r="F9" i="660"/>
  <c r="E9" i="660"/>
  <c r="N9" i="660" s="1"/>
  <c r="I11" i="660"/>
  <c r="F4" i="660"/>
  <c r="F6" i="660"/>
  <c r="A2" i="660"/>
  <c r="I14" i="660" l="1"/>
  <c r="M5" i="662"/>
  <c r="F5" i="662" s="1"/>
  <c r="L5" i="662"/>
  <c r="K5" i="662"/>
  <c r="J5" i="662"/>
  <c r="A5" i="662" s="1"/>
  <c r="B5" i="662"/>
  <c r="I5" i="662" l="1"/>
  <c r="E5" i="662"/>
  <c r="N5" i="662" s="1"/>
  <c r="M15" i="662"/>
  <c r="H15" i="662" s="1"/>
  <c r="J15" i="662"/>
  <c r="A15" i="662" s="1"/>
  <c r="I15" i="662"/>
  <c r="I49" i="660"/>
  <c r="I33" i="660"/>
  <c r="B3" i="660"/>
  <c r="D15" i="662" l="1"/>
  <c r="N15" i="662" s="1"/>
  <c r="E15" i="662"/>
  <c r="A22" i="660"/>
  <c r="A37" i="660"/>
  <c r="A26"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family val="2"/>
            <charset val="204"/>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4"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22"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154A32A0-BBD5-4D2F-9AF2-954C64E1643B}">
      <text>
        <r>
          <rPr>
            <b/>
            <sz val="9"/>
            <color indexed="81"/>
            <rFont val="Tahoma"/>
            <family val="2"/>
            <charset val="204"/>
          </rPr>
          <t>сделать столбец скрываемым из диалога "ИНСТРУМЕНТЫ"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555A8491-2914-4C66-ACD5-8C0FE12934BB}">
      <text>
        <r>
          <rPr>
            <b/>
            <sz val="9"/>
            <color indexed="81"/>
            <rFont val="Tahoma"/>
            <family val="2"/>
            <charset val="204"/>
          </rPr>
          <t>сделать столбец скрываемым из диалога "ИНСТРУМЕНТЫ"</t>
        </r>
      </text>
    </comment>
  </commentList>
</comments>
</file>

<file path=xl/sharedStrings.xml><?xml version="1.0" encoding="utf-8"?>
<sst xmlns="http://schemas.openxmlformats.org/spreadsheetml/2006/main" count="176" uniqueCount="109">
  <si>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</si>
  <si>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</si>
  <si>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</si>
  <si>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</si>
  <si>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</si>
  <si>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</si>
  <si>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</si>
  <si>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</si>
  <si>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</si>
  <si>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</si>
  <si>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</si>
  <si>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</si>
  <si>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</si>
  <si>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</si>
  <si>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</si>
  <si>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</si>
  <si>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</si>
  <si>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</si>
  <si>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</si>
  <si>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</si>
  <si>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</si>
  <si>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</si>
  <si>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</si>
  <si>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</si>
  <si>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</si>
  <si>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</si>
  <si>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</si>
  <si>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</si>
  <si>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</si>
  <si>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</si>
  <si>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</si>
  <si>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</si>
  <si>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</si>
  <si>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</si>
  <si>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</si>
  <si>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</si>
  <si>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</si>
  <si>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</si>
  <si>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</si>
  <si>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</si>
  <si>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</si>
  <si>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</si>
  <si>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</si>
  <si>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</si>
  <si>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</si>
  <si>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</si>
  <si>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</si>
  <si>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</si>
  <si>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</si>
  <si>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</si>
  <si>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</si>
  <si>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</si>
  <si>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</si>
  <si>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</si>
  <si>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</si>
  <si>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</si>
  <si>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</si>
  <si>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</si>
  <si>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</si>
  <si>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</si>
  <si>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</si>
  <si>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</si>
  <si>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</si>
  <si>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</si>
  <si>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</si>
  <si>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</si>
  <si>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</si>
  <si>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</si>
  <si>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</si>
  <si>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</si>
  <si>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</si>
  <si>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</si>
  <si>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</si>
  <si>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</si>
  <si>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</si>
  <si>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</si>
  <si>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</si>
  <si>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</si>
  <si>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</si>
  <si>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</si>
  <si>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</si>
  <si>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</si>
  <si>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</si>
  <si>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</si>
  <si>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</si>
  <si>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</si>
  <si>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</si>
  <si>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</si>
  <si>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ЛДСП Lamarty 2750*1830*16 Белый б/к</t>
  </si>
  <si>
    <t>XДФ 2800*2070*4 Белый б/к</t>
  </si>
  <si>
    <t>Из файла загружаются лишь те записи, которые не были найдены здесь</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</si>
  <si>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</si>
  <si>
    <t>C:/bCADExtensions/table.txt</t>
  </si>
  <si>
    <t>камень Akrilika M-608 Seashell 3660*760*12 б/к</t>
  </si>
  <si>
    <t>ЛМДФ 2800*2070*16 Белый 1 ст. б/к</t>
  </si>
  <si>
    <t>ЛМДФ 2800*2070*19 Белый 2 ст. б/к</t>
  </si>
  <si>
    <t>склейка ДСП 2750*1830*26 шлиф. б/к</t>
  </si>
  <si>
    <t>Толщина</t>
  </si>
  <si>
    <t>Длина пильная</t>
  </si>
  <si>
    <t>Ширина пильная</t>
  </si>
  <si>
    <t>Итого деталей:</t>
  </si>
  <si>
    <t>Итого м.п. кромки б/к:</t>
  </si>
  <si>
    <t>Сортировка по "Кромке" сначала позиции только с кромкой 0,4 и далее по цветам отличным от базовой 0,4 с разделением пробелом</t>
  </si>
  <si>
    <t>Сюда не заносятся данные, где есть слово: "плёнка", "пленка"</t>
  </si>
  <si>
    <t>В КРОМКУ не пишем следующие виды кромок: эмаль и камень</t>
  </si>
  <si>
    <t>Бузмакова гардероб у входа</t>
  </si>
  <si>
    <t>КРОМКА Бузмакова гардероб у входа</t>
  </si>
  <si>
    <t>Итого м2 б/к:</t>
  </si>
  <si>
    <t>РАСПИЛ Бузмакова гардероб у входа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</si>
</sst>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10">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cellStyleXfs>
  <cellXfs count="101">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1" xfId="0" applyFont="1" applyBorder="1"/>
    <xf numFmtId="0" fontId="0" fillId="0" borderId="0" xfId="0" applyAlignment="1">
      <alignment horizontal="center"/>
    </xf>
    <xf numFmtId="49" fontId="15" fillId="0" borderId="1" xfId="0" applyNumberFormat="1" applyFont="1" applyBorder="1" applyAlignment="1">
      <alignment horizontal="center"/>
    </xf>
    <xf numFmtId="0" fontId="0" fillId="0" borderId="0" xfId="0" applyAlignment="1">
      <alignment wrapText="1"/>
    </xf>
    <xf numFmtId="14" fontId="2" fillId="0" borderId="0" xfId="0" applyNumberFormat="1" applyFont="1"/>
    <xf numFmtId="14" fontId="2" fillId="0" borderId="0" xfId="0" applyNumberFormat="1" applyFont="1" applyAlignment="1">
      <alignment horizontal="right"/>
    </xf>
    <xf numFmtId="0" fontId="14" fillId="0" borderId="1" xfId="0" applyFont="1" applyBorder="1" applyAlignment="1">
      <alignment horizontal="center" vertical="center"/>
    </xf>
    <xf numFmtId="0" fontId="2"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2" fillId="0" borderId="0" xfId="0" applyFont="1" applyAlignment="1">
      <alignment horizontal="right" vertical="center"/>
    </xf>
    <xf numFmtId="1" fontId="2" fillId="0" borderId="0" xfId="0" applyNumberFormat="1" applyFont="1" applyAlignment="1">
      <alignment vertical="center" wrapText="1"/>
    </xf>
    <xf numFmtId="0" fontId="2" fillId="0" borderId="0" xfId="0" applyFont="1" applyAlignment="1">
      <alignment vertical="center" wrapText="1"/>
    </xf>
    <xf numFmtId="0" fontId="2" fillId="0" borderId="1" xfId="0" applyFont="1" applyBorder="1" applyAlignment="1">
      <alignment horizontal="center"/>
    </xf>
    <xf numFmtId="0" fontId="14" fillId="0" borderId="1" xfId="0" applyFont="1" applyBorder="1" applyAlignment="1">
      <alignment horizontal="center"/>
    </xf>
    <xf numFmtId="0" fontId="11" fillId="0" borderId="1" xfId="0" applyFont="1" applyBorder="1" applyAlignment="1">
      <alignment horizontal="center"/>
    </xf>
    <xf numFmtId="0" fontId="2" fillId="0" borderId="8" xfId="0" applyFont="1" applyBorder="1"/>
    <xf numFmtId="0" fontId="2" fillId="0" borderId="3" xfId="0" applyFont="1" applyBorder="1" applyAlignment="1">
      <alignment horizontal="center"/>
    </xf>
    <xf numFmtId="0" fontId="2" fillId="0" borderId="5" xfId="0" applyFont="1" applyBorder="1" applyAlignment="1">
      <alignment horizontal="center"/>
    </xf>
    <xf numFmtId="0" fontId="2" fillId="0" borderId="4" xfId="0" applyFont="1" applyBorder="1" applyAlignment="1">
      <alignment horizontal="center"/>
    </xf>
    <xf numFmtId="1" fontId="2" fillId="0" borderId="8" xfId="0" applyNumberFormat="1" applyFont="1" applyBorder="1" applyAlignment="1">
      <alignment vertical="center"/>
    </xf>
    <xf numFmtId="0" fontId="0" fillId="0" borderId="9" xfId="0" applyBorder="1"/>
  </cellXfs>
  <cellStyles count="2">
    <cellStyle name="Обычный" xfId="0" builtinId="0"/>
    <cellStyle name="Обычный 3" xfId="1" xr:uid="{00000000-0005-0000-0000-000001000000}"/>
  </cellStyles>
  <dxfs count="212">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0</xdr:row>
          <xdr:rowOff>171450</xdr:rowOff>
        </xdr:from>
        <xdr:to>
          <xdr:col>16</xdr:col>
          <xdr:colOff>1238250</xdr:colOff>
          <xdr:row>1</xdr:row>
          <xdr:rowOff>219075</xdr:rowOff>
        </xdr:to>
        <xdr:sp macro="" textlink="">
          <xdr:nvSpPr>
            <xdr:cNvPr id="44033" name="Button 1025" hidden="1">
              <a:extLst>
                <a:ext uri="{63B3BB69-23CF-44E3-9099-C40C66FF867C}">
                  <a14:compatExt spid="_x0000_s44033"/>
                </a:ext>
                <a:ext uri="{FF2B5EF4-FFF2-40B4-BE49-F238E27FC236}">
                  <a16:creationId xmlns:a16="http://schemas.microsoft.com/office/drawing/2014/main" id="{00000000-0008-0000-01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Ended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228600</xdr:colOff>
          <xdr:row>0</xdr:row>
          <xdr:rowOff>190500</xdr:rowOff>
        </xdr:from>
        <xdr:to>
          <xdr:col>21</xdr:col>
          <xdr:colOff>390525</xdr:colOff>
          <xdr:row>2</xdr:row>
          <xdr:rowOff>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300-000002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402949</xdr:colOff>
          <xdr:row>0</xdr:row>
          <xdr:rowOff>66261</xdr:rowOff>
        </xdr:from>
        <xdr:to>
          <xdr:col>16</xdr:col>
          <xdr:colOff>568187</xdr:colOff>
          <xdr:row>1</xdr:row>
          <xdr:rowOff>256761</xdr:rowOff>
        </xdr:to>
        <xdr:sp macro="" textlink="">
          <xdr:nvSpPr>
            <xdr:cNvPr id="50179" name="Button 3" hidden="1">
              <a:extLst>
                <a:ext uri="{63B3BB69-23CF-44E3-9099-C40C66FF867C}">
                  <a14:compatExt spid="_x0000_s50179"/>
                </a:ext>
                <a:ext uri="{FF2B5EF4-FFF2-40B4-BE49-F238E27FC236}">
                  <a16:creationId xmlns:a16="http://schemas.microsoft.com/office/drawing/2014/main" id="{CC5DE9C4-3E20-43FB-8562-256A823678D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89"/>
  <sheetViews>
    <sheetView topLeftCell="A22" workbookViewId="0">
      <selection activeCell="B37" sqref="B37"/>
    </sheetView>
  </sheetViews>
  <sheetFormatPr defaultRowHeight="15" x14ac:dyDescent="0.25"/>
  <cols>
    <col min="1" max="1" width="50.85546875" customWidth="1"/>
    <col min="2" max="2" width="52" customWidth="1"/>
  </cols>
  <sheetData>
    <row r="1" spans="1:29"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29" ht="18.75" x14ac:dyDescent="0.3">
      <c r="A2" s="1" t="s">
        <v>61</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29"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29"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29"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row>
    <row r="6" spans="1:29"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29"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29"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29"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29"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29"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29"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29"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29"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29"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62</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58</v>
      </c>
    </row>
    <row r="24" spans="1:6" x14ac:dyDescent="0.25">
      <c r="B24" t="s">
        <v>60</v>
      </c>
    </row>
    <row r="26" spans="1:6" s="30" customFormat="1" ht="21" x14ac:dyDescent="0.35">
      <c r="A26" s="79" t="s">
        <v>85</v>
      </c>
    </row>
    <row r="27" spans="1:6" s="30" customFormat="1" x14ac:dyDescent="0.25"/>
    <row r="28" spans="1:6" s="30" customFormat="1" ht="15.75" x14ac:dyDescent="0.25">
      <c r="A28" s="2" t="s">
        <v>63</v>
      </c>
      <c r="F28" s="31" t="s">
        <v>64</v>
      </c>
    </row>
    <row r="29" spans="1:6" s="30" customFormat="1" x14ac:dyDescent="0.25">
      <c r="A29" s="72" t="s">
        <v>3</v>
      </c>
      <c r="B29" s="72" t="s">
        <v>65</v>
      </c>
      <c r="C29" s="72" t="s">
        <v>66</v>
      </c>
      <c r="F29" s="73" t="s">
        <v>67</v>
      </c>
    </row>
    <row r="30" spans="1:6" s="30" customFormat="1" x14ac:dyDescent="0.25">
      <c r="F30" s="30" t="s">
        <v>68</v>
      </c>
    </row>
    <row r="31" spans="1:6" s="30" customFormat="1" x14ac:dyDescent="0.25">
      <c r="A31" s="74" t="s">
        <v>69</v>
      </c>
      <c r="C31" s="75"/>
      <c r="F31" s="30" t="s">
        <v>70</v>
      </c>
    </row>
    <row r="32" spans="1:6" s="30" customFormat="1" x14ac:dyDescent="0.25">
      <c r="A32" s="72" t="s">
        <v>3</v>
      </c>
      <c r="B32" s="72" t="s">
        <v>65</v>
      </c>
      <c r="C32" s="72" t="s">
        <v>66</v>
      </c>
    </row>
    <row r="33" spans="1:6" s="30" customFormat="1" x14ac:dyDescent="0.25">
      <c r="F33" s="30" t="s">
        <v>87</v>
      </c>
    </row>
    <row r="34" spans="1:6" s="30" customFormat="1" x14ac:dyDescent="0.25">
      <c r="A34" s="2" t="s">
        <v>71</v>
      </c>
      <c r="B34" s="2"/>
      <c r="C34" s="76"/>
    </row>
    <row r="35" spans="1:6" s="30" customFormat="1" x14ac:dyDescent="0.25">
      <c r="A35" s="72" t="s">
        <v>3</v>
      </c>
      <c r="B35" s="72" t="s">
        <v>72</v>
      </c>
      <c r="C35" s="77">
        <v>1.2</v>
      </c>
    </row>
    <row r="36" spans="1:6" s="30" customFormat="1" x14ac:dyDescent="0.25"/>
    <row r="37" spans="1:6" s="30" customFormat="1" x14ac:dyDescent="0.25">
      <c r="A37" s="2" t="s">
        <v>74</v>
      </c>
      <c r="C37" s="75"/>
    </row>
    <row r="38" spans="1:6" s="30" customFormat="1" x14ac:dyDescent="0.25">
      <c r="A38" s="72" t="s">
        <v>75</v>
      </c>
      <c r="B38" s="72" t="s">
        <v>76</v>
      </c>
      <c r="C38" s="72" t="s">
        <v>77</v>
      </c>
    </row>
    <row r="39" spans="1:6" s="30" customFormat="1" x14ac:dyDescent="0.25"/>
    <row r="40" spans="1:6" s="30" customFormat="1" x14ac:dyDescent="0.25">
      <c r="A40" s="74" t="s">
        <v>78</v>
      </c>
      <c r="B40" s="78"/>
      <c r="C40" s="78"/>
    </row>
    <row r="41" spans="1:6" s="30" customFormat="1" x14ac:dyDescent="0.25">
      <c r="A41" s="72" t="s">
        <v>75</v>
      </c>
      <c r="B41" s="72" t="s">
        <v>79</v>
      </c>
      <c r="C41" s="72" t="s">
        <v>77</v>
      </c>
    </row>
    <row r="42" spans="1:6" s="30" customFormat="1" x14ac:dyDescent="0.25"/>
    <row r="43" spans="1:6" s="30" customFormat="1" ht="18.75" x14ac:dyDescent="0.3">
      <c r="A43" s="1" t="s">
        <v>80</v>
      </c>
    </row>
    <row r="44" spans="1:6" s="30" customFormat="1" x14ac:dyDescent="0.25"/>
    <row r="45" spans="1:6" x14ac:dyDescent="0.25">
      <c r="A45" s="30"/>
      <c r="B45" s="30"/>
      <c r="C45" s="30"/>
      <c r="D45" s="30"/>
      <c r="E45" s="30"/>
      <c r="F45" s="30"/>
    </row>
    <row r="46" spans="1:6" x14ac:dyDescent="0.25">
      <c r="A46" s="2" t="s">
        <v>81</v>
      </c>
      <c r="B46" s="30"/>
      <c r="C46" s="30"/>
      <c r="D46" s="30"/>
      <c r="E46" s="30"/>
      <c r="F46" s="30"/>
    </row>
    <row r="47" spans="1:6" s="30" customFormat="1" x14ac:dyDescent="0.25">
      <c r="A47" s="30" t="s">
        <v>82</v>
      </c>
    </row>
    <row r="48" spans="1:6" s="30" customFormat="1" x14ac:dyDescent="0.25">
      <c r="A48" s="30" t="s">
        <v>83</v>
      </c>
    </row>
    <row r="49" spans="1:6" s="30" customFormat="1" x14ac:dyDescent="0.25">
      <c r="A49" s="2" t="s">
        <v>84</v>
      </c>
    </row>
    <row r="50" spans="1:6" s="30" customFormat="1" x14ac:dyDescent="0.25"/>
    <row r="51" spans="1:6" s="30" customFormat="1" ht="21" x14ac:dyDescent="0.35">
      <c r="A51" s="79" t="s">
        <v>86</v>
      </c>
      <c r="F51" s="31" t="s">
        <v>64</v>
      </c>
    </row>
    <row r="52" spans="1:6" s="30" customFormat="1" x14ac:dyDescent="0.25">
      <c r="F52" s="30" t="s">
        <v>73</v>
      </c>
    </row>
    <row r="53" spans="1:6" x14ac:dyDescent="0.25">
      <c r="F53" t="s">
        <v>90</v>
      </c>
    </row>
    <row r="54" spans="1:6" ht="18.75" x14ac:dyDescent="0.3">
      <c r="A54" s="1" t="s">
        <v>55</v>
      </c>
      <c r="B54" t="s">
        <v>92</v>
      </c>
      <c r="F54" t="s">
        <v>91</v>
      </c>
    </row>
    <row r="55" spans="1:6" x14ac:dyDescent="0.25">
      <c r="A55" s="64" t="s">
        <v>56</v>
      </c>
      <c r="B55" s="64" t="s">
        <v>57</v>
      </c>
    </row>
    <row r="56" spans="1:6" s="30" customFormat="1" x14ac:dyDescent="0.25">
      <c r="A56" s="82"/>
      <c r="B56" s="82"/>
    </row>
    <row r="57" spans="1:6" s="30" customFormat="1" x14ac:dyDescent="0.25">
      <c r="A57" s="82"/>
      <c r="B57" s="82"/>
    </row>
    <row r="58" spans="1:6" s="30" customFormat="1" x14ac:dyDescent="0.25">
      <c r="A58" s="82"/>
      <c r="B58" s="82"/>
    </row>
    <row r="59" spans="1:6" s="30" customFormat="1" x14ac:dyDescent="0.25">
      <c r="A59" s="82"/>
      <c r="B59" s="82"/>
    </row>
    <row r="60" spans="1:6" s="30" customFormat="1" x14ac:dyDescent="0.25">
      <c r="A60" s="82"/>
      <c r="B60" s="82"/>
    </row>
    <row r="61" spans="1:6" s="30" customFormat="1" x14ac:dyDescent="0.25">
      <c r="A61" s="82"/>
      <c r="B61" s="82"/>
    </row>
    <row r="62" spans="1:6" s="30" customFormat="1" x14ac:dyDescent="0.25">
      <c r="A62" s="82"/>
      <c r="B62" s="82"/>
    </row>
    <row r="63" spans="1:6" s="30" customFormat="1" x14ac:dyDescent="0.25">
      <c r="A63" s="82"/>
      <c r="B63" s="82"/>
    </row>
    <row r="64" spans="1:6" s="30" customFormat="1" x14ac:dyDescent="0.25">
      <c r="A64" s="82"/>
      <c r="B64" s="82"/>
    </row>
    <row r="65" spans="1:2" s="30" customFormat="1" x14ac:dyDescent="0.25">
      <c r="A65" s="82"/>
      <c r="B65" s="82"/>
    </row>
    <row r="66" spans="1:2" s="30" customFormat="1" x14ac:dyDescent="0.25">
      <c r="A66" s="82"/>
      <c r="B66" s="82"/>
    </row>
    <row r="67" spans="1:2" s="30" customFormat="1" x14ac:dyDescent="0.25">
      <c r="A67" s="82"/>
      <c r="B67" s="82"/>
    </row>
    <row r="68" spans="1:2" s="30" customFormat="1" x14ac:dyDescent="0.25">
      <c r="A68" s="82"/>
      <c r="B68" s="82"/>
    </row>
    <row r="69" spans="1:2" s="30" customFormat="1" x14ac:dyDescent="0.25">
      <c r="A69" s="82"/>
      <c r="B69" s="82"/>
    </row>
    <row r="70" spans="1:2" s="30" customFormat="1" x14ac:dyDescent="0.25">
      <c r="A70" s="82"/>
      <c r="B70" s="82"/>
    </row>
    <row r="71" spans="1:2" s="30" customFormat="1" x14ac:dyDescent="0.25">
      <c r="A71" s="82"/>
      <c r="B71" s="82"/>
    </row>
    <row r="72" spans="1:2" s="30" customFormat="1" x14ac:dyDescent="0.25">
      <c r="A72" s="82"/>
      <c r="B72" s="82"/>
    </row>
    <row r="73" spans="1:2" s="30" customFormat="1" x14ac:dyDescent="0.25">
      <c r="A73" s="82"/>
      <c r="B73" s="82"/>
    </row>
    <row r="74" spans="1:2" s="30" customFormat="1" x14ac:dyDescent="0.25">
      <c r="A74" s="82"/>
      <c r="B74" s="82"/>
    </row>
    <row r="75" spans="1:2" s="30" customFormat="1" x14ac:dyDescent="0.25">
      <c r="A75" s="82"/>
      <c r="B75" s="82"/>
    </row>
    <row r="76" spans="1:2" s="30" customFormat="1" x14ac:dyDescent="0.25">
      <c r="A76" s="82"/>
      <c r="B76" s="82"/>
    </row>
    <row r="77" spans="1:2" s="30" customFormat="1" x14ac:dyDescent="0.25">
      <c r="A77" s="82"/>
      <c r="B77" s="82"/>
    </row>
    <row r="78" spans="1:2" s="30" customFormat="1" x14ac:dyDescent="0.25">
      <c r="A78" s="82"/>
      <c r="B78" s="82"/>
    </row>
    <row r="79" spans="1:2" s="30" customFormat="1" x14ac:dyDescent="0.25">
      <c r="A79" s="82"/>
      <c r="B79" s="82"/>
    </row>
    <row r="80" spans="1:2" s="30" customFormat="1" x14ac:dyDescent="0.25">
      <c r="A80" s="82"/>
      <c r="B80" s="82"/>
    </row>
    <row r="81" spans="1:2" s="30" customFormat="1" x14ac:dyDescent="0.25">
      <c r="A81" s="82"/>
      <c r="B81" s="82"/>
    </row>
    <row r="82" spans="1:2" s="30" customFormat="1" x14ac:dyDescent="0.25">
      <c r="A82" s="82"/>
      <c r="B82" s="82"/>
    </row>
    <row r="83" spans="1:2" s="30" customFormat="1" x14ac:dyDescent="0.25">
      <c r="A83" s="82"/>
      <c r="B83" s="82"/>
    </row>
    <row r="84" spans="1:2" s="30" customFormat="1" x14ac:dyDescent="0.25">
      <c r="A84" s="82"/>
      <c r="B84" s="82"/>
    </row>
    <row r="85" spans="1:2" s="30" customFormat="1" x14ac:dyDescent="0.25">
      <c r="A85" s="82"/>
      <c r="B85" s="82"/>
    </row>
    <row r="86" spans="1:2" s="30" customFormat="1" x14ac:dyDescent="0.25">
      <c r="A86" s="82"/>
      <c r="B86" s="82"/>
    </row>
    <row r="87" spans="1:2" s="30" customFormat="1" x14ac:dyDescent="0.25">
      <c r="A87" s="82"/>
      <c r="B87" s="82"/>
    </row>
    <row r="88" spans="1:2" s="30" customFormat="1" x14ac:dyDescent="0.25">
      <c r="A88" s="82"/>
      <c r="B88" s="82"/>
    </row>
    <row r="89" spans="1:2" s="30" customFormat="1" x14ac:dyDescent="0.25">
      <c r="A89" s="82"/>
      <c r="B89" s="82"/>
    </row>
    <row r="90" spans="1:2" s="30" customFormat="1" x14ac:dyDescent="0.25">
      <c r="A90" s="82"/>
      <c r="B90" s="82"/>
    </row>
    <row r="91" spans="1:2" s="30" customFormat="1" x14ac:dyDescent="0.25">
      <c r="A91" s="82"/>
      <c r="B91" s="82"/>
    </row>
    <row r="92" spans="1:2" s="30" customFormat="1" x14ac:dyDescent="0.25">
      <c r="A92" s="82"/>
      <c r="B92" s="82"/>
    </row>
    <row r="93" spans="1:2" s="30" customFormat="1" x14ac:dyDescent="0.25">
      <c r="A93" s="82"/>
      <c r="B93" s="82"/>
    </row>
    <row r="94" spans="1:2" s="30" customFormat="1" x14ac:dyDescent="0.25">
      <c r="A94" s="82"/>
      <c r="B94" s="82"/>
    </row>
    <row r="95" spans="1:2" s="30" customFormat="1" x14ac:dyDescent="0.25">
      <c r="A95" s="82"/>
      <c r="B95" s="82"/>
    </row>
    <row r="96" spans="1:2" s="30" customFormat="1" x14ac:dyDescent="0.25">
      <c r="A96" s="82"/>
      <c r="B96" s="82"/>
    </row>
    <row r="97" spans="1:2" s="30" customFormat="1" x14ac:dyDescent="0.25">
      <c r="A97" s="82"/>
      <c r="B97" s="82"/>
    </row>
    <row r="98" spans="1:2" s="30" customFormat="1" x14ac:dyDescent="0.25">
      <c r="A98" s="82"/>
      <c r="B98" s="82"/>
    </row>
    <row r="99" spans="1:2" s="30" customFormat="1" x14ac:dyDescent="0.25">
      <c r="A99" s="82"/>
      <c r="B99" s="82"/>
    </row>
    <row r="100" spans="1:2" s="30" customFormat="1" x14ac:dyDescent="0.25">
      <c r="A100" s="82"/>
      <c r="B100" s="82"/>
    </row>
    <row r="101" spans="1:2" s="30" customFormat="1" x14ac:dyDescent="0.25">
      <c r="A101" s="82"/>
      <c r="B101" s="82"/>
    </row>
    <row r="102" spans="1:2" s="30" customFormat="1" x14ac:dyDescent="0.25">
      <c r="A102" s="82"/>
      <c r="B102" s="82"/>
    </row>
    <row r="103" spans="1:2" s="30" customFormat="1" x14ac:dyDescent="0.25">
      <c r="A103" s="82"/>
      <c r="B103" s="82"/>
    </row>
    <row r="104" spans="1:2" s="30" customFormat="1" x14ac:dyDescent="0.25">
      <c r="A104" s="82"/>
      <c r="B104" s="82"/>
    </row>
    <row r="105" spans="1:2" s="30" customFormat="1" x14ac:dyDescent="0.25">
      <c r="A105" s="82"/>
      <c r="B105" s="82"/>
    </row>
    <row r="106" spans="1:2" s="30" customFormat="1" x14ac:dyDescent="0.25">
      <c r="A106" s="82"/>
      <c r="B106" s="82"/>
    </row>
    <row r="107" spans="1:2" s="30" customFormat="1" x14ac:dyDescent="0.25">
      <c r="A107" s="82"/>
      <c r="B107" s="82"/>
    </row>
    <row r="108" spans="1:2" s="30" customFormat="1" x14ac:dyDescent="0.25">
      <c r="A108" s="82"/>
      <c r="B108" s="82"/>
    </row>
    <row r="109" spans="1:2" s="30" customFormat="1" x14ac:dyDescent="0.25">
      <c r="A109" s="82"/>
      <c r="B109" s="82"/>
    </row>
    <row r="110" spans="1:2" s="30" customFormat="1" x14ac:dyDescent="0.25">
      <c r="A110" s="82"/>
      <c r="B110" s="82"/>
    </row>
    <row r="111" spans="1:2" s="30" customFormat="1" x14ac:dyDescent="0.25">
      <c r="A111" s="82"/>
      <c r="B111" s="82"/>
    </row>
    <row r="112" spans="1:2" s="30" customFormat="1" x14ac:dyDescent="0.25">
      <c r="A112" s="82"/>
      <c r="B112" s="82"/>
    </row>
    <row r="113" spans="1:2" s="30" customFormat="1" x14ac:dyDescent="0.25">
      <c r="A113" s="82"/>
      <c r="B113" s="82"/>
    </row>
    <row r="114" spans="1:2" s="30" customFormat="1" x14ac:dyDescent="0.25">
      <c r="A114" s="82"/>
      <c r="B114" s="82"/>
    </row>
    <row r="115" spans="1:2" s="30" customFormat="1" x14ac:dyDescent="0.25">
      <c r="A115" s="82"/>
      <c r="B115" s="82"/>
    </row>
    <row r="116" spans="1:2" s="30" customFormat="1" x14ac:dyDescent="0.25">
      <c r="A116" s="82"/>
      <c r="B116" s="82"/>
    </row>
    <row r="117" spans="1:2" s="30" customFormat="1" x14ac:dyDescent="0.25">
      <c r="A117" s="82"/>
      <c r="B117" s="82"/>
    </row>
    <row r="118" spans="1:2" s="30" customFormat="1" x14ac:dyDescent="0.25">
      <c r="A118" s="82"/>
      <c r="B118" s="82"/>
    </row>
    <row r="119" spans="1:2" s="30" customFormat="1" x14ac:dyDescent="0.25">
      <c r="A119" s="82"/>
      <c r="B119" s="82"/>
    </row>
    <row r="120" spans="1:2" s="30" customFormat="1" x14ac:dyDescent="0.25">
      <c r="A120" s="82"/>
      <c r="B120" s="82"/>
    </row>
    <row r="121" spans="1:2" s="30" customFormat="1" x14ac:dyDescent="0.25">
      <c r="A121" s="82"/>
      <c r="B121" s="82"/>
    </row>
    <row r="122" spans="1:2" s="30" customFormat="1" x14ac:dyDescent="0.25">
      <c r="A122" s="82"/>
      <c r="B122" s="82"/>
    </row>
    <row r="123" spans="1:2" s="30" customFormat="1" x14ac:dyDescent="0.25">
      <c r="A123" s="82"/>
      <c r="B123" s="82"/>
    </row>
    <row r="124" spans="1:2" s="30" customFormat="1" x14ac:dyDescent="0.25">
      <c r="A124" s="82"/>
      <c r="B124" s="82"/>
    </row>
    <row r="125" spans="1:2" s="30" customFormat="1" x14ac:dyDescent="0.25">
      <c r="A125" s="82"/>
      <c r="B125" s="82"/>
    </row>
    <row r="126" spans="1:2" s="30" customFormat="1" x14ac:dyDescent="0.25">
      <c r="A126" s="82"/>
      <c r="B126" s="82"/>
    </row>
    <row r="127" spans="1:2" s="30" customFormat="1" x14ac:dyDescent="0.25">
      <c r="A127" s="82"/>
      <c r="B127" s="82"/>
    </row>
    <row r="128" spans="1:2" s="30" customFormat="1" x14ac:dyDescent="0.25">
      <c r="A128" s="82"/>
      <c r="B128" s="82"/>
    </row>
    <row r="129" spans="1:2" s="30" customFormat="1" x14ac:dyDescent="0.25">
      <c r="A129" s="82"/>
      <c r="B129" s="82"/>
    </row>
    <row r="130" spans="1:2" s="30" customFormat="1" x14ac:dyDescent="0.25">
      <c r="A130" s="82"/>
      <c r="B130" s="82"/>
    </row>
    <row r="131" spans="1:2" s="30" customFormat="1" x14ac:dyDescent="0.25">
      <c r="A131" s="82"/>
      <c r="B131" s="82"/>
    </row>
    <row r="132" spans="1:2" s="30" customFormat="1" x14ac:dyDescent="0.25">
      <c r="A132" s="82"/>
      <c r="B132" s="82"/>
    </row>
    <row r="133" spans="1:2" s="30" customFormat="1" x14ac:dyDescent="0.25">
      <c r="A133" s="82"/>
      <c r="B133" s="82"/>
    </row>
    <row r="134" spans="1:2" s="30" customFormat="1" x14ac:dyDescent="0.25">
      <c r="A134" s="82"/>
      <c r="B134" s="82"/>
    </row>
    <row r="135" spans="1:2" s="30" customFormat="1" x14ac:dyDescent="0.25">
      <c r="A135" s="82"/>
      <c r="B135" s="82"/>
    </row>
    <row r="136" spans="1:2" s="30" customFormat="1" x14ac:dyDescent="0.25">
      <c r="A136" s="82"/>
      <c r="B136" s="82"/>
    </row>
    <row r="137" spans="1:2" s="30" customFormat="1" x14ac:dyDescent="0.25">
      <c r="A137" s="82"/>
      <c r="B137" s="82"/>
    </row>
    <row r="138" spans="1:2" s="30" customFormat="1" x14ac:dyDescent="0.25">
      <c r="A138" s="82"/>
      <c r="B138" s="82"/>
    </row>
    <row r="139" spans="1:2" s="30" customFormat="1" x14ac:dyDescent="0.25">
      <c r="A139" s="82"/>
      <c r="B139" s="82"/>
    </row>
    <row r="140" spans="1:2" s="30" customFormat="1" x14ac:dyDescent="0.25">
      <c r="A140" s="82"/>
      <c r="B140" s="82"/>
    </row>
    <row r="141" spans="1:2" s="30" customFormat="1" x14ac:dyDescent="0.25">
      <c r="A141" s="82"/>
      <c r="B141" s="82"/>
    </row>
    <row r="142" spans="1:2" s="30" customFormat="1" x14ac:dyDescent="0.25">
      <c r="A142" s="82"/>
      <c r="B142" s="82"/>
    </row>
    <row r="143" spans="1:2" s="30" customFormat="1" x14ac:dyDescent="0.25">
      <c r="A143" s="82"/>
      <c r="B143" s="82"/>
    </row>
    <row r="144" spans="1:2" s="30" customFormat="1" x14ac:dyDescent="0.25">
      <c r="A144" s="82"/>
      <c r="B144" s="82"/>
    </row>
    <row r="145" spans="1:2" s="30" customFormat="1" x14ac:dyDescent="0.25">
      <c r="A145" s="82"/>
      <c r="B145" s="82"/>
    </row>
    <row r="146" spans="1:2" s="30" customFormat="1" x14ac:dyDescent="0.25">
      <c r="A146" s="82"/>
      <c r="B146" s="82"/>
    </row>
    <row r="147" spans="1:2" s="30" customFormat="1" x14ac:dyDescent="0.25">
      <c r="A147" s="82"/>
      <c r="B147" s="82"/>
    </row>
    <row r="148" spans="1:2" s="30" customFormat="1" x14ac:dyDescent="0.25">
      <c r="A148" s="82"/>
      <c r="B148" s="82"/>
    </row>
    <row r="149" spans="1:2" s="30" customFormat="1" x14ac:dyDescent="0.25">
      <c r="A149" s="82"/>
      <c r="B149" s="82"/>
    </row>
    <row r="150" spans="1:2" s="30" customFormat="1" x14ac:dyDescent="0.25">
      <c r="A150" s="18"/>
      <c r="B150" s="18"/>
    </row>
    <row r="151" spans="1:2" s="30" customFormat="1" x14ac:dyDescent="0.25">
      <c r="A151" s="18"/>
      <c r="B151" s="18"/>
    </row>
    <row r="152" spans="1:2" s="30" customFormat="1" x14ac:dyDescent="0.25">
      <c r="A152" s="18"/>
      <c r="B152" s="18"/>
    </row>
    <row r="153" spans="1:2" x14ac:dyDescent="0.25">
      <c r="A153" s="18"/>
      <c r="B153" s="18"/>
    </row>
    <row r="154" spans="1:2" x14ac:dyDescent="0.25">
      <c r="A154" s="18"/>
      <c r="B154" s="18"/>
    </row>
    <row r="155" spans="1:2" x14ac:dyDescent="0.25">
      <c r="A155" s="18"/>
      <c r="B155" s="18"/>
    </row>
    <row r="156" spans="1:2" x14ac:dyDescent="0.25">
      <c r="A156" s="18"/>
      <c r="B156" s="18"/>
    </row>
    <row r="157" spans="1:2" x14ac:dyDescent="0.25">
      <c r="A157" s="18"/>
      <c r="B157" s="18"/>
    </row>
    <row r="158" spans="1:2" x14ac:dyDescent="0.25">
      <c r="A158" s="18"/>
      <c r="B158" s="18"/>
    </row>
    <row r="159" spans="1:2" x14ac:dyDescent="0.25">
      <c r="A159" s="18"/>
      <c r="B159" s="18"/>
    </row>
    <row r="160" spans="1:2" x14ac:dyDescent="0.25">
      <c r="A160" s="18"/>
      <c r="B160" s="18"/>
    </row>
    <row r="161" spans="1:2" x14ac:dyDescent="0.25">
      <c r="A161" s="18"/>
      <c r="B161" s="18"/>
    </row>
    <row r="162" spans="1:2" x14ac:dyDescent="0.25">
      <c r="A162" s="18"/>
      <c r="B162" s="18"/>
    </row>
    <row r="163" spans="1:2" x14ac:dyDescent="0.25">
      <c r="A163" s="18"/>
      <c r="B163" s="18"/>
    </row>
    <row r="164" spans="1:2" x14ac:dyDescent="0.25">
      <c r="A164" s="18"/>
      <c r="B164" s="18"/>
    </row>
    <row r="165" spans="1:2" x14ac:dyDescent="0.25">
      <c r="A165" s="18"/>
      <c r="B165" s="18"/>
    </row>
    <row r="166" spans="1:2" x14ac:dyDescent="0.25">
      <c r="A166" s="18"/>
      <c r="B166" s="18"/>
    </row>
    <row r="167" spans="1:2" x14ac:dyDescent="0.25">
      <c r="A167" s="18"/>
      <c r="B167" s="18"/>
    </row>
    <row r="168" spans="1:2" x14ac:dyDescent="0.25">
      <c r="A168" s="18"/>
      <c r="B168" s="18"/>
    </row>
    <row r="169" spans="1:2" x14ac:dyDescent="0.25">
      <c r="A169" s="18"/>
      <c r="B169" s="18"/>
    </row>
    <row r="170" spans="1:2" x14ac:dyDescent="0.25">
      <c r="A170" s="18"/>
      <c r="B170" s="18"/>
    </row>
    <row r="171" spans="1:2" x14ac:dyDescent="0.25">
      <c r="A171" s="18"/>
      <c r="B171" s="18"/>
    </row>
    <row r="172" spans="1:2" x14ac:dyDescent="0.25">
      <c r="A172" s="18"/>
      <c r="B172" s="18"/>
    </row>
    <row r="173" spans="1:2" x14ac:dyDescent="0.25">
      <c r="A173" s="18"/>
      <c r="B173" s="18"/>
    </row>
    <row r="174" spans="1:2" x14ac:dyDescent="0.25">
      <c r="A174" s="18"/>
      <c r="B174" s="18"/>
    </row>
    <row r="175" spans="1:2" x14ac:dyDescent="0.25">
      <c r="A175" s="18"/>
      <c r="B175" s="18"/>
    </row>
    <row r="176" spans="1:2" x14ac:dyDescent="0.25">
      <c r="A176" s="18"/>
      <c r="B176" s="18"/>
    </row>
    <row r="177" spans="1:2" x14ac:dyDescent="0.25">
      <c r="A177" s="18"/>
      <c r="B177" s="18"/>
    </row>
    <row r="178" spans="1:2" x14ac:dyDescent="0.25">
      <c r="A178" s="18"/>
      <c r="B178" s="18"/>
    </row>
    <row r="179" spans="1:2" x14ac:dyDescent="0.25">
      <c r="A179" s="18"/>
      <c r="B179" s="18"/>
    </row>
    <row r="180" spans="1:2" x14ac:dyDescent="0.25">
      <c r="A180" s="18"/>
      <c r="B180" s="18"/>
    </row>
    <row r="181" spans="1:2" x14ac:dyDescent="0.25">
      <c r="A181" s="18"/>
      <c r="B181" s="18"/>
    </row>
    <row r="182" spans="1:2" x14ac:dyDescent="0.25">
      <c r="A182" s="18"/>
      <c r="B182" s="18"/>
    </row>
    <row r="183" spans="1:2" x14ac:dyDescent="0.25">
      <c r="A183" s="18"/>
      <c r="B183" s="18"/>
    </row>
    <row r="184" spans="1:2" x14ac:dyDescent="0.25">
      <c r="A184" s="18"/>
      <c r="B184" s="18"/>
    </row>
    <row r="185" spans="1:2" x14ac:dyDescent="0.25">
      <c r="A185" s="18"/>
      <c r="B185" s="18"/>
    </row>
    <row r="186" spans="1:2" x14ac:dyDescent="0.25">
      <c r="A186" s="18"/>
      <c r="B186" s="18"/>
    </row>
    <row r="187" spans="1:2" x14ac:dyDescent="0.25">
      <c r="A187" s="18"/>
      <c r="B187" s="18"/>
    </row>
    <row r="188" spans="1:2" x14ac:dyDescent="0.25">
      <c r="A188" s="18"/>
      <c r="B188" s="18"/>
    </row>
    <row r="189" spans="1:2" x14ac:dyDescent="0.25">
      <c r="A189" s="18"/>
      <c r="B189" s="18"/>
    </row>
    <row r="190" spans="1:2" x14ac:dyDescent="0.25">
      <c r="A190" s="18"/>
      <c r="B190" s="18"/>
    </row>
    <row r="191" spans="1:2" x14ac:dyDescent="0.25">
      <c r="A191" s="18"/>
      <c r="B191" s="18"/>
    </row>
    <row r="192" spans="1:2" x14ac:dyDescent="0.25">
      <c r="A192" s="18"/>
      <c r="B192" s="18"/>
    </row>
    <row r="193" spans="1:2" x14ac:dyDescent="0.25">
      <c r="A193" s="18"/>
      <c r="B193" s="18"/>
    </row>
    <row r="194" spans="1:2" x14ac:dyDescent="0.25">
      <c r="A194" s="18"/>
      <c r="B194" s="18"/>
    </row>
    <row r="195" spans="1:2" x14ac:dyDescent="0.25">
      <c r="A195" s="18"/>
      <c r="B195" s="18"/>
    </row>
    <row r="196" spans="1:2" x14ac:dyDescent="0.25">
      <c r="A196" s="18"/>
      <c r="B196" s="18"/>
    </row>
    <row r="197" spans="1:2" x14ac:dyDescent="0.25">
      <c r="A197" s="18"/>
      <c r="B197" s="18"/>
    </row>
    <row r="198" spans="1:2" x14ac:dyDescent="0.25">
      <c r="A198" s="18"/>
      <c r="B198" s="18"/>
    </row>
    <row r="199" spans="1:2" x14ac:dyDescent="0.25">
      <c r="A199" s="18"/>
      <c r="B199" s="18"/>
    </row>
    <row r="200" spans="1:2" x14ac:dyDescent="0.25">
      <c r="A200" s="18"/>
      <c r="B200" s="18"/>
    </row>
    <row r="201" spans="1:2" x14ac:dyDescent="0.25">
      <c r="A201" s="18"/>
      <c r="B201" s="18"/>
    </row>
    <row r="202" spans="1:2" x14ac:dyDescent="0.25">
      <c r="A202" s="18"/>
      <c r="B202" s="18"/>
    </row>
    <row r="203" spans="1:2" x14ac:dyDescent="0.25">
      <c r="A203" s="18"/>
      <c r="B203" s="18"/>
    </row>
    <row r="204" spans="1:2" x14ac:dyDescent="0.25">
      <c r="A204" s="18"/>
      <c r="B204" s="18"/>
    </row>
    <row r="205" spans="1:2" x14ac:dyDescent="0.25">
      <c r="A205" s="18"/>
      <c r="B205" s="18"/>
    </row>
    <row r="206" spans="1:2" x14ac:dyDescent="0.25">
      <c r="A206" s="18"/>
      <c r="B206" s="18"/>
    </row>
    <row r="207" spans="1:2" x14ac:dyDescent="0.25">
      <c r="A207" s="18"/>
      <c r="B207" s="18"/>
    </row>
    <row r="208" spans="1:2" x14ac:dyDescent="0.25">
      <c r="A208" s="18"/>
      <c r="B208" s="18"/>
    </row>
    <row r="209" spans="1:2" x14ac:dyDescent="0.25">
      <c r="A209" s="18"/>
      <c r="B209" s="18"/>
    </row>
    <row r="289" spans="35:35" x14ac:dyDescent="0.25">
      <c r="AI289" t="s">
        <v>59</v>
      </c>
    </row>
  </sheetData>
  <conditionalFormatting sqref="D15">
    <cfRule type="expression" dxfId="211" priority="19">
      <formula>AND(AND(NOT(ISBLANK(C15)),NOT(C15=$O$1)),AND(NOT(ISBLANK(B15)),NOT(B15=$O$1)))</formula>
    </cfRule>
    <cfRule type="expression" dxfId="210" priority="20">
      <formula>OR(AND(NOT(ISBLANK(C15)),NOT(C15=$O$1)),AND(NOT(ISBLANK(B15)),NOT(B15=$O$1)))</formula>
    </cfRule>
  </conditionalFormatting>
  <conditionalFormatting sqref="E15">
    <cfRule type="expression" dxfId="209" priority="17">
      <formula>AND(AND(NOT(ISBLANK(F15)),NOT(F15=$O$1)),AND(NOT(ISBLANK(G15)),NOT(G15=$O$1)))</formula>
    </cfRule>
    <cfRule type="expression" dxfId="208" priority="18">
      <formula>OR(AND(NOT(ISBLANK(F15)),NOT(F15=$O$1)),AND(NOT(ISBLANK(G15)),NOT(G15=$O$1)))</formula>
    </cfRule>
  </conditionalFormatting>
  <conditionalFormatting sqref="B15">
    <cfRule type="expression" dxfId="207" priority="16" stopIfTrue="1">
      <formula>AND(NOT(ISBLANK(B15)),NOT(_xlfn.ISFORMULA(B15)))</formula>
    </cfRule>
  </conditionalFormatting>
  <conditionalFormatting sqref="C15">
    <cfRule type="expression" dxfId="206" priority="15" stopIfTrue="1">
      <formula>AND(NOT(ISBLANK(C15)),NOT(_xlfn.ISFORMULA(C15)))</formula>
    </cfRule>
  </conditionalFormatting>
  <conditionalFormatting sqref="F15">
    <cfRule type="expression" dxfId="205" priority="14" stopIfTrue="1">
      <formula>AND(NOT(ISBLANK(F15)),NOT(_xlfn.ISFORMULA(F15)))</formula>
    </cfRule>
  </conditionalFormatting>
  <conditionalFormatting sqref="G15">
    <cfRule type="expression" dxfId="204" priority="13" stopIfTrue="1">
      <formula>AND(NOT(ISBLANK(G15)),NOT(_xlfn.ISFORMULA(G15)))</formula>
    </cfRule>
  </conditionalFormatting>
  <conditionalFormatting sqref="E5">
    <cfRule type="expression" dxfId="203" priority="3">
      <formula>AND(AND(NOT(ISBLANK(D5)),NOT(D5=$O$1)),AND(NOT(ISBLANK(C5)),NOT(C5=$O$1)))</formula>
    </cfRule>
    <cfRule type="expression" dxfId="202" priority="4">
      <formula>OR(AND(NOT(ISBLANK(D5)),NOT(D5=$O$1)),AND(NOT(ISBLANK(C5)),NOT(C5=$O$1)))</formula>
    </cfRule>
  </conditionalFormatting>
  <conditionalFormatting sqref="F5">
    <cfRule type="expression" dxfId="201" priority="1">
      <formula>AND(AND(NOT(ISBLANK(G5)),NOT(G5=$O$1)),AND(NOT(ISBLANK(H5)),NOT(H5=$O$1)))</formula>
    </cfRule>
    <cfRule type="expression" dxfId="200" priority="2">
      <formula>OR(AND(NOT(ISBLANK(G5)),NOT(G5=$O$1)),AND(NOT(ISBLANK(H5)),NOT(H5=$O$1)))</formula>
    </cfRule>
  </conditionalFormatting>
  <dataValidations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27"/>
  <sheetViews>
    <sheetView tabSelected="1" view="pageBreakPreview" zoomScale="70" zoomScaleNormal="100" zoomScaleSheetLayoutView="70" workbookViewId="0">
      <selection activeCell="M3" sqref="M3"/>
    </sheetView>
  </sheetViews>
  <sheetFormatPr defaultRowHeight="15" x14ac:dyDescent="0.25"/>
  <cols>
    <col min="1" max="1" width="4.5703125" style="30" customWidth="1"/>
    <col min="2" max="2" width="29.5703125" style="30" customWidth="1"/>
    <col min="3" max="4" width="4.42578125" style="38" bestFit="1" customWidth="1"/>
    <col min="5" max="5" width="9.140625" style="30" customWidth="1"/>
    <col min="6" max="6" width="8.5703125" style="30" customWidth="1"/>
    <col min="7" max="7" width="4.42578125" style="38" bestFit="1" customWidth="1"/>
    <col min="8" max="8" width="5.285156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t="s">
        <v>105</v>
      </c>
      <c r="C1" s="38">
        <v>1</v>
      </c>
      <c r="J1" s="19"/>
      <c r="O1" s="20" t="s">
        <v>27</v>
      </c>
      <c r="P1" s="30">
        <v>10</v>
      </c>
      <c r="Q1" s="30">
        <v>20</v>
      </c>
      <c r="S1" s="30" t="s">
        <v>51</v>
      </c>
      <c r="X1" s="30" t="s">
        <v>54</v>
      </c>
      <c r="AA1"/>
      <c r="AB1"/>
      <c r="AC1"/>
      <c r="AD1"/>
      <c r="AE1"/>
      <c r="AG1" s="30" t="s">
        <v>36</v>
      </c>
    </row>
    <row r="2" spans="1:56" ht="18.75" x14ac:dyDescent="0.3">
      <c r="A2" s="1" t="str">
        <f>A1</f>
        <v>Бузмакова гардероб у входа</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48</v>
      </c>
      <c r="K3" s="66" t="s">
        <v>49</v>
      </c>
      <c r="L3" s="66" t="s">
        <v>50</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D3" s="3" t="s">
        <v>97</v>
      </c>
      <c r="AK3" s="18"/>
      <c r="AL3" s="18"/>
    </row>
    <row r="4" spans="1:56" x14ac:dyDescent="0.25">
      <c r="A4" s="9" t="str">
        <f t="shared" ref="A4:A13" si="0">CONCATENATE(O4,".",LEFT(J4))</f>
        <v>.0</v>
      </c>
      <c r="B4" s="32" t="str">
        <f t="shared" ref="B4:B13" si="1">CONCATENATE(IF(OR(Y4="Не определена",Y4,ISBLANK(Y4)),"↕",),IF(Y4="Не обязательна","±",),Q4,".",P4)</f>
        <v>↕.</v>
      </c>
      <c r="C4" s="54"/>
      <c r="D4" s="54"/>
      <c r="E4" s="48">
        <f t="shared" ref="E4:E13" si="2">IF(M4="скрутка",T4+$Q$1,IF(M4="склейка",T4+$Q$1,IF(M4="запил торца",ROUND(T4+$P$1,0),IF(M4="запил торцов",ROUND(T4+$P$1*2,0),T4))))+IF(G4=$O$1,$P$1,)+IF(H4=$O$1,$P$1,)</f>
        <v>0</v>
      </c>
      <c r="F4" s="48">
        <f t="shared" ref="F4:F13" si="3">IF(M4="скрутка",U4+$Q$1,IF(M4="склейка",U4+$Q$1,IF(M4="запил торца",ROUND(U4+$P$1,0),IF(M4="запил торцов",ROUND(U4+$P$1*2,0),U4))))+IF(C4=$O$1,$P$1,)+IF(D4=$O$1,$P$1,)</f>
        <v>0</v>
      </c>
      <c r="G4" s="54"/>
      <c r="H4" s="54"/>
      <c r="I4" s="49">
        <f t="shared" ref="I4:I13" si="4">IF(OR(M4="скрутка",M4="склейка"),Z4*2,Z4)</f>
        <v>0</v>
      </c>
      <c r="J4" s="53">
        <f t="shared" ref="J4:J13" si="5">X4</f>
        <v>0</v>
      </c>
      <c r="K4" s="52" t="str">
        <f t="shared" ref="K4:K13" si="6">IF(ISBLANK(AB4),"",AB4)</f>
        <v/>
      </c>
      <c r="L4" s="52" t="str">
        <f t="shared" ref="L4:L13" si="7">IF(ISBLANK(AC4),"",AC4)</f>
        <v/>
      </c>
      <c r="M4" s="51" t="str">
        <f t="shared" ref="M4:M13" si="8">IF(AA4="","",AA4)</f>
        <v/>
      </c>
      <c r="N4" s="30" t="str">
        <f t="shared" ref="N4:N13" si="9">CONCATENATE(IF(E4&lt;&gt;T4,"НеРавны",),IF(AND(NOT(ISBLANK(R4)),R4&lt;&gt;T4),"Д",),IF(AND(NOT(ISBLANK(S4)),S4&lt;&gt;U4),"Ш",))</f>
        <v/>
      </c>
      <c r="O4" s="22"/>
      <c r="P4" s="18"/>
      <c r="Q4" s="18"/>
      <c r="R4" s="18"/>
      <c r="S4" s="18"/>
      <c r="T4" s="3"/>
      <c r="U4" s="3"/>
      <c r="V4" s="23"/>
      <c r="W4" s="23"/>
      <c r="X4" s="26"/>
      <c r="Y4" s="18"/>
      <c r="Z4" s="18"/>
      <c r="AA4" s="18"/>
      <c r="AB4" s="18"/>
      <c r="AC4" s="18"/>
      <c r="AD4" s="18"/>
      <c r="BB4" s="30" t="s">
        <v>88</v>
      </c>
      <c r="BC4" s="30">
        <v>1</v>
      </c>
      <c r="BD4" s="30">
        <v>145</v>
      </c>
    </row>
    <row r="5" spans="1:56"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7"/>
        <v/>
      </c>
      <c r="M5" s="51" t="str">
        <f t="shared" si="8"/>
        <v/>
      </c>
      <c r="N5" s="30" t="str">
        <f t="shared" si="9"/>
        <v/>
      </c>
      <c r="O5" s="22"/>
      <c r="P5" s="18"/>
      <c r="Q5" s="18"/>
      <c r="R5" s="18"/>
      <c r="S5" s="18"/>
      <c r="T5" s="3"/>
      <c r="U5" s="3"/>
      <c r="V5" s="23"/>
      <c r="W5" s="23"/>
      <c r="X5" s="26"/>
      <c r="Y5" s="18"/>
      <c r="Z5" s="18"/>
      <c r="AA5" s="18"/>
      <c r="AB5" s="18"/>
      <c r="AC5" s="18"/>
      <c r="AD5" s="18"/>
      <c r="BB5" s="30" t="s">
        <v>94</v>
      </c>
      <c r="BC5" s="30">
        <v>1</v>
      </c>
      <c r="BD5" s="30">
        <v>156</v>
      </c>
    </row>
    <row r="6" spans="1:56"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7"/>
        <v/>
      </c>
      <c r="M6" s="51" t="str">
        <f t="shared" si="8"/>
        <v/>
      </c>
      <c r="N6" s="30" t="str">
        <f t="shared" si="9"/>
        <v/>
      </c>
      <c r="O6" s="22"/>
      <c r="P6" s="18"/>
      <c r="Q6" s="18"/>
      <c r="R6" s="18"/>
      <c r="S6" s="18"/>
      <c r="T6" s="3"/>
      <c r="U6" s="3"/>
      <c r="V6" s="23"/>
      <c r="W6" s="23"/>
      <c r="X6" s="18"/>
      <c r="Y6" s="18"/>
      <c r="Z6" s="18"/>
      <c r="AA6" s="18"/>
      <c r="AB6" s="18"/>
      <c r="AC6" s="18"/>
      <c r="AD6" s="18"/>
      <c r="BB6" s="30" t="s">
        <v>89</v>
      </c>
      <c r="BC6" s="30">
        <v>1</v>
      </c>
      <c r="BD6" s="30">
        <v>121</v>
      </c>
    </row>
    <row r="7" spans="1:56" x14ac:dyDescent="0.25">
      <c r="A7" s="9" t="str">
        <f t="shared" si="0"/>
        <v>.0</v>
      </c>
      <c r="B7" s="32" t="str">
        <f t="shared" si="1"/>
        <v>↕.</v>
      </c>
      <c r="C7" s="54"/>
      <c r="D7" s="54"/>
      <c r="E7" s="48">
        <f t="shared" si="2"/>
        <v>0</v>
      </c>
      <c r="F7" s="48">
        <f t="shared" si="3"/>
        <v>0</v>
      </c>
      <c r="G7" s="54"/>
      <c r="H7" s="54"/>
      <c r="I7" s="49">
        <f t="shared" si="4"/>
        <v>0</v>
      </c>
      <c r="J7" s="53">
        <f t="shared" si="5"/>
        <v>0</v>
      </c>
      <c r="K7" s="52" t="str">
        <f t="shared" si="6"/>
        <v/>
      </c>
      <c r="L7" s="52" t="str">
        <f t="shared" si="7"/>
        <v/>
      </c>
      <c r="M7" s="51" t="str">
        <f t="shared" si="8"/>
        <v/>
      </c>
      <c r="N7" s="30" t="str">
        <f t="shared" si="9"/>
        <v/>
      </c>
      <c r="O7" s="22"/>
      <c r="P7" s="18"/>
      <c r="Q7" s="18"/>
      <c r="R7" s="18"/>
      <c r="S7" s="18"/>
      <c r="T7" s="3"/>
      <c r="U7" s="3"/>
      <c r="V7" s="23"/>
      <c r="W7" s="23"/>
      <c r="X7" s="26"/>
      <c r="Y7" s="18"/>
      <c r="Z7" s="18"/>
      <c r="AA7" s="18"/>
      <c r="AB7" s="18"/>
      <c r="AC7" s="18"/>
      <c r="AD7" s="18"/>
      <c r="BB7" s="30" t="s">
        <v>95</v>
      </c>
      <c r="BC7" s="30">
        <v>1</v>
      </c>
      <c r="BD7" s="30">
        <v>75</v>
      </c>
    </row>
    <row r="8" spans="1:56" x14ac:dyDescent="0.25">
      <c r="A8" s="9" t="str">
        <f t="shared" si="0"/>
        <v>.0</v>
      </c>
      <c r="B8" s="32" t="str">
        <f t="shared" si="1"/>
        <v>↕.</v>
      </c>
      <c r="C8" s="54"/>
      <c r="D8" s="54"/>
      <c r="E8" s="48">
        <f t="shared" si="2"/>
        <v>0</v>
      </c>
      <c r="F8" s="48">
        <f t="shared" si="3"/>
        <v>0</v>
      </c>
      <c r="G8" s="54"/>
      <c r="H8" s="54"/>
      <c r="I8" s="49">
        <f t="shared" si="4"/>
        <v>0</v>
      </c>
      <c r="J8" s="53">
        <f t="shared" si="5"/>
        <v>0</v>
      </c>
      <c r="K8" s="52" t="str">
        <f t="shared" si="6"/>
        <v/>
      </c>
      <c r="L8" s="52" t="str">
        <f t="shared" si="7"/>
        <v/>
      </c>
      <c r="M8" s="51" t="str">
        <f t="shared" si="8"/>
        <v/>
      </c>
      <c r="N8" s="30" t="str">
        <f t="shared" si="9"/>
        <v/>
      </c>
      <c r="O8" s="22"/>
      <c r="P8" s="18"/>
      <c r="Q8" s="18"/>
      <c r="R8" s="18"/>
      <c r="S8" s="18"/>
      <c r="T8" s="3"/>
      <c r="U8" s="3"/>
      <c r="V8" s="23"/>
      <c r="W8" s="23"/>
      <c r="X8" s="18"/>
      <c r="Y8" s="18"/>
      <c r="Z8" s="18"/>
      <c r="AA8" s="18"/>
      <c r="AB8" s="18"/>
      <c r="AC8" s="18"/>
      <c r="AD8" s="18"/>
      <c r="BB8" s="30" t="s">
        <v>96</v>
      </c>
      <c r="BC8" s="30">
        <v>1</v>
      </c>
      <c r="BD8" s="30">
        <v>153</v>
      </c>
    </row>
    <row r="9" spans="1:56" x14ac:dyDescent="0.25">
      <c r="A9" s="9" t="str">
        <f t="shared" si="0"/>
        <v>.0</v>
      </c>
      <c r="B9" s="32" t="str">
        <f t="shared" si="1"/>
        <v>↕.</v>
      </c>
      <c r="C9" s="54"/>
      <c r="D9" s="54"/>
      <c r="E9" s="48">
        <f t="shared" si="2"/>
        <v>0</v>
      </c>
      <c r="F9" s="48">
        <f t="shared" si="3"/>
        <v>0</v>
      </c>
      <c r="G9" s="54"/>
      <c r="H9" s="54"/>
      <c r="I9" s="49">
        <f t="shared" si="4"/>
        <v>0</v>
      </c>
      <c r="J9" s="53">
        <f t="shared" si="5"/>
        <v>0</v>
      </c>
      <c r="K9" s="52" t="str">
        <f t="shared" si="6"/>
        <v/>
      </c>
      <c r="L9" s="52" t="str">
        <f t="shared" si="7"/>
        <v/>
      </c>
      <c r="M9" s="51" t="str">
        <f t="shared" si="8"/>
        <v/>
      </c>
      <c r="N9" s="30" t="str">
        <f t="shared" si="9"/>
        <v/>
      </c>
      <c r="O9" s="22"/>
      <c r="P9" s="18"/>
      <c r="Q9" s="18"/>
      <c r="R9" s="18"/>
      <c r="S9" s="18"/>
      <c r="T9" s="3"/>
      <c r="U9" s="3"/>
      <c r="V9" s="23"/>
      <c r="W9" s="23"/>
      <c r="X9" s="26"/>
      <c r="Y9" s="18"/>
      <c r="Z9" s="18"/>
      <c r="AA9" s="18"/>
      <c r="AB9" s="18"/>
      <c r="AC9" s="18"/>
      <c r="AD9" s="18"/>
      <c r="BB9" s="30" t="s">
        <v>93</v>
      </c>
      <c r="BC9" s="30">
        <v>1</v>
      </c>
      <c r="BD9" s="30">
        <v>149</v>
      </c>
    </row>
    <row r="10" spans="1:56" x14ac:dyDescent="0.25">
      <c r="A10" s="9" t="str">
        <f t="shared" si="0"/>
        <v>.0</v>
      </c>
      <c r="B10" s="32" t="str">
        <f t="shared" si="1"/>
        <v>↕.</v>
      </c>
      <c r="C10" s="54"/>
      <c r="D10" s="54"/>
      <c r="E10" s="48">
        <f t="shared" si="2"/>
        <v>0</v>
      </c>
      <c r="F10" s="48">
        <f t="shared" si="3"/>
        <v>0</v>
      </c>
      <c r="G10" s="54"/>
      <c r="H10" s="54"/>
      <c r="I10" s="49">
        <f t="shared" si="4"/>
        <v>0</v>
      </c>
      <c r="J10" s="53">
        <f t="shared" si="5"/>
        <v>0</v>
      </c>
      <c r="K10" s="52" t="str">
        <f t="shared" si="6"/>
        <v/>
      </c>
      <c r="L10" s="52" t="str">
        <f t="shared" si="7"/>
        <v/>
      </c>
      <c r="M10" s="51" t="str">
        <f t="shared" si="8"/>
        <v/>
      </c>
      <c r="N10" s="30" t="str">
        <f t="shared" si="9"/>
        <v/>
      </c>
      <c r="O10" s="22"/>
      <c r="P10" s="18"/>
      <c r="Q10" s="18"/>
      <c r="R10" s="18"/>
      <c r="S10" s="18"/>
      <c r="T10" s="3"/>
      <c r="U10" s="3"/>
      <c r="V10" s="23"/>
      <c r="W10" s="23"/>
      <c r="X10" s="26"/>
      <c r="Y10" s="18"/>
      <c r="Z10" s="18"/>
      <c r="AA10" s="18"/>
      <c r="AB10" s="18"/>
      <c r="AC10" s="18"/>
      <c r="AD10" s="18"/>
    </row>
    <row r="11" spans="1:56" x14ac:dyDescent="0.25">
      <c r="A11" s="9" t="str">
        <f t="shared" si="0"/>
        <v>.0</v>
      </c>
      <c r="B11" s="32" t="str">
        <f t="shared" si="1"/>
        <v>↕.</v>
      </c>
      <c r="C11" s="54"/>
      <c r="D11" s="54"/>
      <c r="E11" s="48">
        <f t="shared" si="2"/>
        <v>0</v>
      </c>
      <c r="F11" s="48">
        <f t="shared" si="3"/>
        <v>0</v>
      </c>
      <c r="G11" s="54"/>
      <c r="H11" s="54"/>
      <c r="I11" s="49">
        <f t="shared" si="4"/>
        <v>0</v>
      </c>
      <c r="J11" s="53">
        <f t="shared" si="5"/>
        <v>0</v>
      </c>
      <c r="K11" s="52" t="str">
        <f t="shared" si="6"/>
        <v/>
      </c>
      <c r="L11" s="52" t="str">
        <f t="shared" si="7"/>
        <v/>
      </c>
      <c r="M11" s="51" t="str">
        <f t="shared" si="8"/>
        <v/>
      </c>
      <c r="N11" s="30" t="str">
        <f t="shared" si="9"/>
        <v/>
      </c>
      <c r="O11" s="22"/>
      <c r="P11" s="18"/>
      <c r="Q11" s="18"/>
      <c r="R11" s="18"/>
      <c r="S11" s="18"/>
      <c r="T11" s="3"/>
      <c r="U11" s="3"/>
      <c r="V11" s="23"/>
      <c r="W11" s="23"/>
      <c r="X11" s="26"/>
      <c r="Y11" s="18"/>
      <c r="Z11" s="18"/>
      <c r="AA11" s="18"/>
      <c r="AB11" s="18"/>
      <c r="AC11" s="18"/>
      <c r="AD11" s="18"/>
    </row>
    <row r="12" spans="1:56" x14ac:dyDescent="0.25">
      <c r="A12" s="9" t="str">
        <f t="shared" si="0"/>
        <v>.0</v>
      </c>
      <c r="B12" s="32" t="str">
        <f t="shared" si="1"/>
        <v>↕.</v>
      </c>
      <c r="C12" s="54"/>
      <c r="D12" s="54"/>
      <c r="E12" s="48">
        <f t="shared" si="2"/>
        <v>0</v>
      </c>
      <c r="F12" s="48">
        <f t="shared" si="3"/>
        <v>0</v>
      </c>
      <c r="G12" s="54"/>
      <c r="H12" s="54"/>
      <c r="I12" s="49">
        <f t="shared" si="4"/>
        <v>0</v>
      </c>
      <c r="J12" s="53">
        <f t="shared" si="5"/>
        <v>0</v>
      </c>
      <c r="K12" s="52" t="str">
        <f t="shared" si="6"/>
        <v/>
      </c>
      <c r="L12" s="52" t="str">
        <f t="shared" si="7"/>
        <v/>
      </c>
      <c r="M12" s="51" t="str">
        <f t="shared" si="8"/>
        <v/>
      </c>
      <c r="N12" s="30" t="str">
        <f t="shared" si="9"/>
        <v/>
      </c>
      <c r="O12" s="22"/>
      <c r="P12" s="18"/>
      <c r="Q12" s="18"/>
      <c r="R12" s="18"/>
      <c r="S12" s="18"/>
      <c r="T12" s="3"/>
      <c r="U12" s="3"/>
      <c r="V12" s="23"/>
      <c r="W12" s="23"/>
      <c r="X12" s="26"/>
      <c r="Y12" s="18"/>
      <c r="Z12" s="18"/>
      <c r="AA12" s="18"/>
      <c r="AB12" s="18"/>
      <c r="AC12" s="18"/>
      <c r="AD12" s="18"/>
    </row>
    <row r="13" spans="1:56" x14ac:dyDescent="0.25">
      <c r="A13" s="9" t="str">
        <f t="shared" si="0"/>
        <v>.0</v>
      </c>
      <c r="B13" s="32" t="str">
        <f t="shared" si="1"/>
        <v>↕.</v>
      </c>
      <c r="C13" s="54"/>
      <c r="D13" s="54"/>
      <c r="E13" s="48">
        <f t="shared" si="2"/>
        <v>0</v>
      </c>
      <c r="F13" s="48">
        <f t="shared" si="3"/>
        <v>0</v>
      </c>
      <c r="G13" s="54"/>
      <c r="H13" s="54"/>
      <c r="I13" s="49">
        <f t="shared" si="4"/>
        <v>0</v>
      </c>
      <c r="J13" s="53">
        <f t="shared" si="5"/>
        <v>0</v>
      </c>
      <c r="K13" s="52" t="str">
        <f t="shared" si="6"/>
        <v/>
      </c>
      <c r="L13" s="52" t="str">
        <f t="shared" si="7"/>
        <v/>
      </c>
      <c r="M13" s="51" t="str">
        <f t="shared" si="8"/>
        <v/>
      </c>
      <c r="N13" s="30" t="str">
        <f t="shared" si="9"/>
        <v/>
      </c>
      <c r="O13" s="22"/>
      <c r="P13" s="18"/>
      <c r="Q13" s="18"/>
      <c r="R13" s="18"/>
      <c r="S13" s="18"/>
      <c r="T13" s="3"/>
      <c r="U13" s="3"/>
      <c r="V13" s="23"/>
      <c r="W13" s="23"/>
      <c r="X13" s="26"/>
      <c r="Y13" s="18"/>
      <c r="Z13" s="18"/>
      <c r="AA13" s="18"/>
      <c r="AB13" s="18"/>
      <c r="AC13" s="18"/>
      <c r="AD13" s="18"/>
    </row>
    <row r="14" spans="1:56" x14ac:dyDescent="0.25">
      <c r="A14" s="13"/>
      <c r="B14" s="34"/>
      <c r="C14" s="42"/>
      <c r="D14" s="42"/>
      <c r="E14" s="33"/>
      <c r="F14" s="33"/>
      <c r="G14" s="42"/>
      <c r="H14" s="45" t="s">
        <v>15</v>
      </c>
      <c r="I14" s="50">
        <f>SUM(I4:I13)</f>
        <v>0</v>
      </c>
      <c r="J14" s="35"/>
      <c r="K14" s="34"/>
      <c r="L14" s="34"/>
      <c r="M14" s="36"/>
      <c r="O14" s="24"/>
      <c r="V14" s="17"/>
      <c r="W14" s="17"/>
    </row>
    <row r="15" spans="1:56" ht="15" customHeight="1" x14ac:dyDescent="0.25">
      <c r="A15" s="34"/>
      <c r="B15" s="34"/>
      <c r="C15" s="42"/>
      <c r="D15" s="42"/>
      <c r="E15" s="33"/>
      <c r="F15" s="33"/>
      <c r="G15" s="42"/>
      <c r="H15" s="42"/>
      <c r="I15" s="25"/>
      <c r="J15" s="35"/>
      <c r="K15" s="34"/>
      <c r="L15" s="34"/>
      <c r="M15" s="36"/>
      <c r="O15" s="24"/>
      <c r="V15" s="17"/>
      <c r="W15" s="17"/>
    </row>
    <row r="16" spans="1:56" x14ac:dyDescent="0.25">
      <c r="A16" s="2" t="s">
        <v>8</v>
      </c>
      <c r="B16" s="13"/>
      <c r="C16" s="42"/>
      <c r="D16" s="42"/>
      <c r="E16" s="33"/>
      <c r="F16" s="33"/>
      <c r="G16" s="42"/>
      <c r="H16" s="42"/>
      <c r="I16" s="25"/>
      <c r="J16" s="37"/>
      <c r="K16" s="13"/>
      <c r="L16" s="13"/>
      <c r="M16" s="36"/>
      <c r="O16" s="24"/>
      <c r="V16" s="17"/>
      <c r="W16" s="17"/>
    </row>
    <row r="17" spans="1:29" x14ac:dyDescent="0.25">
      <c r="A17" s="30" t="s">
        <v>32</v>
      </c>
      <c r="B17" s="13"/>
      <c r="C17" s="42"/>
      <c r="D17" s="42"/>
      <c r="E17" s="33"/>
      <c r="F17" s="33"/>
      <c r="G17" s="42"/>
      <c r="H17" s="42"/>
      <c r="I17" s="25"/>
      <c r="J17" s="37"/>
      <c r="K17" s="13"/>
      <c r="L17" s="13"/>
      <c r="M17" s="36"/>
      <c r="O17" s="24"/>
      <c r="V17" s="17"/>
      <c r="W17" s="17"/>
    </row>
    <row r="18" spans="1:29" x14ac:dyDescent="0.25">
      <c r="A18" s="13" t="s">
        <v>33</v>
      </c>
    </row>
    <row r="19" spans="1:29" x14ac:dyDescent="0.25">
      <c r="A19" s="13" t="s">
        <v>16</v>
      </c>
    </row>
    <row r="20" spans="1:29" x14ac:dyDescent="0.25">
      <c r="A20" s="13" t="s">
        <v>28</v>
      </c>
    </row>
    <row r="21" spans="1:29" x14ac:dyDescent="0.25">
      <c r="A21" s="13"/>
    </row>
    <row r="22" spans="1:29" ht="18.75" x14ac:dyDescent="0.3">
      <c r="A22" s="1" t="str">
        <f>CONCATENATE(A2, ". Соответствие кромки и ДСП")</f>
        <v>Бузмакова гардероб у входа. Соответствие кромки и ДСП</v>
      </c>
      <c r="N22" s="30" t="s">
        <v>35</v>
      </c>
    </row>
    <row r="23" spans="1:29" x14ac:dyDescent="0.25">
      <c r="A23" s="3" t="s">
        <v>6</v>
      </c>
      <c r="B23" s="4" t="s">
        <v>14</v>
      </c>
      <c r="C23" s="40"/>
      <c r="D23" s="60"/>
      <c r="E23" s="61"/>
      <c r="F23" s="5"/>
      <c r="G23" s="44"/>
      <c r="H23" s="57" t="s">
        <v>31</v>
      </c>
      <c r="I23" s="58" t="s">
        <v>30</v>
      </c>
      <c r="J23" s="3" t="s">
        <v>13</v>
      </c>
      <c r="K23" s="3" t="s">
        <v>52</v>
      </c>
      <c r="L23" s="55"/>
      <c r="M23" s="56"/>
    </row>
    <row r="24" spans="1:29" x14ac:dyDescent="0.25">
      <c r="A24" s="3"/>
      <c r="B24" s="4"/>
      <c r="C24" s="46"/>
      <c r="D24" s="62"/>
      <c r="E24" s="63"/>
      <c r="F24" s="5"/>
      <c r="G24" s="43"/>
      <c r="H24" s="59"/>
      <c r="I24" s="18"/>
      <c r="J24" s="3"/>
      <c r="K24" s="3"/>
      <c r="L24" s="55"/>
      <c r="M24" s="56"/>
    </row>
    <row r="25" spans="1:29" x14ac:dyDescent="0.25">
      <c r="A25" s="3"/>
      <c r="B25" s="4"/>
      <c r="C25" s="46"/>
      <c r="D25" s="62"/>
      <c r="E25" s="63"/>
      <c r="F25" s="5"/>
      <c r="G25" s="43"/>
      <c r="H25" s="59"/>
      <c r="I25" s="18"/>
      <c r="J25" s="80"/>
      <c r="K25" s="3"/>
      <c r="L25" s="55"/>
      <c r="M25" s="56"/>
    </row>
    <row r="26" spans="1:29" ht="18.75" x14ac:dyDescent="0.3">
      <c r="A26" s="1" t="str">
        <f>CONCATENATE(A2, ". Стекло")</f>
        <v>Бузмакова гардероб у входа. Стекло</v>
      </c>
    </row>
    <row r="27" spans="1:29" x14ac:dyDescent="0.25">
      <c r="A27" s="3" t="s">
        <v>6</v>
      </c>
      <c r="B27" s="4" t="s">
        <v>5</v>
      </c>
      <c r="C27" s="39" t="s">
        <v>9</v>
      </c>
      <c r="D27" s="40" t="s">
        <v>11</v>
      </c>
      <c r="E27" s="6" t="s">
        <v>1</v>
      </c>
      <c r="F27" s="7" t="s">
        <v>0</v>
      </c>
      <c r="G27" s="40" t="s">
        <v>10</v>
      </c>
      <c r="H27" s="44" t="s">
        <v>12</v>
      </c>
      <c r="I27" s="8" t="s">
        <v>2</v>
      </c>
      <c r="J27" s="3" t="s">
        <v>3</v>
      </c>
      <c r="K27" s="4"/>
      <c r="L27" s="4"/>
      <c r="M27" s="3" t="s">
        <v>4</v>
      </c>
    </row>
    <row r="28" spans="1:29" x14ac:dyDescent="0.25">
      <c r="A28" s="9"/>
      <c r="B28" s="32"/>
      <c r="C28" s="41"/>
      <c r="D28" s="41"/>
      <c r="E28" s="14"/>
      <c r="F28" s="14"/>
      <c r="G28" s="41"/>
      <c r="H28" s="41"/>
      <c r="I28" s="10"/>
      <c r="J28" s="11"/>
      <c r="K28" s="32"/>
      <c r="L28" s="32"/>
      <c r="M28" s="28"/>
      <c r="O28" s="22"/>
      <c r="P28" s="18"/>
      <c r="Q28" s="18"/>
      <c r="R28" s="18"/>
      <c r="S28" s="18"/>
      <c r="T28" s="3"/>
      <c r="U28" s="3"/>
      <c r="V28" s="23"/>
      <c r="W28" s="23"/>
      <c r="X28" s="18"/>
      <c r="Y28" s="18"/>
      <c r="Z28" s="18"/>
      <c r="AA28" s="18"/>
      <c r="AB28" s="18"/>
      <c r="AC28" s="18"/>
    </row>
    <row r="29" spans="1:29" x14ac:dyDescent="0.25">
      <c r="A29" s="9"/>
      <c r="B29" s="32"/>
      <c r="C29" s="41"/>
      <c r="D29" s="41"/>
      <c r="E29" s="14"/>
      <c r="F29" s="14"/>
      <c r="G29" s="41"/>
      <c r="H29" s="41"/>
      <c r="I29" s="10"/>
      <c r="J29" s="11"/>
      <c r="K29" s="32"/>
      <c r="L29" s="32"/>
      <c r="M29" s="28"/>
      <c r="O29" s="22"/>
      <c r="P29" s="18"/>
      <c r="Q29" s="18"/>
      <c r="R29" s="18"/>
      <c r="S29" s="18"/>
      <c r="T29" s="3"/>
      <c r="U29" s="3"/>
      <c r="V29" s="23"/>
      <c r="W29" s="23"/>
      <c r="X29" s="18"/>
      <c r="Y29" s="18"/>
      <c r="Z29" s="18"/>
      <c r="AA29" s="18"/>
      <c r="AB29" s="18"/>
      <c r="AC29" s="18"/>
    </row>
    <row r="30" spans="1:29" x14ac:dyDescent="0.25">
      <c r="A30" s="9"/>
      <c r="B30" s="32"/>
      <c r="C30" s="41"/>
      <c r="D30" s="41"/>
      <c r="E30" s="14"/>
      <c r="F30" s="14"/>
      <c r="G30" s="41"/>
      <c r="H30" s="41"/>
      <c r="I30" s="10"/>
      <c r="J30" s="11"/>
      <c r="K30" s="32"/>
      <c r="L30" s="32"/>
      <c r="M30" s="28"/>
      <c r="O30" s="22"/>
      <c r="P30" s="18"/>
      <c r="Q30" s="18"/>
      <c r="R30" s="18"/>
      <c r="S30" s="18"/>
      <c r="T30" s="3"/>
      <c r="U30" s="3"/>
      <c r="V30" s="23"/>
      <c r="W30" s="23"/>
      <c r="X30" s="18"/>
      <c r="Y30" s="18"/>
      <c r="Z30" s="18"/>
      <c r="AA30" s="18"/>
      <c r="AB30" s="18"/>
      <c r="AC30" s="18"/>
    </row>
    <row r="31" spans="1:29" x14ac:dyDescent="0.25">
      <c r="A31" s="9"/>
      <c r="B31" s="32"/>
      <c r="C31" s="41"/>
      <c r="D31" s="41"/>
      <c r="E31" s="14"/>
      <c r="F31" s="14"/>
      <c r="G31" s="41"/>
      <c r="H31" s="41"/>
      <c r="I31" s="10"/>
      <c r="J31" s="11"/>
      <c r="K31" s="32"/>
      <c r="L31" s="32"/>
      <c r="M31" s="28"/>
      <c r="O31" s="22"/>
      <c r="P31" s="18"/>
      <c r="Q31" s="18"/>
      <c r="R31" s="18"/>
      <c r="S31" s="18"/>
      <c r="T31" s="3"/>
      <c r="U31" s="3"/>
      <c r="V31" s="23"/>
      <c r="W31" s="23"/>
      <c r="X31" s="18"/>
      <c r="Y31" s="18"/>
      <c r="Z31" s="18"/>
      <c r="AA31" s="18"/>
      <c r="AB31" s="18"/>
      <c r="AC31" s="18"/>
    </row>
    <row r="32" spans="1:29" x14ac:dyDescent="0.25">
      <c r="A32" s="9"/>
      <c r="B32" s="32"/>
      <c r="C32" s="41"/>
      <c r="D32" s="41"/>
      <c r="E32" s="14"/>
      <c r="F32" s="14"/>
      <c r="G32" s="41"/>
      <c r="H32" s="41"/>
      <c r="I32" s="10"/>
      <c r="J32" s="11"/>
      <c r="K32" s="32"/>
      <c r="L32" s="32"/>
      <c r="M32" s="28"/>
      <c r="O32" s="22"/>
      <c r="P32" s="18"/>
      <c r="Q32" s="18"/>
      <c r="R32" s="18"/>
      <c r="S32" s="18"/>
      <c r="T32" s="3"/>
      <c r="U32" s="3"/>
      <c r="V32" s="23"/>
      <c r="W32" s="23"/>
      <c r="X32" s="18"/>
      <c r="Y32" s="18"/>
      <c r="Z32" s="18"/>
      <c r="AA32" s="18"/>
      <c r="AB32" s="18"/>
      <c r="AC32" s="18"/>
    </row>
    <row r="33" spans="1:29" x14ac:dyDescent="0.25">
      <c r="A33" s="13"/>
      <c r="B33" s="9"/>
      <c r="C33" s="41"/>
      <c r="D33" s="41"/>
      <c r="E33" s="14"/>
      <c r="F33" s="14"/>
      <c r="G33" s="41"/>
      <c r="H33" s="45" t="s">
        <v>15</v>
      </c>
      <c r="I33" s="25">
        <f>SUM(I28:I32)</f>
        <v>0</v>
      </c>
      <c r="J33" s="11"/>
      <c r="K33" s="9"/>
      <c r="L33" s="9"/>
      <c r="M33" s="12"/>
      <c r="O33" s="24"/>
      <c r="V33" s="17"/>
      <c r="W33" s="17"/>
    </row>
    <row r="34" spans="1:29" x14ac:dyDescent="0.25">
      <c r="A34" s="16" t="s">
        <v>8</v>
      </c>
      <c r="B34" s="9"/>
      <c r="C34" s="41"/>
      <c r="D34" s="41"/>
      <c r="E34" s="14"/>
      <c r="F34" s="14"/>
      <c r="G34" s="41"/>
      <c r="H34" s="41"/>
      <c r="I34" s="10"/>
      <c r="J34" s="15"/>
      <c r="K34" s="9"/>
      <c r="L34" s="9"/>
      <c r="M34" s="12"/>
    </row>
    <row r="35" spans="1:29" x14ac:dyDescent="0.25">
      <c r="A35" s="13" t="s">
        <v>40</v>
      </c>
      <c r="B35" s="9"/>
      <c r="C35" s="41"/>
      <c r="D35" s="41"/>
      <c r="E35" s="14"/>
      <c r="F35" s="14"/>
      <c r="G35" s="41"/>
      <c r="H35" s="41"/>
      <c r="I35" s="10"/>
      <c r="J35" s="15"/>
      <c r="K35" s="9"/>
      <c r="L35" s="9"/>
      <c r="M35" s="12"/>
    </row>
    <row r="37" spans="1:29" ht="18.75" x14ac:dyDescent="0.3">
      <c r="A37" s="1" t="str">
        <f>CONCATENATE(A2, ". Пластик")</f>
        <v>Бузмакова гардероб у входа. Пластик</v>
      </c>
    </row>
    <row r="38" spans="1:29" x14ac:dyDescent="0.25">
      <c r="A38" s="3" t="s">
        <v>6</v>
      </c>
      <c r="B38" s="4" t="s">
        <v>5</v>
      </c>
      <c r="C38" s="39" t="s">
        <v>9</v>
      </c>
      <c r="D38" s="40" t="s">
        <v>11</v>
      </c>
      <c r="E38" s="6" t="s">
        <v>1</v>
      </c>
      <c r="F38" s="7" t="s">
        <v>0</v>
      </c>
      <c r="G38" s="40" t="s">
        <v>10</v>
      </c>
      <c r="H38" s="44" t="s">
        <v>12</v>
      </c>
      <c r="I38" s="8" t="s">
        <v>2</v>
      </c>
      <c r="J38" s="3" t="s">
        <v>3</v>
      </c>
      <c r="K38" s="4"/>
      <c r="L38" s="4"/>
      <c r="M38" s="3" t="s">
        <v>4</v>
      </c>
    </row>
    <row r="39" spans="1:29" x14ac:dyDescent="0.25">
      <c r="A39" s="9"/>
      <c r="B39" s="32"/>
      <c r="C39" s="41"/>
      <c r="D39" s="41"/>
      <c r="E39" s="14"/>
      <c r="F39" s="14"/>
      <c r="G39" s="41"/>
      <c r="H39" s="41"/>
      <c r="I39" s="10"/>
      <c r="J39" s="11"/>
      <c r="K39" s="32"/>
      <c r="L39" s="32"/>
      <c r="M39" s="28"/>
      <c r="O39" s="22"/>
      <c r="P39" s="18"/>
      <c r="Q39" s="18"/>
      <c r="R39" s="18"/>
      <c r="S39" s="18"/>
      <c r="T39" s="3"/>
      <c r="U39" s="3"/>
      <c r="V39" s="23"/>
      <c r="W39" s="23"/>
      <c r="X39" s="18"/>
      <c r="Y39" s="18"/>
      <c r="Z39" s="18"/>
      <c r="AA39" s="18"/>
      <c r="AB39" s="18"/>
      <c r="AC39" s="18"/>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15"/>
      <c r="L41" s="15"/>
      <c r="M41" s="11"/>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15"/>
      <c r="L42" s="15"/>
      <c r="M42" s="11"/>
      <c r="O42" s="22"/>
      <c r="P42" s="18"/>
      <c r="Q42" s="18"/>
      <c r="R42" s="18"/>
      <c r="S42" s="18"/>
      <c r="T42" s="3"/>
      <c r="U42" s="3"/>
      <c r="V42" s="23"/>
      <c r="W42" s="23"/>
      <c r="X42" s="18"/>
      <c r="Y42" s="18"/>
      <c r="Z42" s="18"/>
      <c r="AA42" s="18"/>
      <c r="AB42" s="18"/>
      <c r="AC42" s="18"/>
    </row>
    <row r="43" spans="1:29" x14ac:dyDescent="0.25">
      <c r="A43" s="9"/>
      <c r="B43" s="32"/>
      <c r="C43" s="41"/>
      <c r="D43" s="41"/>
      <c r="E43" s="14"/>
      <c r="F43" s="14"/>
      <c r="G43" s="41"/>
      <c r="H43" s="41"/>
      <c r="I43" s="10"/>
      <c r="J43" s="11"/>
      <c r="K43" s="15"/>
      <c r="L43" s="15"/>
      <c r="M43" s="11"/>
      <c r="O43" s="22"/>
      <c r="P43" s="18"/>
      <c r="Q43" s="18"/>
      <c r="R43" s="18"/>
      <c r="S43" s="18"/>
      <c r="T43" s="3"/>
      <c r="U43" s="3"/>
      <c r="V43" s="23"/>
      <c r="W43" s="23"/>
      <c r="X43" s="18"/>
      <c r="Y43" s="18"/>
      <c r="Z43" s="18"/>
      <c r="AA43" s="18"/>
      <c r="AB43" s="18"/>
      <c r="AC43" s="18"/>
    </row>
    <row r="44" spans="1:29" x14ac:dyDescent="0.25">
      <c r="A44" s="9"/>
      <c r="B44" s="32"/>
      <c r="C44" s="41"/>
      <c r="D44" s="41"/>
      <c r="E44" s="14"/>
      <c r="F44" s="14"/>
      <c r="G44" s="41"/>
      <c r="H44" s="41"/>
      <c r="I44" s="10"/>
      <c r="J44" s="11"/>
      <c r="K44" s="15"/>
      <c r="L44" s="15"/>
      <c r="M44" s="11"/>
      <c r="O44" s="22"/>
      <c r="P44" s="18"/>
      <c r="Q44" s="18"/>
      <c r="R44" s="18"/>
      <c r="S44" s="18"/>
      <c r="T44" s="3"/>
      <c r="U44" s="3"/>
      <c r="V44" s="23"/>
      <c r="W44" s="23"/>
      <c r="X44" s="18"/>
      <c r="Y44" s="18"/>
      <c r="Z44" s="18"/>
      <c r="AA44" s="18"/>
      <c r="AB44" s="18"/>
      <c r="AC44" s="18"/>
    </row>
    <row r="45" spans="1:29" x14ac:dyDescent="0.25">
      <c r="A45" s="9"/>
      <c r="B45" s="32"/>
      <c r="C45" s="41"/>
      <c r="D45" s="41"/>
      <c r="E45" s="14"/>
      <c r="F45" s="14"/>
      <c r="G45" s="41"/>
      <c r="H45" s="41"/>
      <c r="I45" s="10"/>
      <c r="J45" s="11"/>
      <c r="K45" s="15"/>
      <c r="L45" s="15"/>
      <c r="M45" s="11"/>
      <c r="O45" s="22"/>
      <c r="P45" s="18"/>
      <c r="Q45" s="18"/>
      <c r="R45" s="18"/>
      <c r="S45" s="18"/>
      <c r="T45" s="3"/>
      <c r="U45" s="3"/>
      <c r="V45" s="23"/>
      <c r="W45" s="23"/>
      <c r="X45" s="18"/>
      <c r="Y45" s="18"/>
      <c r="Z45" s="18"/>
      <c r="AA45" s="18"/>
      <c r="AB45" s="18"/>
      <c r="AC45" s="18"/>
    </row>
    <row r="46" spans="1:29" x14ac:dyDescent="0.25">
      <c r="A46" s="9"/>
      <c r="B46" s="32"/>
      <c r="C46" s="41"/>
      <c r="D46" s="41"/>
      <c r="E46" s="14"/>
      <c r="F46" s="14"/>
      <c r="G46" s="41"/>
      <c r="H46" s="41"/>
      <c r="I46" s="10"/>
      <c r="J46" s="11"/>
      <c r="K46" s="15"/>
      <c r="L46" s="15"/>
      <c r="M46" s="11"/>
      <c r="O46" s="22"/>
      <c r="P46" s="18"/>
      <c r="Q46" s="18"/>
      <c r="R46" s="18"/>
      <c r="S46" s="18"/>
      <c r="T46" s="3"/>
      <c r="U46" s="3"/>
      <c r="V46" s="23"/>
      <c r="W46" s="23"/>
      <c r="X46" s="18"/>
      <c r="Y46" s="18"/>
      <c r="Z46" s="18"/>
      <c r="AA46" s="18"/>
      <c r="AB46" s="18"/>
      <c r="AC46" s="18"/>
    </row>
    <row r="47" spans="1:29" x14ac:dyDescent="0.25">
      <c r="A47" s="9"/>
      <c r="B47" s="32"/>
      <c r="C47" s="41"/>
      <c r="D47" s="41"/>
      <c r="E47" s="14"/>
      <c r="F47" s="14"/>
      <c r="G47" s="41"/>
      <c r="H47" s="41"/>
      <c r="I47" s="10"/>
      <c r="J47" s="11"/>
      <c r="K47" s="15"/>
      <c r="L47" s="15"/>
      <c r="M47" s="11"/>
      <c r="O47" s="22"/>
      <c r="P47" s="18"/>
      <c r="Q47" s="18"/>
      <c r="R47" s="18"/>
      <c r="S47" s="18"/>
      <c r="T47" s="3"/>
      <c r="U47" s="3"/>
      <c r="V47" s="23"/>
      <c r="W47" s="23"/>
      <c r="X47" s="18"/>
      <c r="Y47" s="18"/>
      <c r="Z47" s="18"/>
      <c r="AA47" s="18"/>
      <c r="AB47" s="18"/>
      <c r="AC47" s="18"/>
    </row>
    <row r="48" spans="1:29" x14ac:dyDescent="0.25">
      <c r="A48" s="9"/>
      <c r="B48" s="32"/>
      <c r="C48" s="41"/>
      <c r="D48" s="41"/>
      <c r="E48" s="14"/>
      <c r="F48" s="14"/>
      <c r="G48" s="41"/>
      <c r="H48" s="41"/>
      <c r="I48" s="10"/>
      <c r="J48" s="11"/>
      <c r="K48" s="15"/>
      <c r="L48" s="15"/>
      <c r="M48" s="11"/>
      <c r="O48" s="22"/>
      <c r="P48" s="18"/>
      <c r="Q48" s="18"/>
      <c r="R48" s="18"/>
      <c r="S48" s="18"/>
      <c r="T48" s="3"/>
      <c r="U48" s="3"/>
      <c r="V48" s="23"/>
      <c r="W48" s="23"/>
      <c r="X48" s="18"/>
      <c r="Y48" s="18"/>
      <c r="Z48" s="18"/>
      <c r="AA48" s="18"/>
      <c r="AB48" s="18"/>
      <c r="AC48" s="18"/>
    </row>
    <row r="49" spans="1:57" x14ac:dyDescent="0.25">
      <c r="A49" s="13"/>
      <c r="B49" s="9"/>
      <c r="C49" s="41"/>
      <c r="D49" s="41"/>
      <c r="E49" s="14"/>
      <c r="F49" s="14"/>
      <c r="G49" s="41"/>
      <c r="H49" s="45" t="s">
        <v>15</v>
      </c>
      <c r="I49" s="25">
        <f>SUM(I39:I48)</f>
        <v>0</v>
      </c>
      <c r="J49" s="11"/>
      <c r="K49" s="9"/>
      <c r="L49" s="9"/>
      <c r="M49" s="12"/>
    </row>
    <row r="50" spans="1:57" x14ac:dyDescent="0.25">
      <c r="A50" s="16" t="s">
        <v>8</v>
      </c>
      <c r="B50" s="9"/>
      <c r="C50" s="41"/>
      <c r="D50" s="41"/>
      <c r="E50" s="14"/>
      <c r="F50" s="14"/>
      <c r="G50" s="41"/>
      <c r="H50" s="41"/>
      <c r="I50" s="10"/>
      <c r="J50" s="15"/>
      <c r="K50" s="9"/>
      <c r="L50" s="9"/>
      <c r="M50" s="12"/>
    </row>
    <row r="51" spans="1:57" x14ac:dyDescent="0.25">
      <c r="A51" s="13" t="s">
        <v>40</v>
      </c>
      <c r="B51" s="9"/>
      <c r="C51" s="41"/>
      <c r="D51" s="41"/>
      <c r="E51" s="14"/>
      <c r="F51" s="14"/>
      <c r="G51" s="41"/>
      <c r="H51" s="41"/>
      <c r="I51" s="10"/>
      <c r="J51" s="15"/>
      <c r="K51" s="9"/>
      <c r="L51" s="9"/>
      <c r="M51" s="12"/>
    </row>
    <row r="56" spans="1:57" ht="18.75" x14ac:dyDescent="0.3">
      <c r="A56" s="1" t="s">
        <v>29</v>
      </c>
    </row>
    <row r="57" spans="1:57" x14ac:dyDescent="0.25">
      <c r="A57" s="30" t="s">
        <v>37</v>
      </c>
    </row>
    <row r="58" spans="1:57" x14ac:dyDescent="0.25">
      <c r="M58" s="30"/>
      <c r="T58" s="30"/>
      <c r="U58" s="30"/>
    </row>
    <row r="59" spans="1:57" x14ac:dyDescent="0.25">
      <c r="M59" s="30"/>
      <c r="T59" s="30"/>
      <c r="U59" s="30"/>
    </row>
    <row r="60" spans="1:57" x14ac:dyDescent="0.25">
      <c r="M60" s="30"/>
      <c r="T60" s="30"/>
      <c r="U60" s="30"/>
    </row>
    <row r="61" spans="1:57"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row>
    <row r="63" spans="1:57"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row>
    <row r="64" spans="1:57"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row>
    <row r="65" spans="1:8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row>
    <row r="66" spans="1:8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row>
    <row r="67" spans="1:8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row>
    <row r="68" spans="1:8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row>
    <row r="69" spans="1:8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row>
    <row r="70" spans="1:8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row>
    <row r="72" spans="1:8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sheetData>
  <sortState xmlns:xlrd2="http://schemas.microsoft.com/office/spreadsheetml/2017/richdata2" ref="A4:AC13">
    <sortCondition ref="Q4:Q13"/>
    <sortCondition ref="X4:X13"/>
    <sortCondition ref="P4:P13"/>
  </sortState>
  <phoneticPr fontId="10" type="noConversion"/>
  <conditionalFormatting sqref="C48">
    <cfRule type="expression" dxfId="199" priority="20594" stopIfTrue="1">
      <formula>AND(NOT(ISBLANK(C48)),NOT(_xlfn.ISFORMULA(C48)))</formula>
    </cfRule>
  </conditionalFormatting>
  <conditionalFormatting sqref="D48">
    <cfRule type="expression" dxfId="198" priority="20593" stopIfTrue="1">
      <formula>AND(NOT(ISBLANK(D48)),NOT(_xlfn.ISFORMULA(D48)))</formula>
    </cfRule>
  </conditionalFormatting>
  <conditionalFormatting sqref="G48">
    <cfRule type="expression" dxfId="197" priority="20592" stopIfTrue="1">
      <formula>AND(NOT(ISBLANK(G48)),NOT(_xlfn.ISFORMULA(G48)))</formula>
    </cfRule>
  </conditionalFormatting>
  <conditionalFormatting sqref="H48">
    <cfRule type="expression" dxfId="196" priority="20591" stopIfTrue="1">
      <formula>AND(NOT(ISBLANK(H48)),NOT(_xlfn.ISFORMULA(H48)))</formula>
    </cfRule>
  </conditionalFormatting>
  <conditionalFormatting sqref="D39">
    <cfRule type="expression" dxfId="195" priority="20709" stopIfTrue="1">
      <formula>AND(NOT(ISBLANK(D39)),NOT(_xlfn.ISFORMULA(D39)))</formula>
    </cfRule>
  </conditionalFormatting>
  <conditionalFormatting sqref="G39">
    <cfRule type="expression" dxfId="194" priority="20708" stopIfTrue="1">
      <formula>AND(NOT(ISBLANK(G39)),NOT(_xlfn.ISFORMULA(G39)))</formula>
    </cfRule>
  </conditionalFormatting>
  <conditionalFormatting sqref="H39">
    <cfRule type="expression" dxfId="193" priority="20707" stopIfTrue="1">
      <formula>AND(NOT(ISBLANK(H39)),NOT(_xlfn.ISFORMULA(H39)))</formula>
    </cfRule>
  </conditionalFormatting>
  <conditionalFormatting sqref="E28">
    <cfRule type="expression" dxfId="192" priority="20705">
      <formula>AND(AND(NOT(ISBLANK(D28)),NOT(D28=$O$1)),AND(NOT(ISBLANK(C28)),NOT(C28=$O$1)))</formula>
    </cfRule>
    <cfRule type="expression" dxfId="191" priority="20706">
      <formula>OR(AND(NOT(ISBLANK(D28)),NOT(D28=$O$1)),AND(NOT(ISBLANK(C28)),NOT(C28=$O$1)))</formula>
    </cfRule>
  </conditionalFormatting>
  <conditionalFormatting sqref="F28">
    <cfRule type="expression" dxfId="190" priority="20703">
      <formula>AND(AND(NOT(ISBLANK(G28)),NOT(G28=$O$1)),AND(NOT(ISBLANK(H28)),NOT(H28=$O$1)))</formula>
    </cfRule>
    <cfRule type="expression" dxfId="189" priority="20704">
      <formula>OR(AND(NOT(ISBLANK(G28)),NOT(G28=$O$1)),AND(NOT(ISBLANK(H28)),NOT(H28=$O$1)))</formula>
    </cfRule>
  </conditionalFormatting>
  <conditionalFormatting sqref="C28">
    <cfRule type="expression" dxfId="188" priority="20702" stopIfTrue="1">
      <formula>AND(NOT(ISBLANK(C28)),NOT(_xlfn.ISFORMULA(C28)))</formula>
    </cfRule>
  </conditionalFormatting>
  <conditionalFormatting sqref="D28">
    <cfRule type="expression" dxfId="187" priority="20701" stopIfTrue="1">
      <formula>AND(NOT(ISBLANK(D28)),NOT(_xlfn.ISFORMULA(D28)))</formula>
    </cfRule>
  </conditionalFormatting>
  <conditionalFormatting sqref="G28">
    <cfRule type="expression" dxfId="186" priority="20700" stopIfTrue="1">
      <formula>AND(NOT(ISBLANK(G28)),NOT(_xlfn.ISFORMULA(G28)))</formula>
    </cfRule>
  </conditionalFormatting>
  <conditionalFormatting sqref="H28">
    <cfRule type="expression" dxfId="185" priority="20699" stopIfTrue="1">
      <formula>AND(NOT(ISBLANK(H28)),NOT(_xlfn.ISFORMULA(H28)))</formula>
    </cfRule>
  </conditionalFormatting>
  <conditionalFormatting sqref="E39">
    <cfRule type="expression" dxfId="184" priority="20713">
      <formula>AND(AND(NOT(ISBLANK(D39)),NOT(D39=$O$1)),AND(NOT(ISBLANK(C39)),NOT(C39=$O$1)))</formula>
    </cfRule>
    <cfRule type="expression" dxfId="183" priority="20714">
      <formula>OR(AND(NOT(ISBLANK(D39)),NOT(D39=$O$1)),AND(NOT(ISBLANK(C39)),NOT(C39=$O$1)))</formula>
    </cfRule>
  </conditionalFormatting>
  <conditionalFormatting sqref="F39">
    <cfRule type="expression" dxfId="182" priority="20711">
      <formula>AND(AND(NOT(ISBLANK(G39)),NOT(G39=$O$1)),AND(NOT(ISBLANK(H39)),NOT(H39=$O$1)))</formula>
    </cfRule>
    <cfRule type="expression" dxfId="181" priority="20712">
      <formula>OR(AND(NOT(ISBLANK(G39)),NOT(G39=$O$1)),AND(NOT(ISBLANK(H39)),NOT(H39=$O$1)))</formula>
    </cfRule>
  </conditionalFormatting>
  <conditionalFormatting sqref="C39">
    <cfRule type="expression" dxfId="180" priority="20710" stopIfTrue="1">
      <formula>AND(NOT(ISBLANK(C39)),NOT(_xlfn.ISFORMULA(C39)))</formula>
    </cfRule>
  </conditionalFormatting>
  <conditionalFormatting sqref="E40">
    <cfRule type="expression" dxfId="179" priority="20697">
      <formula>AND(AND(NOT(ISBLANK(D40)),NOT(D40=$O$1)),AND(NOT(ISBLANK(C40)),NOT(C40=$O$1)))</formula>
    </cfRule>
    <cfRule type="expression" dxfId="178" priority="20698">
      <formula>OR(AND(NOT(ISBLANK(D40)),NOT(D40=$O$1)),AND(NOT(ISBLANK(C40)),NOT(C40=$O$1)))</formula>
    </cfRule>
  </conditionalFormatting>
  <conditionalFormatting sqref="F40">
    <cfRule type="expression" dxfId="177" priority="20695">
      <formula>AND(AND(NOT(ISBLANK(G40)),NOT(G40=$O$1)),AND(NOT(ISBLANK(H40)),NOT(H40=$O$1)))</formula>
    </cfRule>
    <cfRule type="expression" dxfId="176" priority="20696">
      <formula>OR(AND(NOT(ISBLANK(G40)),NOT(G40=$O$1)),AND(NOT(ISBLANK(H40)),NOT(H40=$O$1)))</formula>
    </cfRule>
  </conditionalFormatting>
  <conditionalFormatting sqref="C40">
    <cfRule type="expression" dxfId="175" priority="20694" stopIfTrue="1">
      <formula>AND(NOT(ISBLANK(C40)),NOT(_xlfn.ISFORMULA(C40)))</formula>
    </cfRule>
  </conditionalFormatting>
  <conditionalFormatting sqref="D40">
    <cfRule type="expression" dxfId="174" priority="20693" stopIfTrue="1">
      <formula>AND(NOT(ISBLANK(D40)),NOT(_xlfn.ISFORMULA(D40)))</formula>
    </cfRule>
  </conditionalFormatting>
  <conditionalFormatting sqref="G40">
    <cfRule type="expression" dxfId="173" priority="20692" stopIfTrue="1">
      <formula>AND(NOT(ISBLANK(G40)),NOT(_xlfn.ISFORMULA(G40)))</formula>
    </cfRule>
  </conditionalFormatting>
  <conditionalFormatting sqref="H40">
    <cfRule type="expression" dxfId="172" priority="20691" stopIfTrue="1">
      <formula>AND(NOT(ISBLANK(H40)),NOT(_xlfn.ISFORMULA(H40)))</formula>
    </cfRule>
  </conditionalFormatting>
  <conditionalFormatting sqref="C41">
    <cfRule type="expression" dxfId="171" priority="20686" stopIfTrue="1">
      <formula>AND(NOT(ISBLANK(C41)),NOT(_xlfn.ISFORMULA(C41)))</formula>
    </cfRule>
  </conditionalFormatting>
  <conditionalFormatting sqref="D41">
    <cfRule type="expression" dxfId="170" priority="20685" stopIfTrue="1">
      <formula>AND(NOT(ISBLANK(D41)),NOT(_xlfn.ISFORMULA(D41)))</formula>
    </cfRule>
  </conditionalFormatting>
  <conditionalFormatting sqref="G41">
    <cfRule type="expression" dxfId="169" priority="20684" stopIfTrue="1">
      <formula>AND(NOT(ISBLANK(G41)),NOT(_xlfn.ISFORMULA(G41)))</formula>
    </cfRule>
  </conditionalFormatting>
  <conditionalFormatting sqref="E41">
    <cfRule type="expression" dxfId="168" priority="20689">
      <formula>AND(AND(NOT(ISBLANK(D41)),NOT(D41=$O$1)),AND(NOT(ISBLANK(C41)),NOT(C41=$O$1)))</formula>
    </cfRule>
    <cfRule type="expression" dxfId="167" priority="20690">
      <formula>OR(AND(NOT(ISBLANK(D41)),NOT(D41=$O$1)),AND(NOT(ISBLANK(C41)),NOT(C41=$O$1)))</formula>
    </cfRule>
  </conditionalFormatting>
  <conditionalFormatting sqref="F41">
    <cfRule type="expression" dxfId="166" priority="20687">
      <formula>AND(AND(NOT(ISBLANK(G41)),NOT(G41=$O$1)),AND(NOT(ISBLANK(H41)),NOT(H41=$O$1)))</formula>
    </cfRule>
    <cfRule type="expression" dxfId="165" priority="20688">
      <formula>OR(AND(NOT(ISBLANK(G41)),NOT(G41=$O$1)),AND(NOT(ISBLANK(H41)),NOT(H41=$O$1)))</formula>
    </cfRule>
  </conditionalFormatting>
  <conditionalFormatting sqref="C29">
    <cfRule type="expression" dxfId="164" priority="20678" stopIfTrue="1">
      <formula>AND(NOT(ISBLANK(C29)),NOT(_xlfn.ISFORMULA(C29)))</formula>
    </cfRule>
  </conditionalFormatting>
  <conditionalFormatting sqref="D29">
    <cfRule type="expression" dxfId="163" priority="20677" stopIfTrue="1">
      <formula>AND(NOT(ISBLANK(D29)),NOT(_xlfn.ISFORMULA(D29)))</formula>
    </cfRule>
  </conditionalFormatting>
  <conditionalFormatting sqref="G29">
    <cfRule type="expression" dxfId="162" priority="20676" stopIfTrue="1">
      <formula>AND(NOT(ISBLANK(G29)),NOT(_xlfn.ISFORMULA(G29)))</formula>
    </cfRule>
  </conditionalFormatting>
  <conditionalFormatting sqref="H41">
    <cfRule type="expression" dxfId="161" priority="20683" stopIfTrue="1">
      <formula>AND(NOT(ISBLANK(H41)),NOT(_xlfn.ISFORMULA(H41)))</formula>
    </cfRule>
  </conditionalFormatting>
  <conditionalFormatting sqref="E29">
    <cfRule type="expression" dxfId="160" priority="20681">
      <formula>AND(AND(NOT(ISBLANK(D29)),NOT(D29=$O$1)),AND(NOT(ISBLANK(C29)),NOT(C29=$O$1)))</formula>
    </cfRule>
    <cfRule type="expression" dxfId="159" priority="20682">
      <formula>OR(AND(NOT(ISBLANK(D29)),NOT(D29=$O$1)),AND(NOT(ISBLANK(C29)),NOT(C29=$O$1)))</formula>
    </cfRule>
  </conditionalFormatting>
  <conditionalFormatting sqref="F29">
    <cfRule type="expression" dxfId="158" priority="20679">
      <formula>AND(AND(NOT(ISBLANK(G29)),NOT(G29=$O$1)),AND(NOT(ISBLANK(H29)),NOT(H29=$O$1)))</formula>
    </cfRule>
    <cfRule type="expression" dxfId="157" priority="20680">
      <formula>OR(AND(NOT(ISBLANK(G29)),NOT(G29=$O$1)),AND(NOT(ISBLANK(H29)),NOT(H29=$O$1)))</formula>
    </cfRule>
  </conditionalFormatting>
  <conditionalFormatting sqref="C42">
    <cfRule type="expression" dxfId="156" priority="20670" stopIfTrue="1">
      <formula>AND(NOT(ISBLANK(C42)),NOT(_xlfn.ISFORMULA(C42)))</formula>
    </cfRule>
  </conditionalFormatting>
  <conditionalFormatting sqref="D42">
    <cfRule type="expression" dxfId="155" priority="20669" stopIfTrue="1">
      <formula>AND(NOT(ISBLANK(D42)),NOT(_xlfn.ISFORMULA(D42)))</formula>
    </cfRule>
  </conditionalFormatting>
  <conditionalFormatting sqref="G42">
    <cfRule type="expression" dxfId="154" priority="20668" stopIfTrue="1">
      <formula>AND(NOT(ISBLANK(G42)),NOT(_xlfn.ISFORMULA(G42)))</formula>
    </cfRule>
  </conditionalFormatting>
  <conditionalFormatting sqref="H29">
    <cfRule type="expression" dxfId="153" priority="20675" stopIfTrue="1">
      <formula>AND(NOT(ISBLANK(H29)),NOT(_xlfn.ISFORMULA(H29)))</formula>
    </cfRule>
  </conditionalFormatting>
  <conditionalFormatting sqref="E42">
    <cfRule type="expression" dxfId="152" priority="20673">
      <formula>AND(AND(NOT(ISBLANK(D42)),NOT(D42=$O$1)),AND(NOT(ISBLANK(C42)),NOT(C42=$O$1)))</formula>
    </cfRule>
    <cfRule type="expression" dxfId="151" priority="20674">
      <formula>OR(AND(NOT(ISBLANK(D42)),NOT(D42=$O$1)),AND(NOT(ISBLANK(C42)),NOT(C42=$O$1)))</formula>
    </cfRule>
  </conditionalFormatting>
  <conditionalFormatting sqref="F42">
    <cfRule type="expression" dxfId="150" priority="20671">
      <formula>AND(AND(NOT(ISBLANK(G42)),NOT(G42=$O$1)),AND(NOT(ISBLANK(H42)),NOT(H42=$O$1)))</formula>
    </cfRule>
    <cfRule type="expression" dxfId="149" priority="20672">
      <formula>OR(AND(NOT(ISBLANK(G42)),NOT(G42=$O$1)),AND(NOT(ISBLANK(H42)),NOT(H42=$O$1)))</formula>
    </cfRule>
  </conditionalFormatting>
  <conditionalFormatting sqref="H42">
    <cfRule type="expression" dxfId="148" priority="20667" stopIfTrue="1">
      <formula>AND(NOT(ISBLANK(H42)),NOT(_xlfn.ISFORMULA(H42)))</formula>
    </cfRule>
  </conditionalFormatting>
  <conditionalFormatting sqref="H43">
    <cfRule type="expression" dxfId="147" priority="20659" stopIfTrue="1">
      <formula>AND(NOT(ISBLANK(H43)),NOT(_xlfn.ISFORMULA(H43)))</formula>
    </cfRule>
  </conditionalFormatting>
  <conditionalFormatting sqref="E43">
    <cfRule type="expression" dxfId="146" priority="20665">
      <formula>AND(AND(NOT(ISBLANK(D43)),NOT(D43=$O$1)),AND(NOT(ISBLANK(C43)),NOT(C43=$O$1)))</formula>
    </cfRule>
    <cfRule type="expression" dxfId="145" priority="20666">
      <formula>OR(AND(NOT(ISBLANK(D43)),NOT(D43=$O$1)),AND(NOT(ISBLANK(C43)),NOT(C43=$O$1)))</formula>
    </cfRule>
  </conditionalFormatting>
  <conditionalFormatting sqref="F43">
    <cfRule type="expression" dxfId="144" priority="20663">
      <formula>AND(AND(NOT(ISBLANK(G43)),NOT(G43=$O$1)),AND(NOT(ISBLANK(H43)),NOT(H43=$O$1)))</formula>
    </cfRule>
    <cfRule type="expression" dxfId="143" priority="20664">
      <formula>OR(AND(NOT(ISBLANK(G43)),NOT(G43=$O$1)),AND(NOT(ISBLANK(H43)),NOT(H43=$O$1)))</formula>
    </cfRule>
  </conditionalFormatting>
  <conditionalFormatting sqref="C43">
    <cfRule type="expression" dxfId="142" priority="20662" stopIfTrue="1">
      <formula>AND(NOT(ISBLANK(C43)),NOT(_xlfn.ISFORMULA(C43)))</formula>
    </cfRule>
  </conditionalFormatting>
  <conditionalFormatting sqref="D43">
    <cfRule type="expression" dxfId="141" priority="20661" stopIfTrue="1">
      <formula>AND(NOT(ISBLANK(D43)),NOT(_xlfn.ISFORMULA(D43)))</formula>
    </cfRule>
  </conditionalFormatting>
  <conditionalFormatting sqref="G43">
    <cfRule type="expression" dxfId="140" priority="20660" stopIfTrue="1">
      <formula>AND(NOT(ISBLANK(G43)),NOT(_xlfn.ISFORMULA(G43)))</formula>
    </cfRule>
  </conditionalFormatting>
  <conditionalFormatting sqref="E30">
    <cfRule type="expression" dxfId="139" priority="20657">
      <formula>AND(AND(NOT(ISBLANK(D30)),NOT(D30=$O$1)),AND(NOT(ISBLANK(C30)),NOT(C30=$O$1)))</formula>
    </cfRule>
    <cfRule type="expression" dxfId="138" priority="20658">
      <formula>OR(AND(NOT(ISBLANK(D30)),NOT(D30=$O$1)),AND(NOT(ISBLANK(C30)),NOT(C30=$O$1)))</formula>
    </cfRule>
  </conditionalFormatting>
  <conditionalFormatting sqref="F30">
    <cfRule type="expression" dxfId="137" priority="20655">
      <formula>AND(AND(NOT(ISBLANK(G30)),NOT(G30=$O$1)),AND(NOT(ISBLANK(H30)),NOT(H30=$O$1)))</formula>
    </cfRule>
    <cfRule type="expression" dxfId="136" priority="20656">
      <formula>OR(AND(NOT(ISBLANK(G30)),NOT(G30=$O$1)),AND(NOT(ISBLANK(H30)),NOT(H30=$O$1)))</formula>
    </cfRule>
  </conditionalFormatting>
  <conditionalFormatting sqref="C30">
    <cfRule type="expression" dxfId="135" priority="20654" stopIfTrue="1">
      <formula>AND(NOT(ISBLANK(C30)),NOT(_xlfn.ISFORMULA(C30)))</formula>
    </cfRule>
  </conditionalFormatting>
  <conditionalFormatting sqref="D30">
    <cfRule type="expression" dxfId="134" priority="20653" stopIfTrue="1">
      <formula>AND(NOT(ISBLANK(D30)),NOT(_xlfn.ISFORMULA(D30)))</formula>
    </cfRule>
  </conditionalFormatting>
  <conditionalFormatting sqref="G30">
    <cfRule type="expression" dxfId="133" priority="20652" stopIfTrue="1">
      <formula>AND(NOT(ISBLANK(G30)),NOT(_xlfn.ISFORMULA(G30)))</formula>
    </cfRule>
  </conditionalFormatting>
  <conditionalFormatting sqref="H30">
    <cfRule type="expression" dxfId="132" priority="20651" stopIfTrue="1">
      <formula>AND(NOT(ISBLANK(H30)),NOT(_xlfn.ISFORMULA(H30)))</formula>
    </cfRule>
  </conditionalFormatting>
  <conditionalFormatting sqref="E44">
    <cfRule type="expression" dxfId="131" priority="20649">
      <formula>AND(AND(NOT(ISBLANK(D44)),NOT(D44=$O$1)),AND(NOT(ISBLANK(C44)),NOT(C44=$O$1)))</formula>
    </cfRule>
    <cfRule type="expression" dxfId="130" priority="20650">
      <formula>OR(AND(NOT(ISBLANK(D44)),NOT(D44=$O$1)),AND(NOT(ISBLANK(C44)),NOT(C44=$O$1)))</formula>
    </cfRule>
  </conditionalFormatting>
  <conditionalFormatting sqref="F44">
    <cfRule type="expression" dxfId="129" priority="20647">
      <formula>AND(AND(NOT(ISBLANK(G44)),NOT(G44=$O$1)),AND(NOT(ISBLANK(H44)),NOT(H44=$O$1)))</formula>
    </cfRule>
    <cfRule type="expression" dxfId="128" priority="20648">
      <formula>OR(AND(NOT(ISBLANK(G44)),NOT(G44=$O$1)),AND(NOT(ISBLANK(H44)),NOT(H44=$O$1)))</formula>
    </cfRule>
  </conditionalFormatting>
  <conditionalFormatting sqref="C44">
    <cfRule type="expression" dxfId="127" priority="20646" stopIfTrue="1">
      <formula>AND(NOT(ISBLANK(C44)),NOT(_xlfn.ISFORMULA(C44)))</formula>
    </cfRule>
  </conditionalFormatting>
  <conditionalFormatting sqref="D44">
    <cfRule type="expression" dxfId="126" priority="20645" stopIfTrue="1">
      <formula>AND(NOT(ISBLANK(D44)),NOT(_xlfn.ISFORMULA(D44)))</formula>
    </cfRule>
  </conditionalFormatting>
  <conditionalFormatting sqref="G44">
    <cfRule type="expression" dxfId="125" priority="20644" stopIfTrue="1">
      <formula>AND(NOT(ISBLANK(G44)),NOT(_xlfn.ISFORMULA(G44)))</formula>
    </cfRule>
  </conditionalFormatting>
  <conditionalFormatting sqref="H44">
    <cfRule type="expression" dxfId="124" priority="20643" stopIfTrue="1">
      <formula>AND(NOT(ISBLANK(H44)),NOT(_xlfn.ISFORMULA(H44)))</formula>
    </cfRule>
  </conditionalFormatting>
  <conditionalFormatting sqref="H45">
    <cfRule type="expression" dxfId="123" priority="20631" stopIfTrue="1">
      <formula>AND(NOT(ISBLANK(H45)),NOT(_xlfn.ISFORMULA(H45)))</formula>
    </cfRule>
  </conditionalFormatting>
  <conditionalFormatting sqref="E45">
    <cfRule type="expression" dxfId="122" priority="20637">
      <formula>AND(AND(NOT(ISBLANK(D45)),NOT(D45=$O$1)),AND(NOT(ISBLANK(C45)),NOT(C45=$O$1)))</formula>
    </cfRule>
    <cfRule type="expression" dxfId="121" priority="20638">
      <formula>OR(AND(NOT(ISBLANK(D45)),NOT(D45=$O$1)),AND(NOT(ISBLANK(C45)),NOT(C45=$O$1)))</formula>
    </cfRule>
  </conditionalFormatting>
  <conditionalFormatting sqref="F45">
    <cfRule type="expression" dxfId="120" priority="20635">
      <formula>AND(AND(NOT(ISBLANK(G45)),NOT(G45=$O$1)),AND(NOT(ISBLANK(H45)),NOT(H45=$O$1)))</formula>
    </cfRule>
    <cfRule type="expression" dxfId="119" priority="20636">
      <formula>OR(AND(NOT(ISBLANK(G45)),NOT(G45=$O$1)),AND(NOT(ISBLANK(H45)),NOT(H45=$O$1)))</formula>
    </cfRule>
  </conditionalFormatting>
  <conditionalFormatting sqref="C45">
    <cfRule type="expression" dxfId="118" priority="20634" stopIfTrue="1">
      <formula>AND(NOT(ISBLANK(C45)),NOT(_xlfn.ISFORMULA(C45)))</formula>
    </cfRule>
  </conditionalFormatting>
  <conditionalFormatting sqref="D45">
    <cfRule type="expression" dxfId="117" priority="20633" stopIfTrue="1">
      <formula>AND(NOT(ISBLANK(D45)),NOT(_xlfn.ISFORMULA(D45)))</formula>
    </cfRule>
  </conditionalFormatting>
  <conditionalFormatting sqref="G45">
    <cfRule type="expression" dxfId="116" priority="20632" stopIfTrue="1">
      <formula>AND(NOT(ISBLANK(G45)),NOT(_xlfn.ISFORMULA(G45)))</formula>
    </cfRule>
  </conditionalFormatting>
  <conditionalFormatting sqref="E31">
    <cfRule type="expression" dxfId="115" priority="20629">
      <formula>AND(AND(NOT(ISBLANK(D31)),NOT(D31=$O$1)),AND(NOT(ISBLANK(C31)),NOT(C31=$O$1)))</formula>
    </cfRule>
    <cfRule type="expression" dxfId="114" priority="20630">
      <formula>OR(AND(NOT(ISBLANK(D31)),NOT(D31=$O$1)),AND(NOT(ISBLANK(C31)),NOT(C31=$O$1)))</formula>
    </cfRule>
  </conditionalFormatting>
  <conditionalFormatting sqref="F31">
    <cfRule type="expression" dxfId="113" priority="20627">
      <formula>AND(AND(NOT(ISBLANK(G31)),NOT(G31=$O$1)),AND(NOT(ISBLANK(H31)),NOT(H31=$O$1)))</formula>
    </cfRule>
    <cfRule type="expression" dxfId="112" priority="20628">
      <formula>OR(AND(NOT(ISBLANK(G31)),NOT(G31=$O$1)),AND(NOT(ISBLANK(H31)),NOT(H31=$O$1)))</formula>
    </cfRule>
  </conditionalFormatting>
  <conditionalFormatting sqref="C31">
    <cfRule type="expression" dxfId="111" priority="20626" stopIfTrue="1">
      <formula>AND(NOT(ISBLANK(C31)),NOT(_xlfn.ISFORMULA(C31)))</formula>
    </cfRule>
  </conditionalFormatting>
  <conditionalFormatting sqref="D31">
    <cfRule type="expression" dxfId="110" priority="20625" stopIfTrue="1">
      <formula>AND(NOT(ISBLANK(D31)),NOT(_xlfn.ISFORMULA(D31)))</formula>
    </cfRule>
  </conditionalFormatting>
  <conditionalFormatting sqref="G31">
    <cfRule type="expression" dxfId="109" priority="20624" stopIfTrue="1">
      <formula>AND(NOT(ISBLANK(G31)),NOT(_xlfn.ISFORMULA(G31)))</formula>
    </cfRule>
  </conditionalFormatting>
  <conditionalFormatting sqref="H31">
    <cfRule type="expression" dxfId="108" priority="20623" stopIfTrue="1">
      <formula>AND(NOT(ISBLANK(H31)),NOT(_xlfn.ISFORMULA(H31)))</formula>
    </cfRule>
  </conditionalFormatting>
  <conditionalFormatting sqref="E46">
    <cfRule type="expression" dxfId="107" priority="20621">
      <formula>AND(AND(NOT(ISBLANK(D46)),NOT(D46=$O$1)),AND(NOT(ISBLANK(C46)),NOT(C46=$O$1)))</formula>
    </cfRule>
    <cfRule type="expression" dxfId="106" priority="20622">
      <formula>OR(AND(NOT(ISBLANK(D46)),NOT(D46=$O$1)),AND(NOT(ISBLANK(C46)),NOT(C46=$O$1)))</formula>
    </cfRule>
  </conditionalFormatting>
  <conditionalFormatting sqref="F46">
    <cfRule type="expression" dxfId="105" priority="20619">
      <formula>AND(AND(NOT(ISBLANK(G46)),NOT(G46=$O$1)),AND(NOT(ISBLANK(H46)),NOT(H46=$O$1)))</formula>
    </cfRule>
    <cfRule type="expression" dxfId="104" priority="20620">
      <formula>OR(AND(NOT(ISBLANK(G46)),NOT(G46=$O$1)),AND(NOT(ISBLANK(H46)),NOT(H46=$O$1)))</formula>
    </cfRule>
  </conditionalFormatting>
  <conditionalFormatting sqref="C46">
    <cfRule type="expression" dxfId="103" priority="20618" stopIfTrue="1">
      <formula>AND(NOT(ISBLANK(C46)),NOT(_xlfn.ISFORMULA(C46)))</formula>
    </cfRule>
  </conditionalFormatting>
  <conditionalFormatting sqref="D46">
    <cfRule type="expression" dxfId="102" priority="20617" stopIfTrue="1">
      <formula>AND(NOT(ISBLANK(D46)),NOT(_xlfn.ISFORMULA(D46)))</formula>
    </cfRule>
  </conditionalFormatting>
  <conditionalFormatting sqref="G46">
    <cfRule type="expression" dxfId="101" priority="20616" stopIfTrue="1">
      <formula>AND(NOT(ISBLANK(G46)),NOT(_xlfn.ISFORMULA(G46)))</formula>
    </cfRule>
  </conditionalFormatting>
  <conditionalFormatting sqref="H46">
    <cfRule type="expression" dxfId="100" priority="20615" stopIfTrue="1">
      <formula>AND(NOT(ISBLANK(H46)),NOT(_xlfn.ISFORMULA(H46)))</formula>
    </cfRule>
  </conditionalFormatting>
  <conditionalFormatting sqref="E47">
    <cfRule type="expression" dxfId="99" priority="20613">
      <formula>AND(AND(NOT(ISBLANK(D47)),NOT(D47=$O$1)),AND(NOT(ISBLANK(C47)),NOT(C47=$O$1)))</formula>
    </cfRule>
    <cfRule type="expression" dxfId="98" priority="20614">
      <formula>OR(AND(NOT(ISBLANK(D47)),NOT(D47=$O$1)),AND(NOT(ISBLANK(C47)),NOT(C47=$O$1)))</formula>
    </cfRule>
  </conditionalFormatting>
  <conditionalFormatting sqref="F47">
    <cfRule type="expression" dxfId="97" priority="20611">
      <formula>AND(AND(NOT(ISBLANK(G47)),NOT(G47=$O$1)),AND(NOT(ISBLANK(H47)),NOT(H47=$O$1)))</formula>
    </cfRule>
    <cfRule type="expression" dxfId="96" priority="20612">
      <formula>OR(AND(NOT(ISBLANK(G47)),NOT(G47=$O$1)),AND(NOT(ISBLANK(H47)),NOT(H47=$O$1)))</formula>
    </cfRule>
  </conditionalFormatting>
  <conditionalFormatting sqref="E32">
    <cfRule type="expression" dxfId="95" priority="20605">
      <formula>AND(AND(NOT(ISBLANK(D32)),NOT(D32=$O$1)),AND(NOT(ISBLANK(C32)),NOT(C32=$O$1)))</formula>
    </cfRule>
    <cfRule type="expression" dxfId="94" priority="20606">
      <formula>OR(AND(NOT(ISBLANK(D32)),NOT(D32=$O$1)),AND(NOT(ISBLANK(C32)),NOT(C32=$O$1)))</formula>
    </cfRule>
  </conditionalFormatting>
  <conditionalFormatting sqref="F32">
    <cfRule type="expression" dxfId="93" priority="20603">
      <formula>AND(AND(NOT(ISBLANK(G32)),NOT(G32=$O$1)),AND(NOT(ISBLANK(H32)),NOT(H32=$O$1)))</formula>
    </cfRule>
    <cfRule type="expression" dxfId="92" priority="20604">
      <formula>OR(AND(NOT(ISBLANK(G32)),NOT(G32=$O$1)),AND(NOT(ISBLANK(H32)),NOT(H32=$O$1)))</formula>
    </cfRule>
  </conditionalFormatting>
  <conditionalFormatting sqref="C47">
    <cfRule type="expression" dxfId="91" priority="20610" stopIfTrue="1">
      <formula>AND(NOT(ISBLANK(C47)),NOT(_xlfn.ISFORMULA(C47)))</formula>
    </cfRule>
  </conditionalFormatting>
  <conditionalFormatting sqref="D47">
    <cfRule type="expression" dxfId="90" priority="20609" stopIfTrue="1">
      <formula>AND(NOT(ISBLANK(D47)),NOT(_xlfn.ISFORMULA(D47)))</formula>
    </cfRule>
  </conditionalFormatting>
  <conditionalFormatting sqref="G47">
    <cfRule type="expression" dxfId="89" priority="20608" stopIfTrue="1">
      <formula>AND(NOT(ISBLANK(G47)),NOT(_xlfn.ISFORMULA(G47)))</formula>
    </cfRule>
  </conditionalFormatting>
  <conditionalFormatting sqref="H47">
    <cfRule type="expression" dxfId="88" priority="20607" stopIfTrue="1">
      <formula>AND(NOT(ISBLANK(H47)),NOT(_xlfn.ISFORMULA(H47)))</formula>
    </cfRule>
  </conditionalFormatting>
  <conditionalFormatting sqref="C32">
    <cfRule type="expression" dxfId="87" priority="20602" stopIfTrue="1">
      <formula>AND(NOT(ISBLANK(C32)),NOT(_xlfn.ISFORMULA(C32)))</formula>
    </cfRule>
  </conditionalFormatting>
  <conditionalFormatting sqref="D32">
    <cfRule type="expression" dxfId="86" priority="20601" stopIfTrue="1">
      <formula>AND(NOT(ISBLANK(D32)),NOT(_xlfn.ISFORMULA(D32)))</formula>
    </cfRule>
  </conditionalFormatting>
  <conditionalFormatting sqref="G32">
    <cfRule type="expression" dxfId="85" priority="20600" stopIfTrue="1">
      <formula>AND(NOT(ISBLANK(G32)),NOT(_xlfn.ISFORMULA(G32)))</formula>
    </cfRule>
  </conditionalFormatting>
  <conditionalFormatting sqref="H32">
    <cfRule type="expression" dxfId="84" priority="20599" stopIfTrue="1">
      <formula>AND(NOT(ISBLANK(H32)),NOT(_xlfn.ISFORMULA(H32)))</formula>
    </cfRule>
  </conditionalFormatting>
  <conditionalFormatting sqref="E48">
    <cfRule type="expression" dxfId="83" priority="20597">
      <formula>AND(AND(NOT(ISBLANK(D48)),NOT(D48=$O$1)),AND(NOT(ISBLANK(C48)),NOT(C48=$O$1)))</formula>
    </cfRule>
    <cfRule type="expression" dxfId="82" priority="20598">
      <formula>OR(AND(NOT(ISBLANK(D48)),NOT(D48=$O$1)),AND(NOT(ISBLANK(C48)),NOT(C48=$O$1)))</formula>
    </cfRule>
  </conditionalFormatting>
  <conditionalFormatting sqref="F48">
    <cfRule type="expression" dxfId="81" priority="20595">
      <formula>AND(AND(NOT(ISBLANK(G48)),NOT(G48=$O$1)),AND(NOT(ISBLANK(H48)),NOT(H48=$O$1)))</formula>
    </cfRule>
    <cfRule type="expression" dxfId="80" priority="20596">
      <formula>OR(AND(NOT(ISBLANK(G48)),NOT(G48=$O$1)),AND(NOT(ISBLANK(H48)),NOT(H48=$O$1)))</formula>
    </cfRule>
  </conditionalFormatting>
  <conditionalFormatting sqref="E4">
    <cfRule type="expression" dxfId="79" priority="19937">
      <formula>AND(AND(NOT(ISBLANK(D4)),NOT(D4=$O$1)),AND(NOT(ISBLANK(C4)),NOT(C4=$O$1)))</formula>
    </cfRule>
    <cfRule type="expression" dxfId="78" priority="19938">
      <formula>OR(AND(NOT(ISBLANK(D4)),NOT(D4=$O$1)),AND(NOT(ISBLANK(C4)),NOT(C4=$O$1)))</formula>
    </cfRule>
  </conditionalFormatting>
  <conditionalFormatting sqref="F4">
    <cfRule type="expression" dxfId="77" priority="19935">
      <formula>AND(AND(NOT(ISBLANK(G4)),NOT(G4=$O$1)),AND(NOT(ISBLANK(H4)),NOT(H4=$O$1)))</formula>
    </cfRule>
    <cfRule type="expression" dxfId="76" priority="19936">
      <formula>OR(AND(NOT(ISBLANK(G4)),NOT(G4=$O$1)),AND(NOT(ISBLANK(H4)),NOT(H4=$O$1)))</formula>
    </cfRule>
  </conditionalFormatting>
  <conditionalFormatting sqref="E5">
    <cfRule type="expression" dxfId="75" priority="19933">
      <formula>AND(AND(NOT(ISBLANK(D5)),NOT(D5=$O$1)),AND(NOT(ISBLANK(C5)),NOT(C5=$O$1)))</formula>
    </cfRule>
    <cfRule type="expression" dxfId="74" priority="19934">
      <formula>OR(AND(NOT(ISBLANK(D5)),NOT(D5=$O$1)),AND(NOT(ISBLANK(C5)),NOT(C5=$O$1)))</formula>
    </cfRule>
  </conditionalFormatting>
  <conditionalFormatting sqref="F5">
    <cfRule type="expression" dxfId="73" priority="19931">
      <formula>AND(AND(NOT(ISBLANK(G5)),NOT(G5=$O$1)),AND(NOT(ISBLANK(H5)),NOT(H5=$O$1)))</formula>
    </cfRule>
    <cfRule type="expression" dxfId="72" priority="19932">
      <formula>OR(AND(NOT(ISBLANK(G5)),NOT(G5=$O$1)),AND(NOT(ISBLANK(H5)),NOT(H5=$O$1)))</formula>
    </cfRule>
  </conditionalFormatting>
  <conditionalFormatting sqref="E6">
    <cfRule type="expression" dxfId="71" priority="19929">
      <formula>AND(AND(NOT(ISBLANK(D6)),NOT(D6=$O$1)),AND(NOT(ISBLANK(C6)),NOT(C6=$O$1)))</formula>
    </cfRule>
    <cfRule type="expression" dxfId="70" priority="19930">
      <formula>OR(AND(NOT(ISBLANK(D6)),NOT(D6=$O$1)),AND(NOT(ISBLANK(C6)),NOT(C6=$O$1)))</formula>
    </cfRule>
  </conditionalFormatting>
  <conditionalFormatting sqref="F6">
    <cfRule type="expression" dxfId="69" priority="19927">
      <formula>AND(AND(NOT(ISBLANK(G6)),NOT(G6=$O$1)),AND(NOT(ISBLANK(H6)),NOT(H6=$O$1)))</formula>
    </cfRule>
    <cfRule type="expression" dxfId="68" priority="19928">
      <formula>OR(AND(NOT(ISBLANK(G6)),NOT(G6=$O$1)),AND(NOT(ISBLANK(H6)),NOT(H6=$O$1)))</formula>
    </cfRule>
  </conditionalFormatting>
  <conditionalFormatting sqref="E7">
    <cfRule type="expression" dxfId="67" priority="13713">
      <formula>AND(AND(NOT(ISBLANK(D7)),NOT(D7=$O$1)),AND(NOT(ISBLANK(C7)),NOT(C7=$O$1)))</formula>
    </cfRule>
    <cfRule type="expression" dxfId="66" priority="13714">
      <formula>OR(AND(NOT(ISBLANK(D7)),NOT(D7=$O$1)),AND(NOT(ISBLANK(C7)),NOT(C7=$O$1)))</formula>
    </cfRule>
  </conditionalFormatting>
  <conditionalFormatting sqref="F7">
    <cfRule type="expression" dxfId="65" priority="13711">
      <formula>AND(AND(NOT(ISBLANK(G7)),NOT(G7=$O$1)),AND(NOT(ISBLANK(H7)),NOT(H7=$O$1)))</formula>
    </cfRule>
    <cfRule type="expression" dxfId="64" priority="13712">
      <formula>OR(AND(NOT(ISBLANK(G7)),NOT(G7=$O$1)),AND(NOT(ISBLANK(H7)),NOT(H7=$O$1)))</formula>
    </cfRule>
  </conditionalFormatting>
  <conditionalFormatting sqref="E8">
    <cfRule type="expression" dxfId="63" priority="2743">
      <formula>AND(AND(NOT(ISBLANK(D8)),NOT(D8=$O$1)),AND(NOT(ISBLANK(C8)),NOT(C8=$O$1)))</formula>
    </cfRule>
    <cfRule type="expression" dxfId="62" priority="2744">
      <formula>OR(AND(NOT(ISBLANK(D8)),NOT(D8=$O$1)),AND(NOT(ISBLANK(C8)),NOT(C8=$O$1)))</formula>
    </cfRule>
  </conditionalFormatting>
  <conditionalFormatting sqref="F8">
    <cfRule type="expression" dxfId="61" priority="2741">
      <formula>AND(AND(NOT(ISBLANK(G8)),NOT(G8=$O$1)),AND(NOT(ISBLANK(H8)),NOT(H8=$O$1)))</formula>
    </cfRule>
    <cfRule type="expression" dxfId="60" priority="2742">
      <formula>OR(AND(NOT(ISBLANK(G8)),NOT(G8=$O$1)),AND(NOT(ISBLANK(H8)),NOT(H8=$O$1)))</formula>
    </cfRule>
  </conditionalFormatting>
  <conditionalFormatting sqref="E9">
    <cfRule type="expression" dxfId="59" priority="2739">
      <formula>AND(AND(NOT(ISBLANK(D9)),NOT(D9=$O$1)),AND(NOT(ISBLANK(C9)),NOT(C9=$O$1)))</formula>
    </cfRule>
    <cfRule type="expression" dxfId="58" priority="2740">
      <formula>OR(AND(NOT(ISBLANK(D9)),NOT(D9=$O$1)),AND(NOT(ISBLANK(C9)),NOT(C9=$O$1)))</formula>
    </cfRule>
  </conditionalFormatting>
  <conditionalFormatting sqref="F9">
    <cfRule type="expression" dxfId="57" priority="2737">
      <formula>AND(AND(NOT(ISBLANK(G9)),NOT(G9=$O$1)),AND(NOT(ISBLANK(H9)),NOT(H9=$O$1)))</formula>
    </cfRule>
    <cfRule type="expression" dxfId="56" priority="2738">
      <formula>OR(AND(NOT(ISBLANK(G9)),NOT(G9=$O$1)),AND(NOT(ISBLANK(H9)),NOT(H9=$O$1)))</formula>
    </cfRule>
  </conditionalFormatting>
  <conditionalFormatting sqref="E10">
    <cfRule type="expression" dxfId="55" priority="2735">
      <formula>AND(AND(NOT(ISBLANK(D10)),NOT(D10=$O$1)),AND(NOT(ISBLANK(C10)),NOT(C10=$O$1)))</formula>
    </cfRule>
    <cfRule type="expression" dxfId="54" priority="2736">
      <formula>OR(AND(NOT(ISBLANK(D10)),NOT(D10=$O$1)),AND(NOT(ISBLANK(C10)),NOT(C10=$O$1)))</formula>
    </cfRule>
  </conditionalFormatting>
  <conditionalFormatting sqref="F10">
    <cfRule type="expression" dxfId="53" priority="2733">
      <formula>AND(AND(NOT(ISBLANK(G10)),NOT(G10=$O$1)),AND(NOT(ISBLANK(H10)),NOT(H10=$O$1)))</formula>
    </cfRule>
    <cfRule type="expression" dxfId="52" priority="2734">
      <formula>OR(AND(NOT(ISBLANK(G10)),NOT(G10=$O$1)),AND(NOT(ISBLANK(H10)),NOT(H10=$O$1)))</formula>
    </cfRule>
  </conditionalFormatting>
  <conditionalFormatting sqref="E11">
    <cfRule type="expression" dxfId="51" priority="2731">
      <formula>AND(AND(NOT(ISBLANK(D11)),NOT(D11=$O$1)),AND(NOT(ISBLANK(C11)),NOT(C11=$O$1)))</formula>
    </cfRule>
    <cfRule type="expression" dxfId="50" priority="2732">
      <formula>OR(AND(NOT(ISBLANK(D11)),NOT(D11=$O$1)),AND(NOT(ISBLANK(C11)),NOT(C11=$O$1)))</formula>
    </cfRule>
  </conditionalFormatting>
  <conditionalFormatting sqref="F11">
    <cfRule type="expression" dxfId="49" priority="2729">
      <formula>AND(AND(NOT(ISBLANK(G11)),NOT(G11=$O$1)),AND(NOT(ISBLANK(H11)),NOT(H11=$O$1)))</formula>
    </cfRule>
    <cfRule type="expression" dxfId="48" priority="2730">
      <formula>OR(AND(NOT(ISBLANK(G11)),NOT(G11=$O$1)),AND(NOT(ISBLANK(H11)),NOT(H11=$O$1)))</formula>
    </cfRule>
  </conditionalFormatting>
  <conditionalFormatting sqref="E12">
    <cfRule type="expression" dxfId="47" priority="1659">
      <formula>AND(AND(NOT(ISBLANK(D12)),NOT(D12=$O$1)),AND(NOT(ISBLANK(C12)),NOT(C12=$O$1)))</formula>
    </cfRule>
    <cfRule type="expression" dxfId="46" priority="1660">
      <formula>OR(AND(NOT(ISBLANK(D12)),NOT(D12=$O$1)),AND(NOT(ISBLANK(C12)),NOT(C12=$O$1)))</formula>
    </cfRule>
  </conditionalFormatting>
  <conditionalFormatting sqref="F12">
    <cfRule type="expression" dxfId="45" priority="1657">
      <formula>AND(AND(NOT(ISBLANK(G12)),NOT(G12=$O$1)),AND(NOT(ISBLANK(H12)),NOT(H12=$O$1)))</formula>
    </cfRule>
    <cfRule type="expression" dxfId="44" priority="1658">
      <formula>OR(AND(NOT(ISBLANK(G12)),NOT(G12=$O$1)),AND(NOT(ISBLANK(H12)),NOT(H12=$O$1)))</formula>
    </cfRule>
  </conditionalFormatting>
  <conditionalFormatting sqref="E13">
    <cfRule type="expression" dxfId="43" priority="1655">
      <formula>AND(AND(NOT(ISBLANK(D13)),NOT(D13=$O$1)),AND(NOT(ISBLANK(C13)),NOT(C13=$O$1)))</formula>
    </cfRule>
    <cfRule type="expression" dxfId="42" priority="1656">
      <formula>OR(AND(NOT(ISBLANK(D13)),NOT(D13=$O$1)),AND(NOT(ISBLANK(C13)),NOT(C13=$O$1)))</formula>
    </cfRule>
  </conditionalFormatting>
  <conditionalFormatting sqref="F13">
    <cfRule type="expression" dxfId="41" priority="1653">
      <formula>AND(AND(NOT(ISBLANK(G13)),NOT(G13=$O$1)),AND(NOT(ISBLANK(H13)),NOT(H13=$O$1)))</formula>
    </cfRule>
    <cfRule type="expression" dxfId="40" priority="1654">
      <formula>OR(AND(NOT(ISBLANK(G13)),NOT(G13=$O$1)),AND(NOT(ISBLANK(H13)),NOT(H13=$O$1)))</formula>
    </cfRule>
  </conditionalFormatting>
  <conditionalFormatting sqref="G4">
    <cfRule type="expression" dxfId="39" priority="306" stopIfTrue="1">
      <formula>AND(NOT(ISBLANK(G4)),NOT(_xlfn.ISFORMULA(G4)))</formula>
    </cfRule>
  </conditionalFormatting>
  <conditionalFormatting sqref="G5">
    <cfRule type="expression" dxfId="38" priority="305" stopIfTrue="1">
      <formula>AND(NOT(ISBLANK(G5)),NOT(_xlfn.ISFORMULA(G5)))</formula>
    </cfRule>
  </conditionalFormatting>
  <conditionalFormatting sqref="G6">
    <cfRule type="expression" dxfId="37" priority="304" stopIfTrue="1">
      <formula>AND(NOT(ISBLANK(G6)),NOT(_xlfn.ISFORMULA(G6)))</formula>
    </cfRule>
  </conditionalFormatting>
  <conditionalFormatting sqref="G7">
    <cfRule type="expression" dxfId="36" priority="303" stopIfTrue="1">
      <formula>AND(NOT(ISBLANK(G7)),NOT(_xlfn.ISFORMULA(G7)))</formula>
    </cfRule>
  </conditionalFormatting>
  <conditionalFormatting sqref="G8">
    <cfRule type="expression" dxfId="35" priority="302" stopIfTrue="1">
      <formula>AND(NOT(ISBLANK(G8)),NOT(_xlfn.ISFORMULA(G8)))</formula>
    </cfRule>
  </conditionalFormatting>
  <conditionalFormatting sqref="G9">
    <cfRule type="expression" dxfId="34" priority="301" stopIfTrue="1">
      <formula>AND(NOT(ISBLANK(G9)),NOT(_xlfn.ISFORMULA(G9)))</formula>
    </cfRule>
  </conditionalFormatting>
  <conditionalFormatting sqref="G10">
    <cfRule type="expression" dxfId="33" priority="300" stopIfTrue="1">
      <formula>AND(NOT(ISBLANK(G10)),NOT(_xlfn.ISFORMULA(G10)))</formula>
    </cfRule>
  </conditionalFormatting>
  <conditionalFormatting sqref="G11">
    <cfRule type="expression" dxfId="32" priority="299" stopIfTrue="1">
      <formula>AND(NOT(ISBLANK(G11)),NOT(_xlfn.ISFORMULA(G11)))</formula>
    </cfRule>
  </conditionalFormatting>
  <conditionalFormatting sqref="G12">
    <cfRule type="expression" dxfId="31" priority="298" stopIfTrue="1">
      <formula>AND(NOT(ISBLANK(G12)),NOT(_xlfn.ISFORMULA(G12)))</formula>
    </cfRule>
  </conditionalFormatting>
  <conditionalFormatting sqref="G13">
    <cfRule type="expression" dxfId="30" priority="297" stopIfTrue="1">
      <formula>AND(NOT(ISBLANK(G13)),NOT(_xlfn.ISFORMULA(G13)))</formula>
    </cfRule>
  </conditionalFormatting>
  <conditionalFormatting sqref="H4">
    <cfRule type="expression" dxfId="29" priority="153" stopIfTrue="1">
      <formula>AND(NOT(ISBLANK(H4)),NOT(_xlfn.ISFORMULA(H4)))</formula>
    </cfRule>
  </conditionalFormatting>
  <conditionalFormatting sqref="H5">
    <cfRule type="expression" dxfId="28" priority="152" stopIfTrue="1">
      <formula>AND(NOT(ISBLANK(H5)),NOT(_xlfn.ISFORMULA(H5)))</formula>
    </cfRule>
  </conditionalFormatting>
  <conditionalFormatting sqref="H6">
    <cfRule type="expression" dxfId="27" priority="151" stopIfTrue="1">
      <formula>AND(NOT(ISBLANK(H6)),NOT(_xlfn.ISFORMULA(H6)))</formula>
    </cfRule>
  </conditionalFormatting>
  <conditionalFormatting sqref="H7">
    <cfRule type="expression" dxfId="26" priority="150" stopIfTrue="1">
      <formula>AND(NOT(ISBLANK(H7)),NOT(_xlfn.ISFORMULA(H7)))</formula>
    </cfRule>
  </conditionalFormatting>
  <conditionalFormatting sqref="H8">
    <cfRule type="expression" dxfId="25" priority="149" stopIfTrue="1">
      <formula>AND(NOT(ISBLANK(H8)),NOT(_xlfn.ISFORMULA(H8)))</formula>
    </cfRule>
  </conditionalFormatting>
  <conditionalFormatting sqref="H9">
    <cfRule type="expression" dxfId="24" priority="148" stopIfTrue="1">
      <formula>AND(NOT(ISBLANK(H9)),NOT(_xlfn.ISFORMULA(H9)))</formula>
    </cfRule>
  </conditionalFormatting>
  <conditionalFormatting sqref="H10">
    <cfRule type="expression" dxfId="23" priority="147" stopIfTrue="1">
      <formula>AND(NOT(ISBLANK(H10)),NOT(_xlfn.ISFORMULA(H10)))</formula>
    </cfRule>
  </conditionalFormatting>
  <conditionalFormatting sqref="H11">
    <cfRule type="expression" dxfId="22" priority="146" stopIfTrue="1">
      <formula>AND(NOT(ISBLANK(H11)),NOT(_xlfn.ISFORMULA(H11)))</formula>
    </cfRule>
  </conditionalFormatting>
  <conditionalFormatting sqref="H12">
    <cfRule type="expression" dxfId="21" priority="145" stopIfTrue="1">
      <formula>AND(NOT(ISBLANK(H12)),NOT(_xlfn.ISFORMULA(H12)))</formula>
    </cfRule>
  </conditionalFormatting>
  <conditionalFormatting sqref="H13">
    <cfRule type="expression" dxfId="20" priority="144" stopIfTrue="1">
      <formula>AND(NOT(ISBLANK(H13)),NOT(_xlfn.ISFORMULA(H13)))</formula>
    </cfRule>
  </conditionalFormatting>
  <conditionalFormatting sqref="D4">
    <cfRule type="expression" dxfId="19" priority="459" stopIfTrue="1">
      <formula>AND(NOT(ISBLANK(D4)),NOT(_xlfn.ISFORMULA(D4)))</formula>
    </cfRule>
  </conditionalFormatting>
  <conditionalFormatting sqref="D5">
    <cfRule type="expression" dxfId="18" priority="458" stopIfTrue="1">
      <formula>AND(NOT(ISBLANK(D5)),NOT(_xlfn.ISFORMULA(D5)))</formula>
    </cfRule>
  </conditionalFormatting>
  <conditionalFormatting sqref="D6">
    <cfRule type="expression" dxfId="17" priority="457" stopIfTrue="1">
      <formula>AND(NOT(ISBLANK(D6)),NOT(_xlfn.ISFORMULA(D6)))</formula>
    </cfRule>
  </conditionalFormatting>
  <conditionalFormatting sqref="D7">
    <cfRule type="expression" dxfId="16" priority="456" stopIfTrue="1">
      <formula>AND(NOT(ISBLANK(D7)),NOT(_xlfn.ISFORMULA(D7)))</formula>
    </cfRule>
  </conditionalFormatting>
  <conditionalFormatting sqref="D8">
    <cfRule type="expression" dxfId="15" priority="455" stopIfTrue="1">
      <formula>AND(NOT(ISBLANK(D8)),NOT(_xlfn.ISFORMULA(D8)))</formula>
    </cfRule>
  </conditionalFormatting>
  <conditionalFormatting sqref="D9">
    <cfRule type="expression" dxfId="14" priority="454" stopIfTrue="1">
      <formula>AND(NOT(ISBLANK(D9)),NOT(_xlfn.ISFORMULA(D9)))</formula>
    </cfRule>
  </conditionalFormatting>
  <conditionalFormatting sqref="D10">
    <cfRule type="expression" dxfId="13" priority="453" stopIfTrue="1">
      <formula>AND(NOT(ISBLANK(D10)),NOT(_xlfn.ISFORMULA(D10)))</formula>
    </cfRule>
  </conditionalFormatting>
  <conditionalFormatting sqref="D11">
    <cfRule type="expression" dxfId="12" priority="452" stopIfTrue="1">
      <formula>AND(NOT(ISBLANK(D11)),NOT(_xlfn.ISFORMULA(D11)))</formula>
    </cfRule>
  </conditionalFormatting>
  <conditionalFormatting sqref="D12">
    <cfRule type="expression" dxfId="11" priority="451" stopIfTrue="1">
      <formula>AND(NOT(ISBLANK(D12)),NOT(_xlfn.ISFORMULA(D12)))</formula>
    </cfRule>
  </conditionalFormatting>
  <conditionalFormatting sqref="D13">
    <cfRule type="expression" dxfId="10" priority="450" stopIfTrue="1">
      <formula>AND(NOT(ISBLANK(D13)),NOT(_xlfn.ISFORMULA(D13)))</formula>
    </cfRule>
  </conditionalFormatting>
  <conditionalFormatting sqref="C4">
    <cfRule type="expression" dxfId="9" priority="612" stopIfTrue="1">
      <formula>AND(NOT(ISBLANK(C4)),NOT(_xlfn.ISFORMULA(C4)))</formula>
    </cfRule>
  </conditionalFormatting>
  <conditionalFormatting sqref="C5">
    <cfRule type="expression" dxfId="8" priority="611" stopIfTrue="1">
      <formula>AND(NOT(ISBLANK(C5)),NOT(_xlfn.ISFORMULA(C5)))</formula>
    </cfRule>
  </conditionalFormatting>
  <conditionalFormatting sqref="C6">
    <cfRule type="expression" dxfId="7" priority="610" stopIfTrue="1">
      <formula>AND(NOT(ISBLANK(C6)),NOT(_xlfn.ISFORMULA(C6)))</formula>
    </cfRule>
  </conditionalFormatting>
  <conditionalFormatting sqref="C7">
    <cfRule type="expression" dxfId="6" priority="609" stopIfTrue="1">
      <formula>AND(NOT(ISBLANK(C7)),NOT(_xlfn.ISFORMULA(C7)))</formula>
    </cfRule>
  </conditionalFormatting>
  <conditionalFormatting sqref="C8">
    <cfRule type="expression" dxfId="5" priority="608" stopIfTrue="1">
      <formula>AND(NOT(ISBLANK(C8)),NOT(_xlfn.ISFORMULA(C8)))</formula>
    </cfRule>
  </conditionalFormatting>
  <conditionalFormatting sqref="C9">
    <cfRule type="expression" dxfId="4" priority="607" stopIfTrue="1">
      <formula>AND(NOT(ISBLANK(C9)),NOT(_xlfn.ISFORMULA(C9)))</formula>
    </cfRule>
  </conditionalFormatting>
  <conditionalFormatting sqref="C10">
    <cfRule type="expression" dxfId="3" priority="606" stopIfTrue="1">
      <formula>AND(NOT(ISBLANK(C10)),NOT(_xlfn.ISFORMULA(C10)))</formula>
    </cfRule>
  </conditionalFormatting>
  <conditionalFormatting sqref="C11">
    <cfRule type="expression" dxfId="2" priority="605" stopIfTrue="1">
      <formula>AND(NOT(ISBLANK(C11)),NOT(_xlfn.ISFORMULA(C11)))</formula>
    </cfRule>
  </conditionalFormatting>
  <conditionalFormatting sqref="C12">
    <cfRule type="expression" dxfId="1" priority="604" stopIfTrue="1">
      <formula>AND(NOT(ISBLANK(C12)),NOT(_xlfn.ISFORMULA(C12)))</formula>
    </cfRule>
  </conditionalFormatting>
  <conditionalFormatting sqref="C13">
    <cfRule type="expression" dxfId="0" priority="603" stopIfTrue="1">
      <formula>AND(NOT(ISBLANK(C13)),NOT(_xlfn.ISFORMULA(C13)))</formula>
    </cfRule>
  </conditionalFormatting>
  <dataValidations count="2">
    <dataValidation type="custom" allowBlank="1" showInputMessage="1" showErrorMessage="1" sqref="E39:F48 E28:F32 J39:L40 A28:B32 I28:L32 J41:J48 A39:B48 I39:I48 I4:J13 E4:F13 A4:B13"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25" xr:uid="{34147AE8-EB12-45CD-BCD0-18F32DD61C54}">
      <formula1>E24&lt;&gt;"*"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&amp;P/&amp;N&amp;LБузмакова гардероб у входа</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mc:AlternateContent xmlns:mc="http://schemas.openxmlformats.org/markup-compatibility/2006">
          <mc:Choice Requires="x14">
            <control shapeId="44033" r:id="rId5" name="Button 1025">
              <controlPr defaultSize="0" print="0" autoFill="0" autoPict="0" macro="[0]!Ended">
                <anchor moveWithCells="1">
                  <from>
                    <xdr:col>16</xdr:col>
                    <xdr:colOff>123825</xdr:colOff>
                    <xdr:row>0</xdr:row>
                    <xdr:rowOff>171450</xdr:rowOff>
                  </from>
                  <to>
                    <xdr:col>16</xdr:col>
                    <xdr:colOff>1238250</xdr:colOff>
                    <xdr:row>1</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dimension ref="A1"/>
  <sheetViews>
    <sheetView view="pageBreakPreview" zoomScaleNormal="100" zoomScaleSheetLayoutView="100" workbookViewId="0">
      <selection activeCell="G19" sqref="G19"/>
    </sheetView>
  </sheetViews>
  <sheetFormatPr defaultRowHeight="15" x14ac:dyDescent="0.25"/>
  <cols>
    <col min="1" max="1" width="9.140625" style="81"/>
  </cols>
  <sheetData/>
  <pageMargins left="0.7" right="0.7" top="0.75" bottom="0.75" header="0.3" footer="0.3"/>
  <pageSetup paperSize="9" orientation="portrait" r:id="rId1"/>
  <headerFooter>
    <oddHeader>&amp;R&amp;D. &amp;T. Страница &amp;P/&amp;N&amp;LСКЛД bCad-teh</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3F4F7-12A1-4090-A226-67A4B5804FF1}">
  <sheetPr codeName="Лист3"/>
  <dimension ref="A1:O34"/>
  <sheetViews>
    <sheetView view="pageBreakPreview" zoomScale="85" zoomScaleNormal="100" zoomScaleSheetLayoutView="85" workbookViewId="0">
      <selection activeCell="A31" sqref="A31:XFD34"/>
    </sheetView>
  </sheetViews>
  <sheetFormatPr defaultRowHeight="15" x14ac:dyDescent="0.25"/>
  <cols>
    <col min="2" max="2" width="21.85546875" customWidth="1"/>
    <col min="10" max="10" width="15.7109375" customWidth="1"/>
    <col min="13" max="13" width="23.5703125" bestFit="1" customWidth="1"/>
  </cols>
  <sheetData>
    <row r="1" spans="1:15" ht="18.75" x14ac:dyDescent="0.3">
      <c r="A1" s="1" t="s">
        <v>106</v>
      </c>
      <c r="C1" s="83"/>
      <c r="D1" s="83"/>
      <c r="E1" s="30"/>
      <c r="F1" s="30"/>
      <c r="G1" s="30"/>
      <c r="H1" s="84"/>
      <c r="I1" s="84"/>
      <c r="J1" s="30"/>
      <c r="K1" s="30"/>
      <c r="L1" s="30"/>
      <c r="M1" s="85"/>
    </row>
    <row r="2" spans="1:15" ht="30" x14ac:dyDescent="0.25">
      <c r="A2" s="65" t="s">
        <v>6</v>
      </c>
      <c r="B2" s="65" t="str">
        <f>"Наименование"</f>
        <v>Наименование</v>
      </c>
      <c r="C2" s="86" t="s">
        <v>9</v>
      </c>
      <c r="D2" s="86" t="s">
        <v>11</v>
      </c>
      <c r="E2" s="87" t="s">
        <v>98</v>
      </c>
      <c r="F2" s="86" t="s">
        <v>10</v>
      </c>
      <c r="G2" s="86" t="s">
        <v>12</v>
      </c>
      <c r="H2" s="88" t="s">
        <v>99</v>
      </c>
      <c r="I2" s="65" t="s">
        <v>2</v>
      </c>
      <c r="J2" s="65" t="s">
        <v>48</v>
      </c>
      <c r="K2" s="65" t="s">
        <v>49</v>
      </c>
      <c r="L2" s="65" t="s">
        <v>50</v>
      </c>
      <c r="M2" s="65" t="s">
        <v>4</v>
      </c>
    </row>
    <row r="3" spans="1:15" s="30" customFormat="1" x14ac:dyDescent="0.25">
      <c r="A3" s="100"/>
      <c r="B3" s="100"/>
      <c r="C3" s="100"/>
      <c r="D3" s="100"/>
      <c r="E3" s="100"/>
      <c r="F3" s="100"/>
      <c r="G3" s="100"/>
      <c r="H3" s="100"/>
      <c r="I3" s="100"/>
      <c r="J3" s="100"/>
      <c r="K3" s="100"/>
      <c r="L3" s="100"/>
      <c r="M3" s="100"/>
      <c r="N3" s="100"/>
      <c r="O3" s="100"/>
    </row>
    <row r="4" spans="1:15" s="30" customFormat="1" x14ac:dyDescent="0.25">
      <c r="A4" s="100"/>
      <c r="B4" s="100"/>
      <c r="C4" s="100"/>
      <c r="D4" s="100"/>
      <c r="E4" s="100"/>
      <c r="F4" s="100"/>
      <c r="G4" s="100"/>
      <c r="H4" s="100"/>
      <c r="I4" s="100"/>
      <c r="J4" s="100"/>
      <c r="K4" s="100"/>
      <c r="L4" s="100"/>
      <c r="M4" s="100"/>
      <c r="N4" s="100"/>
      <c r="O4" s="100"/>
    </row>
    <row r="5" spans="1:15" s="30" customFormat="1" x14ac:dyDescent="0.25">
      <c r="A5" s="100"/>
      <c r="B5" s="100"/>
      <c r="C5" s="100"/>
      <c r="D5" s="100"/>
      <c r="E5" s="100"/>
      <c r="F5" s="100"/>
      <c r="G5" s="100"/>
      <c r="H5" s="100"/>
      <c r="I5" s="100"/>
      <c r="J5" s="100"/>
      <c r="K5" s="100"/>
      <c r="L5" s="100"/>
      <c r="M5" s="100"/>
      <c r="N5" s="100"/>
      <c r="O5" s="100"/>
    </row>
    <row r="6" spans="1:15" s="30" customFormat="1" x14ac:dyDescent="0.25">
      <c r="A6" s="100"/>
      <c r="B6" s="100"/>
      <c r="C6" s="100"/>
      <c r="D6" s="100"/>
      <c r="E6" s="100"/>
      <c r="F6" s="100"/>
      <c r="G6" s="100"/>
      <c r="H6" s="100"/>
      <c r="I6" s="100"/>
      <c r="J6" s="100"/>
      <c r="K6" s="100"/>
      <c r="L6" s="100"/>
      <c r="M6" s="100"/>
      <c r="N6" s="100"/>
      <c r="O6" s="100"/>
    </row>
    <row r="7" spans="1:15" s="30" customFormat="1" x14ac:dyDescent="0.25">
      <c r="A7" s="100"/>
      <c r="B7" s="100"/>
      <c r="C7" s="100"/>
      <c r="D7" s="100"/>
      <c r="E7" s="100"/>
      <c r="F7" s="100"/>
      <c r="G7" s="100"/>
      <c r="H7" s="100"/>
      <c r="I7" s="100"/>
      <c r="J7" s="100"/>
      <c r="K7" s="100"/>
      <c r="L7" s="100"/>
      <c r="M7" s="100"/>
      <c r="N7" s="100"/>
      <c r="O7" s="100"/>
    </row>
    <row r="8" spans="1:15" s="30" customFormat="1" x14ac:dyDescent="0.25">
      <c r="A8" s="100"/>
      <c r="B8" s="100"/>
      <c r="C8" s="100"/>
      <c r="D8" s="100"/>
      <c r="E8" s="100"/>
      <c r="F8" s="100"/>
      <c r="G8" s="100"/>
      <c r="H8" s="100"/>
      <c r="I8" s="100"/>
      <c r="J8" s="100"/>
      <c r="K8" s="100"/>
      <c r="L8" s="100"/>
      <c r="M8" s="100"/>
      <c r="N8" s="100"/>
      <c r="O8" s="100"/>
    </row>
    <row r="9" spans="1:15" s="30" customFormat="1" x14ac:dyDescent="0.25">
      <c r="A9" s="100"/>
      <c r="B9" s="100"/>
      <c r="C9" s="100"/>
      <c r="D9" s="100"/>
      <c r="E9" s="100"/>
      <c r="F9" s="100"/>
      <c r="G9" s="100"/>
      <c r="H9" s="100"/>
      <c r="I9" s="100"/>
      <c r="J9" s="100"/>
      <c r="K9" s="100"/>
      <c r="L9" s="100"/>
      <c r="M9" s="100"/>
      <c r="N9" s="100"/>
      <c r="O9" s="100"/>
    </row>
    <row r="10" spans="1:15" s="30" customFormat="1" x14ac:dyDescent="0.25">
      <c r="A10" s="100"/>
      <c r="B10" s="100"/>
      <c r="C10" s="100"/>
      <c r="D10" s="100"/>
      <c r="E10" s="100"/>
      <c r="F10" s="100"/>
      <c r="G10" s="100"/>
      <c r="H10" s="100"/>
      <c r="I10" s="100"/>
      <c r="J10" s="100"/>
      <c r="K10" s="100"/>
      <c r="L10" s="100"/>
      <c r="M10" s="100"/>
      <c r="N10" s="100"/>
      <c r="O10" s="100"/>
    </row>
    <row r="11" spans="1:15" s="30" customFormat="1" x14ac:dyDescent="0.25">
      <c r="A11" s="100"/>
      <c r="B11" s="100"/>
      <c r="C11" s="100"/>
      <c r="D11" s="100"/>
      <c r="E11" s="100"/>
      <c r="F11" s="100"/>
      <c r="G11" s="100"/>
      <c r="H11" s="100"/>
      <c r="I11" s="100"/>
      <c r="J11" s="100"/>
      <c r="K11" s="100"/>
      <c r="L11" s="100"/>
      <c r="M11" s="100"/>
      <c r="N11" s="100"/>
      <c r="O11" s="100"/>
    </row>
    <row r="12" spans="1:15" s="30" customFormat="1" x14ac:dyDescent="0.25">
      <c r="A12" s="100"/>
      <c r="B12" s="100"/>
      <c r="C12" s="100"/>
      <c r="D12" s="100"/>
      <c r="E12" s="100"/>
      <c r="F12" s="100"/>
      <c r="G12" s="100"/>
      <c r="H12" s="100"/>
      <c r="I12" s="100"/>
      <c r="J12" s="100"/>
      <c r="K12" s="100"/>
      <c r="L12" s="100"/>
      <c r="M12" s="100"/>
      <c r="N12" s="100"/>
      <c r="O12" s="100"/>
    </row>
    <row r="13" spans="1:15" s="30" customFormat="1" x14ac:dyDescent="0.25">
      <c r="A13" s="100"/>
      <c r="B13" s="100"/>
      <c r="C13" s="100"/>
      <c r="D13" s="100"/>
      <c r="E13" s="100"/>
      <c r="F13" s="100"/>
      <c r="G13" s="100"/>
      <c r="H13" s="100"/>
      <c r="I13" s="100"/>
      <c r="J13" s="100"/>
      <c r="K13" s="100"/>
      <c r="L13" s="100"/>
      <c r="M13" s="100"/>
      <c r="N13" s="100"/>
      <c r="O13" s="100"/>
    </row>
    <row r="14" spans="1:15" s="30" customFormat="1" x14ac:dyDescent="0.25">
      <c r="A14" s="100"/>
      <c r="B14" s="100"/>
      <c r="C14" s="100"/>
      <c r="D14" s="100"/>
      <c r="E14" s="100"/>
      <c r="F14" s="100"/>
      <c r="G14" s="100"/>
      <c r="H14" s="100"/>
      <c r="I14" s="100"/>
      <c r="J14" s="100"/>
      <c r="K14" s="100"/>
      <c r="L14" s="100"/>
      <c r="M14" s="100"/>
      <c r="N14" s="100"/>
      <c r="O14" s="100"/>
    </row>
    <row r="15" spans="1:15" s="30" customFormat="1" x14ac:dyDescent="0.25">
      <c r="A15" s="100"/>
      <c r="B15" s="100"/>
      <c r="C15" s="100"/>
      <c r="D15" s="100"/>
      <c r="E15" s="100"/>
      <c r="F15" s="100"/>
      <c r="G15" s="100"/>
      <c r="H15" s="100"/>
      <c r="I15" s="100"/>
      <c r="J15" s="100"/>
      <c r="K15" s="100"/>
      <c r="L15" s="100"/>
      <c r="M15" s="100"/>
      <c r="N15" s="100"/>
      <c r="O15" s="100"/>
    </row>
    <row r="16" spans="1:15" s="30" customFormat="1" x14ac:dyDescent="0.25">
      <c r="A16" s="100"/>
      <c r="B16" s="100"/>
      <c r="C16" s="100"/>
      <c r="D16" s="100"/>
      <c r="E16" s="100"/>
      <c r="F16" s="100"/>
      <c r="G16" s="100"/>
      <c r="H16" s="100"/>
      <c r="I16" s="100"/>
      <c r="J16" s="100"/>
      <c r="K16" s="100"/>
      <c r="L16" s="100"/>
      <c r="M16" s="100"/>
      <c r="N16" s="100"/>
      <c r="O16" s="100"/>
    </row>
    <row r="17" spans="1:15" s="30" customFormat="1" x14ac:dyDescent="0.25">
      <c r="A17" s="100"/>
      <c r="B17" s="100"/>
      <c r="C17" s="100"/>
      <c r="D17" s="100"/>
      <c r="E17" s="100"/>
      <c r="F17" s="100"/>
      <c r="G17" s="100"/>
      <c r="H17" s="100"/>
      <c r="I17" s="100"/>
      <c r="J17" s="100"/>
      <c r="K17" s="100"/>
      <c r="L17" s="100"/>
      <c r="M17" s="100"/>
      <c r="N17" s="100"/>
      <c r="O17" s="100"/>
    </row>
    <row r="18" spans="1:15" s="30" customFormat="1" x14ac:dyDescent="0.25">
      <c r="A18" s="100"/>
      <c r="B18" s="100"/>
      <c r="C18" s="100"/>
      <c r="D18" s="100"/>
      <c r="E18" s="100"/>
      <c r="F18" s="100"/>
      <c r="G18" s="100"/>
      <c r="H18" s="100"/>
      <c r="I18" s="100"/>
      <c r="J18" s="100"/>
      <c r="K18" s="100"/>
      <c r="L18" s="100"/>
      <c r="M18" s="100"/>
      <c r="N18" s="100"/>
      <c r="O18" s="100"/>
    </row>
    <row r="19" spans="1:15" s="30" customFormat="1" x14ac:dyDescent="0.25">
      <c r="A19" s="100"/>
      <c r="B19" s="100"/>
      <c r="C19" s="100"/>
      <c r="D19" s="100"/>
      <c r="E19" s="100"/>
      <c r="F19" s="100"/>
      <c r="G19" s="100"/>
      <c r="H19" s="100"/>
      <c r="I19" s="100"/>
      <c r="J19" s="100"/>
      <c r="K19" s="100"/>
      <c r="L19" s="100"/>
      <c r="M19" s="100"/>
      <c r="N19" s="100"/>
      <c r="O19" s="100"/>
    </row>
    <row r="20" spans="1:15" s="30" customFormat="1" x14ac:dyDescent="0.25">
      <c r="A20" s="100"/>
      <c r="B20" s="100"/>
      <c r="C20" s="100"/>
      <c r="D20" s="100"/>
      <c r="E20" s="100"/>
      <c r="F20" s="100"/>
      <c r="G20" s="100"/>
      <c r="H20" s="100"/>
      <c r="I20" s="100"/>
      <c r="J20" s="100"/>
      <c r="K20" s="100"/>
      <c r="L20" s="100"/>
      <c r="M20" s="100"/>
      <c r="N20" s="100"/>
      <c r="O20" s="100"/>
    </row>
    <row r="21" spans="1:15" s="30" customFormat="1" x14ac:dyDescent="0.25">
      <c r="A21" s="100"/>
      <c r="B21" s="100"/>
      <c r="C21" s="100"/>
      <c r="D21" s="100"/>
      <c r="E21" s="100"/>
      <c r="F21" s="100"/>
      <c r="G21" s="100"/>
      <c r="H21" s="100"/>
      <c r="I21" s="100"/>
      <c r="J21" s="100"/>
      <c r="K21" s="100"/>
      <c r="L21" s="100"/>
      <c r="M21" s="100"/>
      <c r="N21" s="100"/>
      <c r="O21" s="100"/>
    </row>
    <row r="22" spans="1:15" x14ac:dyDescent="0.25">
      <c r="A22" s="13"/>
      <c r="B22" s="30"/>
      <c r="C22" s="30"/>
      <c r="D22" s="30"/>
      <c r="E22" s="50"/>
      <c r="F22" s="35"/>
      <c r="G22" s="34"/>
      <c r="H22" s="89" t="s">
        <v>100</v>
      </c>
      <c r="I22" s="95">
        <f>SUM(I3:I21)</f>
        <v>0</v>
      </c>
      <c r="J22" s="89"/>
      <c r="K22" s="89"/>
      <c r="L22" s="89" t="s">
        <v>101</v>
      </c>
      <c r="M22" s="95">
        <f>SUM(N3:N21)</f>
        <v>0</v>
      </c>
    </row>
    <row r="23" spans="1:15" x14ac:dyDescent="0.25">
      <c r="A23" s="34"/>
      <c r="B23" s="34"/>
      <c r="C23" s="90"/>
      <c r="D23" s="91"/>
      <c r="E23" s="35"/>
      <c r="F23" s="34"/>
      <c r="G23" s="34"/>
      <c r="H23" s="36"/>
      <c r="I23" s="30"/>
      <c r="J23" s="30"/>
      <c r="K23" s="30"/>
      <c r="L23" s="30"/>
      <c r="M23" s="30"/>
    </row>
    <row r="24" spans="1:15" x14ac:dyDescent="0.25">
      <c r="A24" s="2" t="s">
        <v>8</v>
      </c>
      <c r="B24" s="30"/>
      <c r="C24" s="30"/>
      <c r="D24" s="30"/>
      <c r="E24" s="30"/>
      <c r="F24" s="30"/>
      <c r="G24" s="30"/>
      <c r="H24" s="30"/>
      <c r="I24" s="30"/>
      <c r="J24" s="30"/>
      <c r="K24" s="30"/>
      <c r="L24" s="30"/>
      <c r="M24" s="30"/>
    </row>
    <row r="25" spans="1:15" x14ac:dyDescent="0.25">
      <c r="A25" s="30" t="s">
        <v>102</v>
      </c>
      <c r="B25" s="30"/>
      <c r="C25" s="30"/>
      <c r="D25" s="30"/>
      <c r="E25" s="30"/>
      <c r="F25" s="30"/>
      <c r="G25" s="30"/>
      <c r="H25" s="30"/>
      <c r="I25" s="30"/>
      <c r="J25" s="30"/>
      <c r="K25" s="30"/>
      <c r="L25" s="30"/>
      <c r="M25" s="30"/>
    </row>
    <row r="26" spans="1:15" x14ac:dyDescent="0.25">
      <c r="A26" s="30" t="s">
        <v>103</v>
      </c>
      <c r="B26" s="30"/>
      <c r="C26" s="30"/>
      <c r="D26" s="30"/>
      <c r="E26" s="30"/>
      <c r="F26" s="30"/>
      <c r="G26" s="30"/>
      <c r="H26" s="30"/>
      <c r="I26" s="30"/>
      <c r="J26" s="30"/>
      <c r="K26" s="30"/>
      <c r="L26" s="30"/>
      <c r="M26" s="30"/>
    </row>
    <row r="27" spans="1:15" x14ac:dyDescent="0.25">
      <c r="A27" s="30" t="s">
        <v>104</v>
      </c>
      <c r="B27" s="30"/>
      <c r="C27" s="30"/>
      <c r="D27" s="30"/>
      <c r="E27" s="30"/>
      <c r="F27" s="30"/>
      <c r="G27" s="30"/>
      <c r="H27" s="30"/>
      <c r="I27" s="30"/>
      <c r="J27" s="30"/>
      <c r="K27" s="30"/>
      <c r="L27" s="30"/>
      <c r="M27" s="30"/>
    </row>
    <row r="28" spans="1:15" x14ac:dyDescent="0.25">
      <c r="A28" s="30"/>
      <c r="B28" s="30"/>
      <c r="C28" s="30"/>
      <c r="D28" s="30"/>
      <c r="E28" s="30"/>
      <c r="F28" s="30"/>
      <c r="G28" s="30"/>
      <c r="H28" s="30"/>
      <c r="I28" s="30"/>
      <c r="J28" s="30"/>
      <c r="K28" s="30"/>
      <c r="L28" s="30"/>
      <c r="M28" s="30"/>
    </row>
    <row r="29" spans="1:15" ht="18.75" x14ac:dyDescent="0.3">
      <c r="B29" s="1" t="s">
        <v>41</v>
      </c>
      <c r="C29" s="38"/>
      <c r="D29" s="30"/>
      <c r="E29" s="30"/>
      <c r="F29" s="38"/>
      <c r="G29" s="38"/>
      <c r="H29" s="30"/>
      <c r="I29" s="30"/>
      <c r="J29" s="30"/>
      <c r="K29" s="30"/>
      <c r="L29" s="30"/>
      <c r="M29" s="30"/>
    </row>
    <row r="30" spans="1:15" x14ac:dyDescent="0.25">
      <c r="A30" s="92" t="s">
        <v>6</v>
      </c>
      <c r="B30" s="96" t="s">
        <v>14</v>
      </c>
      <c r="C30" s="97"/>
      <c r="D30" s="97"/>
      <c r="E30" s="97"/>
      <c r="F30" s="97"/>
      <c r="G30" s="98"/>
      <c r="H30" s="93" t="s">
        <v>31</v>
      </c>
      <c r="I30" s="94" t="s">
        <v>30</v>
      </c>
      <c r="J30" s="92" t="s">
        <v>48</v>
      </c>
      <c r="K30" s="92" t="s">
        <v>52</v>
      </c>
      <c r="L30" s="92" t="s">
        <v>53</v>
      </c>
      <c r="M30" s="30"/>
    </row>
    <row r="31" spans="1:15" x14ac:dyDescent="0.25">
      <c r="A31" s="3"/>
      <c r="B31" s="4"/>
      <c r="C31" s="46"/>
      <c r="D31" s="62"/>
      <c r="E31" s="63"/>
      <c r="F31" s="5"/>
      <c r="G31" s="43"/>
      <c r="H31" s="59"/>
      <c r="I31" s="18"/>
      <c r="J31" s="3"/>
      <c r="K31" s="3"/>
      <c r="L31" s="55"/>
      <c r="M31" s="56"/>
    </row>
    <row r="32" spans="1:15" x14ac:dyDescent="0.25">
      <c r="A32" s="3"/>
      <c r="B32" s="4"/>
      <c r="C32" s="46"/>
      <c r="D32" s="62"/>
      <c r="E32" s="63"/>
      <c r="F32" s="5"/>
      <c r="G32" s="43"/>
      <c r="H32" s="59"/>
      <c r="I32" s="18"/>
      <c r="J32" s="3"/>
      <c r="K32" s="3"/>
      <c r="L32" s="55"/>
      <c r="M32" s="56"/>
    </row>
    <row r="33" spans="1:13" x14ac:dyDescent="0.25">
      <c r="A33" s="3"/>
      <c r="B33" s="4"/>
      <c r="C33" s="46"/>
      <c r="D33" s="62"/>
      <c r="E33" s="63"/>
      <c r="F33" s="5"/>
      <c r="G33" s="43"/>
      <c r="H33" s="59"/>
      <c r="I33" s="18"/>
      <c r="J33" s="3"/>
      <c r="K33" s="3"/>
      <c r="L33" s="55"/>
      <c r="M33" s="56"/>
    </row>
    <row r="34" spans="1:13" x14ac:dyDescent="0.25">
      <c r="A34" s="3"/>
      <c r="B34" s="4"/>
      <c r="C34" s="46"/>
      <c r="D34" s="62"/>
      <c r="E34" s="63"/>
      <c r="F34" s="5"/>
      <c r="G34" s="43"/>
      <c r="H34" s="59"/>
      <c r="I34" s="18"/>
      <c r="J34" s="3"/>
      <c r="K34" s="3"/>
      <c r="L34" s="55"/>
      <c r="M34" s="56"/>
    </row>
  </sheetData>
  <sortState xmlns:xlrd2="http://schemas.microsoft.com/office/spreadsheetml/2017/richdata2" ref="A3:O21">
    <sortCondition ref="O3:O21"/>
    <sortCondition ref="B3:B21"/>
  </sortState>
  <mergeCells count="1">
    <mergeCell ref="B30:G30"/>
  </mergeCells>
  <dataValidations disablePrompts="1" count="1">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31:E34" xr:uid="{7F0508A1-48C8-4AA3-8799-419AC35BC348}">
      <formula1>E31&lt;&gt;"*"</formula1>
    </dataValidation>
  </dataValidations>
  <pageMargins left="0.25" right="0.25" top="0.75" bottom="0.75" header="0.3" footer="0.3"/>
  <pageSetup paperSize="9" scale="93" fitToWidth="0" fitToHeight="0" orientation="landscape" r:id="rId1"/>
  <headerFooter>
    <oddHeader>&amp;R&amp;D. &amp;T. Страница &amp;P/&amp;N&amp;LКРОМКА Бузмакова гардероб у входа</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4" r:id="rId4" name="Button 2">
              <controlPr defaultSize="0" print="0" autoFill="0" autoPict="0" macro="[0]!СкрытьПервыйСтолбик">
                <anchor>
                  <from>
                    <xdr:col>17</xdr:col>
                    <xdr:colOff>228600</xdr:colOff>
                    <xdr:row>0</xdr:row>
                    <xdr:rowOff>190500</xdr:rowOff>
                  </from>
                  <to>
                    <xdr:col>21</xdr:col>
                    <xdr:colOff>390525</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A94C6-D352-44B6-83E3-A5E431236380}">
  <sheetPr codeName="Лист4"/>
  <dimension ref="A1:N32"/>
  <sheetViews>
    <sheetView view="pageBreakPreview" zoomScale="115" zoomScaleNormal="100" zoomScaleSheetLayoutView="115" workbookViewId="0">
      <selection activeCell="B4" sqref="B4"/>
    </sheetView>
  </sheetViews>
  <sheetFormatPr defaultRowHeight="15" x14ac:dyDescent="0.25"/>
  <cols>
    <col min="1" max="1" width="6.85546875" customWidth="1"/>
    <col min="2" max="2" width="23.28515625" customWidth="1"/>
    <col min="7" max="7" width="18" customWidth="1"/>
  </cols>
  <sheetData>
    <row r="1" spans="1:14" ht="18.75" x14ac:dyDescent="0.3">
      <c r="A1" s="1" t="s">
        <v>108</v>
      </c>
      <c r="C1" s="30"/>
      <c r="D1" s="84"/>
      <c r="E1" s="84"/>
      <c r="F1" s="84"/>
      <c r="G1" s="30"/>
      <c r="H1" s="30"/>
      <c r="I1" s="30"/>
      <c r="J1" s="85"/>
    </row>
    <row r="2" spans="1:14" ht="30" x14ac:dyDescent="0.25">
      <c r="A2" s="65" t="s">
        <v>6</v>
      </c>
      <c r="B2" s="65" t="str">
        <f>"Наименование"</f>
        <v>Наименование</v>
      </c>
      <c r="C2" s="87" t="s">
        <v>98</v>
      </c>
      <c r="D2" s="88" t="s">
        <v>99</v>
      </c>
      <c r="E2" s="65" t="s">
        <v>2</v>
      </c>
      <c r="F2" s="65" t="s">
        <v>97</v>
      </c>
      <c r="G2" s="65" t="s">
        <v>48</v>
      </c>
      <c r="H2" s="65" t="s">
        <v>49</v>
      </c>
      <c r="I2" s="65" t="s">
        <v>50</v>
      </c>
      <c r="J2" s="65" t="s">
        <v>4</v>
      </c>
    </row>
    <row r="3" spans="1:14" s="30" customFormat="1" x14ac:dyDescent="0.25">
      <c r="A3" s="18"/>
      <c r="B3" s="18"/>
      <c r="C3" s="18"/>
      <c r="D3" s="18"/>
      <c r="E3" s="18"/>
      <c r="F3" s="18"/>
      <c r="G3" s="18"/>
      <c r="H3" s="18"/>
      <c r="I3" s="18"/>
      <c r="J3" s="18"/>
      <c r="K3"/>
      <c r="L3"/>
      <c r="M3"/>
      <c r="N3"/>
    </row>
    <row r="4" spans="1:14" s="30" customFormat="1" x14ac:dyDescent="0.25">
      <c r="A4" s="18"/>
      <c r="B4" s="18"/>
      <c r="C4" s="18"/>
      <c r="D4" s="18"/>
      <c r="E4" s="18"/>
      <c r="F4" s="18"/>
      <c r="G4" s="18"/>
      <c r="H4" s="18"/>
      <c r="I4" s="18"/>
      <c r="J4" s="18"/>
    </row>
    <row r="5" spans="1:14" x14ac:dyDescent="0.25">
      <c r="A5" s="18"/>
      <c r="B5" s="18"/>
      <c r="C5" s="18"/>
      <c r="D5" s="18"/>
      <c r="E5" s="18"/>
      <c r="F5" s="18"/>
      <c r="G5" s="18"/>
      <c r="H5" s="18"/>
      <c r="I5" s="18"/>
      <c r="J5" s="18"/>
    </row>
    <row r="6" spans="1:14" s="30" customFormat="1" x14ac:dyDescent="0.25">
      <c r="A6" s="18"/>
      <c r="B6" s="18"/>
      <c r="C6" s="18"/>
      <c r="D6" s="18"/>
      <c r="E6" s="18"/>
      <c r="F6" s="18"/>
      <c r="G6" s="18"/>
      <c r="H6" s="18"/>
      <c r="I6" s="18"/>
      <c r="J6" s="18"/>
      <c r="K6"/>
      <c r="L6"/>
      <c r="M6"/>
      <c r="N6"/>
    </row>
    <row r="7" spans="1:14" s="30" customFormat="1" x14ac:dyDescent="0.25">
      <c r="A7" s="18"/>
      <c r="B7" s="18"/>
      <c r="C7" s="18"/>
      <c r="D7" s="18"/>
      <c r="E7" s="18"/>
      <c r="F7" s="18"/>
      <c r="G7" s="18"/>
      <c r="H7" s="18"/>
      <c r="I7" s="18"/>
      <c r="J7" s="18"/>
    </row>
    <row r="8" spans="1:14" s="30" customFormat="1" x14ac:dyDescent="0.25">
      <c r="A8" s="18"/>
      <c r="B8" s="18"/>
      <c r="C8" s="18"/>
      <c r="D8" s="18"/>
      <c r="E8" s="18"/>
      <c r="F8" s="18"/>
      <c r="G8" s="18"/>
      <c r="H8" s="18"/>
      <c r="I8" s="18"/>
      <c r="J8" s="18"/>
      <c r="K8"/>
      <c r="L8"/>
      <c r="M8"/>
      <c r="N8"/>
    </row>
    <row r="9" spans="1:14" s="30" customFormat="1" x14ac:dyDescent="0.25">
      <c r="A9" s="18"/>
      <c r="B9" s="18"/>
      <c r="C9" s="18"/>
      <c r="D9" s="18"/>
      <c r="E9" s="18"/>
      <c r="F9" s="18"/>
      <c r="G9" s="18"/>
      <c r="H9" s="18"/>
      <c r="I9" s="18"/>
      <c r="J9" s="18"/>
    </row>
    <row r="10" spans="1:14" s="30" customFormat="1" x14ac:dyDescent="0.25">
      <c r="A10" s="18"/>
      <c r="B10" s="18"/>
      <c r="C10" s="18"/>
      <c r="D10" s="18"/>
      <c r="E10" s="18"/>
      <c r="F10" s="18"/>
      <c r="G10" s="18"/>
      <c r="H10" s="18"/>
      <c r="I10" s="18"/>
      <c r="J10" s="18"/>
      <c r="K10"/>
      <c r="L10"/>
      <c r="M10"/>
      <c r="N10"/>
    </row>
    <row r="11" spans="1:14" s="30" customFormat="1" x14ac:dyDescent="0.25">
      <c r="A11" s="18"/>
      <c r="B11" s="18"/>
      <c r="C11" s="18"/>
      <c r="D11" s="18"/>
      <c r="E11" s="18"/>
      <c r="F11" s="18"/>
      <c r="G11" s="18"/>
      <c r="H11" s="18"/>
      <c r="I11" s="18"/>
      <c r="J11" s="18"/>
      <c r="K11"/>
      <c r="L11"/>
      <c r="M11"/>
      <c r="N11"/>
    </row>
    <row r="12" spans="1:14" s="30" customFormat="1" x14ac:dyDescent="0.25">
      <c r="A12" s="18"/>
      <c r="B12" s="18"/>
      <c r="C12" s="18"/>
      <c r="D12" s="18"/>
      <c r="E12" s="18"/>
      <c r="F12" s="18"/>
      <c r="G12" s="18"/>
      <c r="H12" s="18"/>
      <c r="I12" s="18"/>
      <c r="J12" s="18"/>
      <c r="K12"/>
      <c r="L12"/>
      <c r="M12"/>
      <c r="N12"/>
    </row>
    <row r="13" spans="1:14" s="30" customFormat="1" x14ac:dyDescent="0.25">
      <c r="A13" s="18"/>
      <c r="B13" s="18"/>
      <c r="C13" s="18"/>
      <c r="D13" s="18"/>
      <c r="E13" s="18"/>
      <c r="F13" s="18"/>
      <c r="G13" s="18"/>
      <c r="H13" s="18"/>
      <c r="I13" s="18"/>
      <c r="J13" s="18"/>
      <c r="K13"/>
      <c r="L13"/>
      <c r="M13"/>
      <c r="N13"/>
    </row>
    <row r="14" spans="1:14" s="30" customFormat="1" x14ac:dyDescent="0.25">
      <c r="A14" s="18"/>
      <c r="B14" s="18"/>
      <c r="C14" s="18"/>
      <c r="D14" s="18"/>
      <c r="E14" s="18"/>
      <c r="F14" s="18"/>
      <c r="G14" s="18"/>
      <c r="H14" s="18"/>
      <c r="I14" s="18"/>
      <c r="J14" s="18"/>
      <c r="K14"/>
      <c r="L14"/>
      <c r="M14"/>
      <c r="N14"/>
    </row>
    <row r="15" spans="1:14" s="30" customFormat="1" x14ac:dyDescent="0.25">
      <c r="A15" s="18"/>
      <c r="B15" s="18"/>
      <c r="C15" s="18"/>
      <c r="D15" s="18"/>
      <c r="E15" s="18"/>
      <c r="F15" s="18"/>
      <c r="G15" s="18"/>
      <c r="H15" s="18"/>
      <c r="I15" s="18"/>
      <c r="J15" s="18"/>
      <c r="K15"/>
      <c r="L15"/>
      <c r="M15"/>
      <c r="N15"/>
    </row>
    <row r="16" spans="1:14" s="30" customFormat="1" x14ac:dyDescent="0.25">
      <c r="A16" s="18"/>
      <c r="B16" s="18"/>
      <c r="C16" s="18"/>
      <c r="D16" s="18"/>
      <c r="E16" s="18"/>
      <c r="F16" s="18"/>
      <c r="G16" s="18"/>
      <c r="H16" s="18"/>
      <c r="I16" s="18"/>
      <c r="J16" s="18"/>
      <c r="K16"/>
      <c r="L16"/>
      <c r="M16"/>
      <c r="N16"/>
    </row>
    <row r="17" spans="1:14" s="30" customFormat="1" x14ac:dyDescent="0.25">
      <c r="A17" s="18"/>
      <c r="B17" s="18"/>
      <c r="C17" s="18"/>
      <c r="D17" s="18"/>
      <c r="E17" s="18"/>
      <c r="F17" s="18"/>
      <c r="G17" s="18"/>
      <c r="H17" s="18"/>
      <c r="I17" s="18"/>
      <c r="J17" s="18"/>
      <c r="K17"/>
      <c r="L17"/>
      <c r="M17"/>
      <c r="N17"/>
    </row>
    <row r="18" spans="1:14" s="30" customFormat="1" x14ac:dyDescent="0.25">
      <c r="A18" s="18"/>
      <c r="B18" s="18"/>
      <c r="C18" s="18"/>
      <c r="D18" s="18"/>
      <c r="E18" s="18"/>
      <c r="F18" s="18"/>
      <c r="G18" s="18"/>
      <c r="H18" s="18"/>
      <c r="I18" s="18"/>
      <c r="J18" s="18"/>
      <c r="K18"/>
      <c r="L18"/>
      <c r="M18"/>
      <c r="N18"/>
    </row>
    <row r="19" spans="1:14" s="30" customFormat="1" x14ac:dyDescent="0.25">
      <c r="A19" s="18"/>
      <c r="B19" s="18"/>
      <c r="C19" s="18"/>
      <c r="D19" s="18"/>
      <c r="E19" s="18"/>
      <c r="F19" s="18"/>
      <c r="G19" s="18"/>
      <c r="H19" s="18"/>
      <c r="I19" s="18"/>
      <c r="J19" s="18"/>
      <c r="K19"/>
      <c r="L19"/>
      <c r="M19"/>
      <c r="N19"/>
    </row>
    <row r="20" spans="1:14" s="30" customFormat="1" x14ac:dyDescent="0.25">
      <c r="A20" s="18"/>
      <c r="B20" s="18"/>
      <c r="C20" s="18"/>
      <c r="D20" s="18"/>
      <c r="E20" s="18"/>
      <c r="F20" s="18"/>
      <c r="G20" s="18"/>
      <c r="H20" s="18"/>
      <c r="I20" s="18"/>
      <c r="J20" s="18"/>
      <c r="K20"/>
      <c r="L20"/>
      <c r="M20"/>
      <c r="N20"/>
    </row>
    <row r="21" spans="1:14" s="30" customFormat="1" x14ac:dyDescent="0.25">
      <c r="A21" s="18"/>
      <c r="B21" s="18"/>
      <c r="C21" s="18"/>
      <c r="D21" s="18"/>
      <c r="E21" s="18"/>
      <c r="F21" s="18"/>
      <c r="G21" s="18"/>
      <c r="H21" s="18"/>
      <c r="I21" s="18"/>
      <c r="J21" s="18"/>
      <c r="K21"/>
      <c r="L21"/>
      <c r="M21"/>
      <c r="N21"/>
    </row>
    <row r="22" spans="1:14" s="30" customFormat="1" x14ac:dyDescent="0.25">
      <c r="A22" s="18"/>
      <c r="B22" s="18"/>
      <c r="C22" s="18"/>
      <c r="D22" s="18"/>
      <c r="E22" s="18"/>
      <c r="F22" s="18"/>
      <c r="G22" s="18"/>
      <c r="H22" s="18"/>
      <c r="I22" s="18"/>
      <c r="J22" s="18"/>
      <c r="K22"/>
      <c r="L22"/>
      <c r="M22"/>
      <c r="N22"/>
    </row>
    <row r="23" spans="1:14" s="30" customFormat="1" x14ac:dyDescent="0.25">
      <c r="A23" s="18"/>
      <c r="B23" s="18"/>
      <c r="C23" s="18"/>
      <c r="D23" s="18"/>
      <c r="E23" s="18"/>
      <c r="F23" s="18"/>
      <c r="G23" s="18"/>
      <c r="H23" s="18"/>
      <c r="I23" s="18"/>
      <c r="J23" s="18"/>
      <c r="K23"/>
      <c r="L23"/>
      <c r="M23"/>
      <c r="N23"/>
    </row>
    <row r="24" spans="1:14" s="30" customFormat="1" x14ac:dyDescent="0.25">
      <c r="A24" s="18"/>
      <c r="B24" s="18"/>
      <c r="C24" s="18"/>
      <c r="D24" s="18"/>
      <c r="E24" s="18"/>
      <c r="F24" s="18"/>
      <c r="G24" s="18"/>
      <c r="H24" s="18"/>
      <c r="I24" s="18"/>
      <c r="J24" s="18"/>
      <c r="K24"/>
      <c r="L24"/>
      <c r="M24"/>
      <c r="N24"/>
    </row>
    <row r="25" spans="1:14" s="30" customFormat="1" x14ac:dyDescent="0.25">
      <c r="A25" s="18"/>
      <c r="B25" s="18"/>
      <c r="C25" s="18"/>
      <c r="D25" s="18"/>
      <c r="E25" s="18"/>
      <c r="F25" s="18"/>
      <c r="G25" s="18"/>
      <c r="H25" s="18"/>
      <c r="I25" s="18"/>
      <c r="J25" s="18"/>
      <c r="K25"/>
      <c r="L25"/>
      <c r="M25"/>
      <c r="N25"/>
    </row>
    <row r="26" spans="1:14" s="30" customFormat="1" x14ac:dyDescent="0.25">
      <c r="A26" s="18"/>
      <c r="B26" s="18"/>
      <c r="C26" s="18"/>
      <c r="D26" s="18"/>
      <c r="E26" s="18"/>
      <c r="F26" s="18"/>
      <c r="G26" s="18"/>
      <c r="H26" s="18"/>
      <c r="I26" s="18"/>
      <c r="J26" s="18"/>
    </row>
    <row r="27" spans="1:14" s="30" customFormat="1" x14ac:dyDescent="0.25">
      <c r="A27" s="18"/>
      <c r="B27" s="18"/>
      <c r="C27" s="18"/>
      <c r="D27" s="18"/>
      <c r="E27" s="18"/>
      <c r="F27" s="18"/>
      <c r="G27" s="18"/>
      <c r="H27" s="18"/>
      <c r="I27" s="18"/>
      <c r="J27" s="18"/>
      <c r="K27"/>
      <c r="L27"/>
      <c r="M27"/>
      <c r="N27"/>
    </row>
    <row r="28" spans="1:14" x14ac:dyDescent="0.25">
      <c r="A28" s="13"/>
      <c r="B28" s="30"/>
      <c r="C28" s="50"/>
      <c r="D28" s="89" t="s">
        <v>100</v>
      </c>
      <c r="E28" s="99">
        <f>SUM(E3:E27)</f>
        <v>0</v>
      </c>
      <c r="F28" s="33"/>
      <c r="G28" s="89"/>
      <c r="H28" s="89"/>
      <c r="I28" s="89" t="s">
        <v>107</v>
      </c>
      <c r="J28" s="95">
        <f>SUM(K3:K27)</f>
        <v>0</v>
      </c>
    </row>
    <row r="29" spans="1:14" x14ac:dyDescent="0.25">
      <c r="A29" s="13"/>
      <c r="B29" s="30"/>
      <c r="C29" s="50"/>
      <c r="D29" s="89"/>
      <c r="E29" s="33"/>
      <c r="F29" s="33"/>
      <c r="G29" s="89"/>
      <c r="H29" s="89"/>
      <c r="I29" s="89"/>
      <c r="J29" s="30"/>
    </row>
    <row r="30" spans="1:14" x14ac:dyDescent="0.25">
      <c r="A30" s="2" t="s">
        <v>8</v>
      </c>
      <c r="B30" s="30"/>
      <c r="C30" s="50"/>
      <c r="D30" s="89"/>
      <c r="E30" s="33"/>
      <c r="F30" s="33"/>
      <c r="G30" s="89"/>
      <c r="H30" s="89"/>
      <c r="I30" s="89"/>
      <c r="J30" s="30"/>
    </row>
    <row r="31" spans="1:14" x14ac:dyDescent="0.25">
      <c r="A31" s="30"/>
      <c r="B31" s="30"/>
      <c r="C31" s="30"/>
      <c r="D31" s="30"/>
      <c r="E31" s="30"/>
      <c r="F31" s="30"/>
      <c r="G31" s="30"/>
      <c r="H31" s="30"/>
      <c r="I31" s="30"/>
      <c r="J31" s="30"/>
    </row>
    <row r="32" spans="1:14" x14ac:dyDescent="0.25">
      <c r="A32" s="34"/>
      <c r="B32" s="34"/>
      <c r="C32" s="90"/>
      <c r="D32" s="90"/>
      <c r="E32" s="91"/>
      <c r="F32" s="91"/>
      <c r="G32" s="35"/>
      <c r="H32" s="34"/>
      <c r="I32" s="34"/>
      <c r="J32" s="36"/>
    </row>
  </sheetData>
  <pageMargins left="0.7" right="0.7" top="0.75" bottom="0.75" header="0.3" footer="0.3"/>
  <pageSetup paperSize="9" orientation="landscape" r:id="rId1"/>
  <headerFooter>
    <oddHeader>&amp;R&amp;D. &amp;T. Страница &amp;P/&amp;N&amp;LРАСПИЛ Бузмакова гардероб у входа</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utton 3">
              <controlPr defaultSize="0" print="0" autoFill="0" autoPict="0" macro="[0]!СкрытьПервыйСтолбик">
                <anchor>
                  <from>
                    <xdr:col>12</xdr:col>
                    <xdr:colOff>400050</xdr:colOff>
                    <xdr:row>0</xdr:row>
                    <xdr:rowOff>66675</xdr:rowOff>
                  </from>
                  <to>
                    <xdr:col>16</xdr:col>
                    <xdr:colOff>571500</xdr:colOff>
                    <xdr:row>1</xdr:row>
                    <xdr:rowOff>257175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3</vt:i4>
      </vt:variant>
    </vt:vector>
  </HeadingPairs>
  <TitlesOfParts>
    <vt:vector size="8" baseType="lpstr">
      <vt:lpstr>ИсходныйСкрытый</vt:lpstr>
      <vt:lpstr>Деталировка</vt:lpstr>
      <vt:lpstr>СКЛАД</vt:lpstr>
      <vt:lpstr>КРОМКА</vt:lpstr>
      <vt:lpstr>РАСПИЛ</vt:lpstr>
      <vt:lpstr>Деталировка!Область_печати</vt:lpstr>
      <vt:lpstr>КРОМКА!Область_печати</vt:lpstr>
      <vt:lpstr>РАСПИЛ!Область_печати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2022-02-05T13:00:06Z</cp:lastPrinted>
  <dcterms:created xsi:type="dcterms:W3CDTF">2014-06-23T08:47:00Z</dcterms:created>
  <dcterms:modified xsi:type="dcterms:W3CDTF">2022-02-05T13:09:11Z</dcterms:modified>
</cp:coreProperties>
</file>
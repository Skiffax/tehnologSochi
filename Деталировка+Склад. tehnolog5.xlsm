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D:\работа\Проекты\tehnolog-sochi\"/>
    </mc:Choice>
  </mc:AlternateContent>
  <xr:revisionPtr revIDLastSave="0" documentId="13_ncr:1_{D572943E-8C2E-4D55-AB28-2805250E7B92}" xr6:coauthVersionLast="45" xr6:coauthVersionMax="47" xr10:uidLastSave="{00000000-0000-0000-0000-000000000000}"/>
  <bookViews>
    <workbookView xWindow="-120" yWindow="-120" windowWidth="29040" windowHeight="15840" tabRatio="368" activeTab="1" xr2:uid="{00000000-000D-0000-FFFF-FFFF00000000}"/>
  </bookViews>
  <sheets>
    <sheet name="ИсходныйСкрытый" sheetId="662" r:id="rId1"/>
    <sheet name="Деталировка" sheetId="660" r:id="rId2"/>
    <sheet name="Склад" sheetId="663" r:id="rId3"/>
  </sheets>
  <functionGroups builtInGroupCount="19"/>
  <definedNames>
    <definedName name="_xlnm._FilterDatabase" localSheetId="1" hidden="1">Деталировка!#REF!</definedName>
    <definedName name="_xlnm.Print_Area" localSheetId="1">Деталировка!$A$2:$M$23</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4" i="660" l="1"/>
  <c r="L4" i="660"/>
  <c r="M4" i="660"/>
  <c r="K5" i="660"/>
  <c r="L5" i="660"/>
  <c r="M5" i="660"/>
  <c r="K6" i="660"/>
  <c r="L6" i="660"/>
  <c r="M6" i="660"/>
  <c r="J6" i="660" l="1"/>
  <c r="A6" i="660" s="1"/>
  <c r="E6" i="660"/>
  <c r="N6" i="660" s="1"/>
  <c r="B6" i="660"/>
  <c r="F4" i="660"/>
  <c r="J4" i="660"/>
  <c r="A4" i="660" s="1"/>
  <c r="I4" i="660"/>
  <c r="B4" i="660"/>
  <c r="J5" i="660"/>
  <c r="A5" i="660" s="1"/>
  <c r="I5" i="660"/>
  <c r="B5" i="660"/>
  <c r="M7" i="660"/>
  <c r="L7" i="660"/>
  <c r="K7" i="660"/>
  <c r="J7" i="660"/>
  <c r="A7" i="660" s="1"/>
  <c r="I7" i="660"/>
  <c r="B7" i="660"/>
  <c r="I6" i="660" l="1"/>
  <c r="F6" i="660"/>
  <c r="F5" i="660"/>
  <c r="F7" i="660"/>
  <c r="E7" i="660"/>
  <c r="N7" i="660" s="1"/>
  <c r="E5" i="660"/>
  <c r="N5" i="660" s="1"/>
  <c r="E4" i="660"/>
  <c r="N4" i="660" s="1"/>
  <c r="I8" i="660" l="1"/>
  <c r="M5" i="662"/>
  <c r="F5" i="662" s="1"/>
  <c r="L5" i="662"/>
  <c r="K5" i="662"/>
  <c r="J5" i="662"/>
  <c r="A5" i="662" s="1"/>
  <c r="B5" i="662"/>
  <c r="I5" i="662" l="1"/>
  <c r="E5" i="662"/>
  <c r="N5" i="662" s="1"/>
  <c r="M15" i="662"/>
  <c r="H15" i="662" s="1"/>
  <c r="J15" i="662"/>
  <c r="A15" i="662" s="1"/>
  <c r="I15" i="662"/>
  <c r="I47" i="660"/>
  <c r="I31" i="660"/>
  <c r="B3" i="660"/>
  <c r="A2" i="660"/>
  <c r="D15" i="662" l="1"/>
  <c r="N15" i="662" s="1"/>
  <c r="E15" i="662"/>
  <c r="A16" i="660"/>
  <c r="A35" i="660"/>
  <c r="A24"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8"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16"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sharedStrings.xml><?xml version="1.0" encoding="utf-8"?>
<sst xmlns="http://schemas.openxmlformats.org/spreadsheetml/2006/main" count="158" uniqueCount="121">
  <si>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</si>
  <si>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</si>
  <si>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</si>
  <si>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</si>
  <si>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</si>
  <si>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</si>
  <si>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</si>
  <si>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</si>
  <si>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</si>
  <si>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</si>
  <si>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</si>
  <si>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</si>
  <si>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</si>
  <si>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</si>
  <si>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</si>
  <si>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</si>
  <si>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</si>
  <si>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</si>
  <si>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</si>
  <si>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</si>
  <si>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</si>
  <si>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</si>
  <si>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</si>
  <si>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</si>
  <si>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</si>
  <si>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</si>
  <si>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</si>
  <si>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</si>
  <si>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</si>
  <si>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</si>
  <si>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</si>
  <si>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</si>
  <si>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</si>
  <si>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</si>
  <si>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</si>
  <si>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</si>
  <si>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</si>
  <si>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</si>
  <si>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</si>
  <si>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</si>
  <si>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</si>
  <si>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</si>
  <si>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</si>
  <si>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</si>
  <si>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</si>
  <si>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</si>
  <si>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</si>
  <si>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</si>
  <si>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</si>
  <si>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</si>
  <si>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</si>
  <si>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</si>
  <si>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</si>
  <si>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</si>
  <si>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</si>
  <si>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</si>
  <si>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XДФ 3.2 Белый</t>
  </si>
  <si>
    <t>XДФ 4 Белый</t>
  </si>
  <si>
    <t>МДФ 2800х2070х19 мм лам. Белая 1 ст. (фанком)</t>
  </si>
  <si>
    <t>ЛМДФ 19 Белый 1 ст.</t>
  </si>
  <si>
    <t>МДФ 2800х2070х6 мм (фанком)</t>
  </si>
  <si>
    <t>МДФ 6 мм</t>
  </si>
  <si>
    <t>ЛДСП EGGER U222 ST9 Крем бежевый 2800х2070х16</t>
  </si>
  <si>
    <t>ЛДСП 16 EGGER U222 ST9 Крем бежевый</t>
  </si>
  <si>
    <t>камень Akrilika apietra M611</t>
  </si>
  <si>
    <t>камень 12 Akrilika apietra M-611</t>
  </si>
  <si>
    <t>Пластик EGGER U702 HG Кашемир серый 2800х1310х0.8</t>
  </si>
  <si>
    <t>пластик 0.8 EGGER U702 HG Кашемир серый</t>
  </si>
  <si>
    <t>Пластик Arpa 2516 Перламутр 3050х1300х0,6 (домфорт)</t>
  </si>
  <si>
    <t>Пластик 0.6 Arpa 2516 Перламутр</t>
  </si>
  <si>
    <t>Кромка ABS dlk 1001/647 глянец 23*1 мм, бьянко (Doellken)</t>
  </si>
  <si>
    <t>кромка ABS 23*1 Doellken 1001/647 бьянко глянец</t>
  </si>
  <si>
    <t>Кромка EGGER U222 ST9 Крем бежевый 0.4х19</t>
  </si>
  <si>
    <t>кромка ПВХ 0.4*19 EGGER U222 ST9 Крем бежевый</t>
  </si>
  <si>
    <t>Ножки/Ножка пластмассовая кухонная (Н=100)</t>
  </si>
  <si>
    <t>Ножка кухонная с клипсой пластик H=100</t>
  </si>
  <si>
    <t>Клипса ножки кухонной</t>
  </si>
  <si>
    <t>Полкодержатели/Полкодержатель для деревянных полок (боченок)</t>
  </si>
  <si>
    <t>Полкодержатель бочёнок</t>
  </si>
  <si>
    <t>Крепеж/Уголок таккера</t>
  </si>
  <si>
    <t>Уголок 20*20 с крышкой в цвет</t>
  </si>
  <si>
    <t>BLUM Ящик antaro M с выс. фас., "D", 1 релинг, 500мм, бел.ш.</t>
  </si>
  <si>
    <t>BLUM ящик antaro "D", 1 релинг, 500мм, бел.ш.</t>
  </si>
  <si>
    <t>BLUM Петля Clip t. B. 110° 1/2накл. с дов. п.самор.</t>
  </si>
  <si>
    <t>BLUM петля 110° полунакладная + дов.</t>
  </si>
  <si>
    <t>BLUM Петля Clip накл с дов. п.самор. 110гр. (71B3550)</t>
  </si>
  <si>
    <t>BLUM петля 110° накладная + дов.</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</si>
  <si>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</si>
  <si>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</si>
  <si>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</si>
  <si>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</si>
  <si>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</si>
  <si>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sdfdf</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</si>
  <si>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</si>
  <si>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</si>
  <si>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</si>
  <si>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</si>
  <si>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</si>
  <si>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</si>
  <si>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</si>
  <si>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</si>
  <si>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</si>
  <si>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</si>
  <si>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</si>
  <si>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</si>
  <si>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</si>
  <si>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</si>
  <si>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</si>
  <si>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</si>
  <si>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</si>
  <si>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</si>
  <si>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</si>
  <si>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</si>
  <si>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</si>
  <si>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</si>
  <si>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</si>
  <si>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</si>
  <si>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</si>
  <si>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</si>
  <si>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</si>
  <si>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bCad-teh20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</si>
</sst>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sz val="11"/>
      <name val="Arial"/>
      <family val="2"/>
      <charset val="204"/>
    </font>
    <font>
      <b/>
      <sz val="11"/>
      <name val="Arial"/>
      <family val="2"/>
      <charset val="204"/>
    </font>
    <font>
      <b/>
      <sz val="16"/>
      <color theme="1"/>
      <name val="Calibri"/>
      <family val="2"/>
      <charset val="204"/>
      <scheme val="minor"/>
    </font>
    <font>
      <sz val="11"/>
      <name val="Calibri"/>
      <family val="2"/>
      <charset val="204"/>
    </font>
  </fonts>
  <fills count="3">
    <fill>
      <patternFill patternType="none"/>
    </fill>
    <fill>
      <patternFill patternType="gray125"/>
    </fill>
    <fill>
      <patternFill patternType="solid">
        <fgColor rgb="FFCC9900"/>
        <bgColor indexed="64"/>
      </patternFill>
    </fill>
  </fills>
  <borders count="9">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1" fillId="0" borderId="0"/>
  </cellStyleXfs>
  <cellXfs count="85">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8" xfId="0" applyNumberFormat="1" applyFont="1" applyBorder="1"/>
    <xf numFmtId="0" fontId="15" fillId="0" borderId="8" xfId="0" applyFont="1" applyBorder="1"/>
    <xf numFmtId="49" fontId="16" fillId="0" borderId="0" xfId="0" applyNumberFormat="1" applyFont="1" applyAlignment="1">
      <alignment horizontal="center"/>
    </xf>
    <xf numFmtId="0" fontId="0" fillId="0" borderId="3" xfId="0" applyFont="1" applyBorder="1"/>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5" fillId="0" borderId="0" xfId="0" applyNumberFormat="1" applyFont="1" applyBorder="1"/>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7" fillId="0" borderId="0" xfId="0" applyFont="1"/>
    <xf numFmtId="0" fontId="0" fillId="0" borderId="0" xfId="0" applyAlignment="1">
      <alignment horizontal="center"/>
    </xf>
  </cellXfs>
  <cellStyles count="2">
    <cellStyle name="Обычный" xfId="0" builtinId="0"/>
    <cellStyle name="Обычный 3" xfId="1" xr:uid="{00000000-0005-0000-0000-000001000000}"/>
  </cellStyles>
  <dxfs count="164">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190500</xdr:colOff>
          <xdr:row>0</xdr:row>
          <xdr:rowOff>171450</xdr:rowOff>
        </xdr:from>
        <xdr:to>
          <xdr:col>17</xdr:col>
          <xdr:colOff>69574</xdr:colOff>
          <xdr:row>5</xdr:row>
          <xdr:rowOff>57150</xdr:rowOff>
        </xdr:to>
        <xdr:sp macro="" textlink="">
          <xdr:nvSpPr>
            <xdr:cNvPr id="46081" name="Button 1" descr="Проверка сумм" hidden="1">
              <a:extLst>
                <a:ext uri="{63B3BB69-23CF-44E3-9099-C40C66FF867C}">
                  <a14:compatExt spid="_x0000_s46081"/>
                </a:ext>
                <a:ext uri="{FF2B5EF4-FFF2-40B4-BE49-F238E27FC236}">
                  <a16:creationId xmlns:a16="http://schemas.microsoft.com/office/drawing/2014/main" id="{F0DF5F13-4DD7-42C7-80DC-72BCF03C149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rPr>
                <a:t>Вставить и рассчитать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215346</xdr:colOff>
          <xdr:row>6</xdr:row>
          <xdr:rowOff>125067</xdr:rowOff>
        </xdr:from>
        <xdr:to>
          <xdr:col>17</xdr:col>
          <xdr:colOff>140804</xdr:colOff>
          <xdr:row>11</xdr:row>
          <xdr:rowOff>163167</xdr:rowOff>
        </xdr:to>
        <xdr:sp macro="" textlink="">
          <xdr:nvSpPr>
            <xdr:cNvPr id="46082" name="Button 2" descr="Проверка сумм" hidden="1">
              <a:extLst>
                <a:ext uri="{63B3BB69-23CF-44E3-9099-C40C66FF867C}">
                  <a14:compatExt spid="_x0000_s46082"/>
                </a:ext>
                <a:ext uri="{FF2B5EF4-FFF2-40B4-BE49-F238E27FC236}">
                  <a16:creationId xmlns:a16="http://schemas.microsoft.com/office/drawing/2014/main" id="{3EA9976E-BED8-4952-9919-998FB851689F}"/>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uk-UA" sz="1100" b="0" i="0" u="none" strike="noStrike" baseline="0">
                  <a:solidFill>
                    <a:srgbClr val="000000"/>
                  </a:solidFill>
                  <a:latin typeface="Calibri"/>
                </a:rPr>
                <a:t>Очистить всё</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54"/>
  <sheetViews>
    <sheetView workbookViewId="0">
      <selection activeCell="B71" sqref="B71"/>
    </sheetView>
  </sheetViews>
  <sheetFormatPr defaultRowHeight="15" x14ac:dyDescent="0.25"/>
  <cols>
    <col min="1" max="1" width="50.85546875" customWidth="1"/>
    <col min="2" max="2" width="52" customWidth="1"/>
  </cols>
  <sheetData>
    <row r="1" spans="1:29"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29" ht="18.75" x14ac:dyDescent="0.3">
      <c r="A2" s="1" t="s">
        <v>93</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29"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29"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29"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row>
    <row r="6" spans="1:29"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29"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29"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29"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29"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29"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29"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29"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29"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29"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94</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89</v>
      </c>
    </row>
    <row r="24" spans="1:6" x14ac:dyDescent="0.25">
      <c r="B24" t="s">
        <v>91</v>
      </c>
    </row>
    <row r="26" spans="1:6" s="30" customFormat="1" ht="21" x14ac:dyDescent="0.35">
      <c r="A26" s="83" t="s">
        <v>117</v>
      </c>
    </row>
    <row r="27" spans="1:6" s="30" customFormat="1" x14ac:dyDescent="0.25"/>
    <row r="28" spans="1:6" s="30" customFormat="1" ht="15.75" x14ac:dyDescent="0.25">
      <c r="A28" s="2" t="s">
        <v>95</v>
      </c>
      <c r="F28" s="31" t="s">
        <v>96</v>
      </c>
    </row>
    <row r="29" spans="1:6" s="30" customFormat="1" x14ac:dyDescent="0.25">
      <c r="A29" s="76" t="s">
        <v>3</v>
      </c>
      <c r="B29" s="76" t="s">
        <v>97</v>
      </c>
      <c r="C29" s="76" t="s">
        <v>98</v>
      </c>
      <c r="F29" s="77" t="s">
        <v>99</v>
      </c>
    </row>
    <row r="30" spans="1:6" s="30" customFormat="1" x14ac:dyDescent="0.25">
      <c r="F30" s="30" t="s">
        <v>100</v>
      </c>
    </row>
    <row r="31" spans="1:6" s="30" customFormat="1" x14ac:dyDescent="0.25">
      <c r="A31" s="78" t="s">
        <v>101</v>
      </c>
      <c r="C31" s="79"/>
      <c r="F31" s="30" t="s">
        <v>102</v>
      </c>
    </row>
    <row r="32" spans="1:6" s="30" customFormat="1" x14ac:dyDescent="0.25">
      <c r="A32" s="76" t="s">
        <v>3</v>
      </c>
      <c r="B32" s="76" t="s">
        <v>97</v>
      </c>
      <c r="C32" s="76" t="s">
        <v>98</v>
      </c>
    </row>
    <row r="33" spans="1:6" s="30" customFormat="1" x14ac:dyDescent="0.25">
      <c r="F33" s="30" t="s">
        <v>119</v>
      </c>
    </row>
    <row r="34" spans="1:6" s="30" customFormat="1" x14ac:dyDescent="0.25">
      <c r="A34" s="2" t="s">
        <v>103</v>
      </c>
      <c r="B34" s="2"/>
      <c r="C34" s="80"/>
    </row>
    <row r="35" spans="1:6" s="30" customFormat="1" x14ac:dyDescent="0.25">
      <c r="A35" s="76" t="s">
        <v>3</v>
      </c>
      <c r="B35" s="76" t="s">
        <v>104</v>
      </c>
      <c r="C35" s="81">
        <v>1.2</v>
      </c>
    </row>
    <row r="36" spans="1:6" s="30" customFormat="1" x14ac:dyDescent="0.25"/>
    <row r="37" spans="1:6" s="30" customFormat="1" x14ac:dyDescent="0.25">
      <c r="A37" s="2" t="s">
        <v>106</v>
      </c>
      <c r="C37" s="79"/>
    </row>
    <row r="38" spans="1:6" s="30" customFormat="1" x14ac:dyDescent="0.25">
      <c r="A38" s="76" t="s">
        <v>107</v>
      </c>
      <c r="B38" s="76" t="s">
        <v>108</v>
      </c>
      <c r="C38" s="76" t="s">
        <v>109</v>
      </c>
    </row>
    <row r="39" spans="1:6" s="30" customFormat="1" x14ac:dyDescent="0.25"/>
    <row r="40" spans="1:6" s="30" customFormat="1" x14ac:dyDescent="0.25">
      <c r="A40" s="78" t="s">
        <v>110</v>
      </c>
      <c r="B40" s="82"/>
      <c r="C40" s="82"/>
    </row>
    <row r="41" spans="1:6" s="30" customFormat="1" x14ac:dyDescent="0.25">
      <c r="A41" s="76" t="s">
        <v>107</v>
      </c>
      <c r="B41" s="76" t="s">
        <v>111</v>
      </c>
      <c r="C41" s="76" t="s">
        <v>109</v>
      </c>
    </row>
    <row r="42" spans="1:6" s="30" customFormat="1" x14ac:dyDescent="0.25"/>
    <row r="43" spans="1:6" s="30" customFormat="1" ht="18.75" x14ac:dyDescent="0.3">
      <c r="A43" s="1" t="s">
        <v>112</v>
      </c>
    </row>
    <row r="44" spans="1:6" s="30" customFormat="1" x14ac:dyDescent="0.25"/>
    <row r="45" spans="1:6" x14ac:dyDescent="0.25">
      <c r="A45" s="30"/>
      <c r="B45" s="30"/>
      <c r="C45" s="30"/>
      <c r="D45" s="30"/>
      <c r="E45" s="30"/>
      <c r="F45" s="30"/>
    </row>
    <row r="46" spans="1:6" x14ac:dyDescent="0.25">
      <c r="A46" s="2" t="s">
        <v>113</v>
      </c>
      <c r="B46" s="30"/>
      <c r="C46" s="30"/>
      <c r="D46" s="30"/>
      <c r="E46" s="30"/>
      <c r="F46" s="30"/>
    </row>
    <row r="47" spans="1:6" s="30" customFormat="1" x14ac:dyDescent="0.25">
      <c r="A47" s="30" t="s">
        <v>114</v>
      </c>
    </row>
    <row r="48" spans="1:6" s="30" customFormat="1" x14ac:dyDescent="0.25">
      <c r="A48" s="30" t="s">
        <v>115</v>
      </c>
    </row>
    <row r="49" spans="1:6" s="30" customFormat="1" x14ac:dyDescent="0.25">
      <c r="A49" s="2" t="s">
        <v>116</v>
      </c>
    </row>
    <row r="50" spans="1:6" s="30" customFormat="1" x14ac:dyDescent="0.25"/>
    <row r="51" spans="1:6" s="30" customFormat="1" ht="21" x14ac:dyDescent="0.35">
      <c r="A51" s="83" t="s">
        <v>118</v>
      </c>
    </row>
    <row r="52" spans="1:6" s="30" customFormat="1" x14ac:dyDescent="0.25"/>
    <row r="53" spans="1:6" ht="15.75" x14ac:dyDescent="0.25">
      <c r="F53" s="31" t="s">
        <v>96</v>
      </c>
    </row>
    <row r="54" spans="1:6" ht="18.75" x14ac:dyDescent="0.3">
      <c r="A54" s="1" t="s">
        <v>55</v>
      </c>
      <c r="F54" s="30" t="s">
        <v>105</v>
      </c>
    </row>
    <row r="55" spans="1:6" x14ac:dyDescent="0.25">
      <c r="A55" s="66" t="s">
        <v>87</v>
      </c>
      <c r="B55" s="66" t="s">
        <v>88</v>
      </c>
    </row>
    <row r="56" spans="1:6" x14ac:dyDescent="0.25">
      <c r="A56" s="64" t="s">
        <v>56</v>
      </c>
      <c r="B56" s="64" t="s">
        <v>57</v>
      </c>
    </row>
    <row r="57" spans="1:6" x14ac:dyDescent="0.25">
      <c r="A57" s="64" t="s">
        <v>58</v>
      </c>
      <c r="B57" s="64" t="s">
        <v>59</v>
      </c>
    </row>
    <row r="58" spans="1:6" x14ac:dyDescent="0.25">
      <c r="A58" s="64" t="s">
        <v>60</v>
      </c>
      <c r="B58" s="64" t="s">
        <v>61</v>
      </c>
    </row>
    <row r="59" spans="1:6" x14ac:dyDescent="0.25">
      <c r="A59" s="64" t="s">
        <v>62</v>
      </c>
      <c r="B59" s="64" t="s">
        <v>63</v>
      </c>
    </row>
    <row r="60" spans="1:6" x14ac:dyDescent="0.25">
      <c r="A60" s="65" t="s">
        <v>64</v>
      </c>
      <c r="B60" s="65" t="s">
        <v>65</v>
      </c>
    </row>
    <row r="61" spans="1:6" x14ac:dyDescent="0.25">
      <c r="A61" s="64" t="s">
        <v>66</v>
      </c>
      <c r="B61" s="64" t="s">
        <v>67</v>
      </c>
    </row>
    <row r="62" spans="1:6" x14ac:dyDescent="0.25">
      <c r="A62" s="64" t="s">
        <v>68</v>
      </c>
      <c r="B62" s="64" t="s">
        <v>69</v>
      </c>
    </row>
    <row r="63" spans="1:6" x14ac:dyDescent="0.25">
      <c r="A63" s="64" t="s">
        <v>70</v>
      </c>
      <c r="B63" s="64" t="s">
        <v>71</v>
      </c>
    </row>
    <row r="64" spans="1:6" x14ac:dyDescent="0.25">
      <c r="A64" s="64" t="s">
        <v>72</v>
      </c>
      <c r="B64" s="64" t="s">
        <v>73</v>
      </c>
    </row>
    <row r="65" spans="1:3" x14ac:dyDescent="0.25">
      <c r="A65" s="64" t="s">
        <v>74</v>
      </c>
      <c r="B65" s="64" t="s">
        <v>75</v>
      </c>
    </row>
    <row r="66" spans="1:3" x14ac:dyDescent="0.25">
      <c r="A66" s="64" t="s">
        <v>76</v>
      </c>
      <c r="B66" s="64"/>
    </row>
    <row r="67" spans="1:3" x14ac:dyDescent="0.25">
      <c r="A67" s="64" t="s">
        <v>77</v>
      </c>
      <c r="B67" s="64" t="s">
        <v>78</v>
      </c>
    </row>
    <row r="68" spans="1:3" x14ac:dyDescent="0.25">
      <c r="A68" s="64" t="s">
        <v>79</v>
      </c>
      <c r="B68" s="64" t="s">
        <v>80</v>
      </c>
    </row>
    <row r="69" spans="1:3" x14ac:dyDescent="0.25">
      <c r="A69" s="64" t="s">
        <v>81</v>
      </c>
      <c r="B69" s="64" t="s">
        <v>82</v>
      </c>
    </row>
    <row r="70" spans="1:3" x14ac:dyDescent="0.25">
      <c r="A70" s="64" t="s">
        <v>83</v>
      </c>
      <c r="B70" s="64" t="s">
        <v>84</v>
      </c>
    </row>
    <row r="71" spans="1:3" x14ac:dyDescent="0.25">
      <c r="A71" s="64" t="s">
        <v>85</v>
      </c>
      <c r="B71" s="64" t="s">
        <v>86</v>
      </c>
    </row>
    <row r="72" spans="1:3" s="30" customFormat="1" x14ac:dyDescent="0.25">
      <c r="A72" s="75"/>
      <c r="B72" s="75"/>
    </row>
    <row r="73" spans="1:3" s="30" customFormat="1" x14ac:dyDescent="0.25"/>
    <row r="74" spans="1:3" s="30" customFormat="1" x14ac:dyDescent="0.25"/>
    <row r="75" spans="1:3" s="30" customFormat="1" x14ac:dyDescent="0.25"/>
    <row r="76" spans="1:3" s="30" customFormat="1" x14ac:dyDescent="0.25"/>
    <row r="77" spans="1:3" s="30" customFormat="1" x14ac:dyDescent="0.25"/>
    <row r="78" spans="1:3" s="30" customFormat="1" x14ac:dyDescent="0.25">
      <c r="A78"/>
    </row>
    <row r="79" spans="1:3" s="30" customFormat="1" x14ac:dyDescent="0.25">
      <c r="A79"/>
      <c r="B79"/>
      <c r="C79"/>
    </row>
    <row r="80" spans="1:3" s="30" customFormat="1" x14ac:dyDescent="0.25">
      <c r="A80"/>
      <c r="B80"/>
      <c r="C80"/>
    </row>
    <row r="81" spans="1:3" s="30" customFormat="1" x14ac:dyDescent="0.25">
      <c r="A81"/>
      <c r="B81"/>
      <c r="C81"/>
    </row>
    <row r="82" spans="1:3" s="30" customFormat="1" x14ac:dyDescent="0.25">
      <c r="A82"/>
      <c r="B82"/>
      <c r="C82"/>
    </row>
    <row r="83" spans="1:3" s="30" customFormat="1" x14ac:dyDescent="0.25">
      <c r="A83"/>
      <c r="B83"/>
      <c r="C83"/>
    </row>
    <row r="84" spans="1:3" s="30" customFormat="1" x14ac:dyDescent="0.25">
      <c r="A84"/>
      <c r="B84"/>
      <c r="C84"/>
    </row>
    <row r="85" spans="1:3" s="30" customFormat="1" x14ac:dyDescent="0.25">
      <c r="A85"/>
      <c r="B85"/>
      <c r="C85"/>
    </row>
    <row r="86" spans="1:3" s="30" customFormat="1" x14ac:dyDescent="0.25">
      <c r="A86"/>
      <c r="B86"/>
      <c r="C86"/>
    </row>
    <row r="87" spans="1:3" s="30" customFormat="1" x14ac:dyDescent="0.25">
      <c r="A87"/>
      <c r="B87"/>
      <c r="C87"/>
    </row>
    <row r="88" spans="1:3" s="30" customFormat="1" x14ac:dyDescent="0.25">
      <c r="A88"/>
      <c r="B88"/>
      <c r="C88"/>
    </row>
    <row r="89" spans="1:3" s="30" customFormat="1" x14ac:dyDescent="0.25">
      <c r="A89"/>
      <c r="B89"/>
      <c r="C89"/>
    </row>
    <row r="90" spans="1:3" s="30" customFormat="1" x14ac:dyDescent="0.25">
      <c r="A90"/>
      <c r="B90"/>
      <c r="C90"/>
    </row>
    <row r="254" spans="35:35" x14ac:dyDescent="0.25">
      <c r="AI254" t="s">
        <v>90</v>
      </c>
    </row>
  </sheetData>
  <conditionalFormatting sqref="D15">
    <cfRule type="expression" dxfId="163" priority="19">
      <formula>AND(AND(NOT(ISBLANK(C15)),NOT(C15=$O$1)),AND(NOT(ISBLANK(B15)),NOT(B15=$O$1)))</formula>
    </cfRule>
    <cfRule type="expression" dxfId="162" priority="20">
      <formula>OR(AND(NOT(ISBLANK(C15)),NOT(C15=$O$1)),AND(NOT(ISBLANK(B15)),NOT(B15=$O$1)))</formula>
    </cfRule>
  </conditionalFormatting>
  <conditionalFormatting sqref="E15">
    <cfRule type="expression" dxfId="161" priority="17">
      <formula>AND(AND(NOT(ISBLANK(F15)),NOT(F15=$O$1)),AND(NOT(ISBLANK(G15)),NOT(G15=$O$1)))</formula>
    </cfRule>
    <cfRule type="expression" dxfId="160" priority="18">
      <formula>OR(AND(NOT(ISBLANK(F15)),NOT(F15=$O$1)),AND(NOT(ISBLANK(G15)),NOT(G15=$O$1)))</formula>
    </cfRule>
  </conditionalFormatting>
  <conditionalFormatting sqref="B15">
    <cfRule type="expression" dxfId="159" priority="16" stopIfTrue="1">
      <formula>AND(NOT(ISBLANK(B15)),NOT(_xlfn.ISFORMULA(B15)))</formula>
    </cfRule>
  </conditionalFormatting>
  <conditionalFormatting sqref="C15">
    <cfRule type="expression" dxfId="158" priority="15" stopIfTrue="1">
      <formula>AND(NOT(ISBLANK(C15)),NOT(_xlfn.ISFORMULA(C15)))</formula>
    </cfRule>
  </conditionalFormatting>
  <conditionalFormatting sqref="F15">
    <cfRule type="expression" dxfId="157" priority="14" stopIfTrue="1">
      <formula>AND(NOT(ISBLANK(F15)),NOT(_xlfn.ISFORMULA(F15)))</formula>
    </cfRule>
  </conditionalFormatting>
  <conditionalFormatting sqref="G15">
    <cfRule type="expression" dxfId="156" priority="13" stopIfTrue="1">
      <formula>AND(NOT(ISBLANK(G15)),NOT(_xlfn.ISFORMULA(G15)))</formula>
    </cfRule>
  </conditionalFormatting>
  <conditionalFormatting sqref="E5">
    <cfRule type="expression" dxfId="155" priority="3">
      <formula>AND(AND(NOT(ISBLANK(D5)),NOT(D5=$O$1)),AND(NOT(ISBLANK(C5)),NOT(C5=$O$1)))</formula>
    </cfRule>
    <cfRule type="expression" dxfId="154" priority="4">
      <formula>OR(AND(NOT(ISBLANK(D5)),NOT(D5=$O$1)),AND(NOT(ISBLANK(C5)),NOT(C5=$O$1)))</formula>
    </cfRule>
  </conditionalFormatting>
  <conditionalFormatting sqref="F5">
    <cfRule type="expression" dxfId="153" priority="1">
      <formula>AND(AND(NOT(ISBLANK(G5)),NOT(G5=$O$1)),AND(NOT(ISBLANK(H5)),NOT(H5=$O$1)))</formula>
    </cfRule>
    <cfRule type="expression" dxfId="152" priority="2">
      <formula>OR(AND(NOT(ISBLANK(G5)),NOT(G5=$O$1)),AND(NOT(ISBLANK(H5)),NOT(H5=$O$1)))</formula>
    </cfRule>
  </conditionalFormatting>
  <dataValidations disablePrompts="1"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25"/>
  <sheetViews>
    <sheetView tabSelected="1" view="pageBreakPreview" zoomScale="85" zoomScaleNormal="100" zoomScaleSheetLayoutView="85" workbookViewId="0">
      <selection activeCell="B4" sqref="B4"/>
    </sheetView>
  </sheetViews>
  <sheetFormatPr defaultRowHeight="15" x14ac:dyDescent="0.25"/>
  <cols>
    <col min="1" max="1" width="4.5703125" style="30" customWidth="1"/>
    <col min="2" max="2" width="29.5703125" style="30" customWidth="1"/>
    <col min="3" max="3" width="4.42578125" style="38" bestFit="1" customWidth="1"/>
    <col min="4" max="4" width="3.42578125" style="38" bestFit="1" customWidth="1"/>
    <col min="5" max="5" width="9.140625" style="30" customWidth="1"/>
    <col min="6" max="6" width="8.5703125" style="30" customWidth="1"/>
    <col min="7" max="7" width="4.42578125" style="38" bestFit="1" customWidth="1"/>
    <col min="8" max="8" width="5.57031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38" x14ac:dyDescent="0.25">
      <c r="A1" s="29" t="s">
        <v>120</v>
      </c>
      <c r="C1" s="38">
        <v>1</v>
      </c>
      <c r="J1" s="19"/>
      <c r="O1" s="20" t="s">
        <v>27</v>
      </c>
      <c r="P1" s="30">
        <v>10</v>
      </c>
      <c r="Q1" s="30">
        <v>20</v>
      </c>
      <c r="S1" s="30" t="s">
        <v>51</v>
      </c>
      <c r="X1" s="30" t="s">
        <v>54</v>
      </c>
      <c r="AA1"/>
      <c r="AB1"/>
      <c r="AC1"/>
      <c r="AD1"/>
      <c r="AE1"/>
      <c r="AG1" s="30" t="s">
        <v>36</v>
      </c>
    </row>
    <row r="2" spans="1:38" ht="18.75" x14ac:dyDescent="0.3">
      <c r="A2" s="1" t="str">
        <f>FunctionGetFileName()</f>
        <v>Деталировка. tehnolog5</v>
      </c>
      <c r="AA2"/>
      <c r="AB2"/>
      <c r="AC2"/>
      <c r="AD2"/>
      <c r="AE2"/>
    </row>
    <row r="3" spans="1:38" x14ac:dyDescent="0.25">
      <c r="A3" s="68" t="s">
        <v>6</v>
      </c>
      <c r="B3" s="69" t="str">
        <f>"Наименование"</f>
        <v>Наименование</v>
      </c>
      <c r="C3" s="70" t="s">
        <v>9</v>
      </c>
      <c r="D3" s="71" t="s">
        <v>11</v>
      </c>
      <c r="E3" s="72" t="s">
        <v>1</v>
      </c>
      <c r="F3" s="69" t="s">
        <v>0</v>
      </c>
      <c r="G3" s="71" t="s">
        <v>10</v>
      </c>
      <c r="H3" s="73" t="s">
        <v>12</v>
      </c>
      <c r="I3" s="74" t="s">
        <v>2</v>
      </c>
      <c r="J3" s="68" t="s">
        <v>48</v>
      </c>
      <c r="K3" s="69" t="s">
        <v>49</v>
      </c>
      <c r="L3" s="69" t="s">
        <v>50</v>
      </c>
      <c r="M3" s="68"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K3" s="18"/>
      <c r="AL3" s="18"/>
    </row>
    <row r="4" spans="1:38" x14ac:dyDescent="0.25">
      <c r="A4" s="9" t="str">
        <f t="shared" ref="A4:A7" si="0">CONCATENATE(O4,".",LEFT(J4))</f>
        <v>.0</v>
      </c>
      <c r="B4" s="32" t="str">
        <f t="shared" ref="B4:B7" si="1">CONCATENATE(IF(OR(Y4="Не определена",Y4,ISBLANK(Y4)),"↕",),IF(Y4="Не обязательна","±",),Q4,".",P4)</f>
        <v>↕.</v>
      </c>
      <c r="C4" s="54"/>
      <c r="D4" s="54"/>
      <c r="E4" s="48">
        <f t="shared" ref="E4:E7" si="2">IF(M4="скрутка",T4+$Q$1,IF(M4="склейка",T4+$Q$1,IF(M4="запил торца",ROUND(T4+$P$1,0),IF(M4="запил торцов",ROUND(T4+$P$1*2,0),T4))))+IF(G4=$O$1,$P$1,)+IF(H4=$O$1,$P$1,)</f>
        <v>0</v>
      </c>
      <c r="F4" s="48">
        <f t="shared" ref="F4:F7" si="3">IF(M4="скрутка",U4+$Q$1,IF(M4="склейка",U4+$Q$1,IF(M4="запил торца",ROUND(U4+$P$1,0),IF(M4="запил торцов",ROUND(U4+$P$1*2,0),U4))))+IF(C4=$O$1,$P$1,)+IF(D4=$O$1,$P$1,)</f>
        <v>0</v>
      </c>
      <c r="G4" s="54"/>
      <c r="H4" s="54"/>
      <c r="I4" s="49">
        <f t="shared" ref="I4:I7" si="4">IF(OR(M4="скрутка",M4="склейка"),Z4*2,Z4)</f>
        <v>0</v>
      </c>
      <c r="J4" s="53">
        <f t="shared" ref="J4:J7" si="5">X4</f>
        <v>0</v>
      </c>
      <c r="K4" s="52" t="str">
        <f t="shared" ref="K4:K6" si="6">IF(ISBLANK(AB4),"",AB4)</f>
        <v/>
      </c>
      <c r="L4" s="52" t="str">
        <f t="shared" ref="L4:L6" si="7">IF(ISBLANK(AC4),"",AC4)</f>
        <v/>
      </c>
      <c r="M4" s="51" t="str">
        <f t="shared" ref="M4:M6" si="8">IF(AA4="","",AA4)</f>
        <v/>
      </c>
      <c r="N4" s="30" t="str">
        <f t="shared" ref="N4:N7" si="9">CONCATENATE(IF(E4&lt;&gt;T4,"НеРавны",),IF(AND(NOT(ISBLANK(R4)),R4&lt;&gt;T4),"Д",),IF(AND(NOT(ISBLANK(S4)),S4&lt;&gt;U4),"Ш",))</f>
        <v/>
      </c>
      <c r="O4" s="22"/>
      <c r="P4" s="18"/>
      <c r="Q4" s="18"/>
      <c r="R4" s="18"/>
      <c r="S4" s="18"/>
      <c r="T4" s="3"/>
      <c r="U4" s="3"/>
      <c r="V4" s="23"/>
      <c r="W4" s="23"/>
      <c r="X4" s="18"/>
      <c r="Y4" s="18"/>
      <c r="Z4" s="18"/>
      <c r="AA4" s="18"/>
      <c r="AB4" s="18"/>
      <c r="AC4" s="18"/>
      <c r="AD4" s="30" t="s">
        <v>92</v>
      </c>
    </row>
    <row r="5" spans="1:38" x14ac:dyDescent="0.25">
      <c r="A5" s="9" t="str">
        <f t="shared" si="0"/>
        <v>.0</v>
      </c>
      <c r="B5" s="32" t="str">
        <f t="shared" si="1"/>
        <v>↕.</v>
      </c>
      <c r="C5" s="54"/>
      <c r="D5" s="54"/>
      <c r="E5" s="48">
        <f t="shared" si="2"/>
        <v>0</v>
      </c>
      <c r="F5" s="48">
        <f t="shared" si="3"/>
        <v>0</v>
      </c>
      <c r="G5" s="54"/>
      <c r="H5" s="54"/>
      <c r="I5" s="49">
        <f t="shared" si="4"/>
        <v>0</v>
      </c>
      <c r="J5" s="53">
        <f t="shared" si="5"/>
        <v>0</v>
      </c>
      <c r="K5" s="52" t="str">
        <f t="shared" si="6"/>
        <v/>
      </c>
      <c r="L5" s="52" t="str">
        <f t="shared" si="7"/>
        <v/>
      </c>
      <c r="M5" s="51" t="str">
        <f t="shared" si="8"/>
        <v/>
      </c>
      <c r="N5" s="30" t="str">
        <f t="shared" si="9"/>
        <v/>
      </c>
      <c r="O5" s="22"/>
      <c r="P5" s="18"/>
      <c r="Q5" s="18"/>
      <c r="R5" s="18"/>
      <c r="S5" s="18"/>
      <c r="T5" s="3"/>
      <c r="U5" s="3"/>
      <c r="V5" s="23"/>
      <c r="W5" s="23"/>
      <c r="X5" s="18"/>
      <c r="Y5" s="18"/>
      <c r="Z5" s="18"/>
      <c r="AA5" s="18"/>
      <c r="AB5" s="18"/>
      <c r="AC5" s="18"/>
    </row>
    <row r="6" spans="1:38" x14ac:dyDescent="0.25">
      <c r="A6" s="9" t="str">
        <f t="shared" si="0"/>
        <v>.0</v>
      </c>
      <c r="B6" s="32" t="str">
        <f t="shared" si="1"/>
        <v>↕.</v>
      </c>
      <c r="C6" s="54"/>
      <c r="D6" s="54"/>
      <c r="E6" s="48">
        <f t="shared" si="2"/>
        <v>0</v>
      </c>
      <c r="F6" s="48">
        <f t="shared" si="3"/>
        <v>0</v>
      </c>
      <c r="G6" s="54"/>
      <c r="H6" s="54"/>
      <c r="I6" s="49">
        <f t="shared" si="4"/>
        <v>0</v>
      </c>
      <c r="J6" s="53">
        <f t="shared" si="5"/>
        <v>0</v>
      </c>
      <c r="K6" s="52" t="str">
        <f t="shared" si="6"/>
        <v/>
      </c>
      <c r="L6" s="52" t="str">
        <f t="shared" si="7"/>
        <v/>
      </c>
      <c r="M6" s="51" t="str">
        <f t="shared" si="8"/>
        <v/>
      </c>
      <c r="N6" s="30" t="str">
        <f t="shared" si="9"/>
        <v/>
      </c>
      <c r="O6" s="22"/>
      <c r="P6" s="18"/>
      <c r="Q6" s="18"/>
      <c r="R6" s="18"/>
      <c r="S6" s="18"/>
      <c r="T6" s="3"/>
      <c r="U6" s="3"/>
      <c r="V6" s="23"/>
      <c r="W6" s="23"/>
      <c r="X6" s="26"/>
      <c r="Y6" s="18"/>
      <c r="Z6" s="18"/>
      <c r="AA6" s="18"/>
      <c r="AB6" s="18"/>
      <c r="AC6" s="18"/>
    </row>
    <row r="7" spans="1:38" x14ac:dyDescent="0.25">
      <c r="A7" s="9" t="str">
        <f t="shared" si="0"/>
        <v>.0</v>
      </c>
      <c r="B7" s="32" t="str">
        <f t="shared" si="1"/>
        <v>↕.</v>
      </c>
      <c r="C7" s="54"/>
      <c r="D7" s="54"/>
      <c r="E7" s="48">
        <f t="shared" si="2"/>
        <v>0</v>
      </c>
      <c r="F7" s="48">
        <f t="shared" si="3"/>
        <v>0</v>
      </c>
      <c r="G7" s="54"/>
      <c r="H7" s="54"/>
      <c r="I7" s="49">
        <f t="shared" si="4"/>
        <v>0</v>
      </c>
      <c r="J7" s="53">
        <f t="shared" si="5"/>
        <v>0</v>
      </c>
      <c r="K7" s="52" t="str">
        <f t="shared" ref="K7" si="10">IF(ISBLANK(AB7),"",AB7)</f>
        <v/>
      </c>
      <c r="L7" s="52" t="str">
        <f t="shared" ref="L7" si="11">IF(ISBLANK(AC7),"",AC7)</f>
        <v/>
      </c>
      <c r="M7" s="51" t="str">
        <f t="shared" ref="M7" si="12">IF(AA7="","",AA7)</f>
        <v/>
      </c>
      <c r="N7" s="30" t="str">
        <f t="shared" si="9"/>
        <v/>
      </c>
      <c r="O7" s="22"/>
      <c r="P7" s="18"/>
      <c r="Q7" s="18"/>
      <c r="R7" s="18"/>
      <c r="S7" s="18"/>
      <c r="T7" s="3"/>
      <c r="U7" s="3"/>
      <c r="V7" s="23"/>
      <c r="W7" s="23"/>
      <c r="X7" s="26"/>
      <c r="Y7" s="18"/>
      <c r="Z7" s="18"/>
      <c r="AA7" s="18"/>
      <c r="AB7" s="18"/>
      <c r="AC7" s="18"/>
    </row>
    <row r="8" spans="1:38" x14ac:dyDescent="0.25">
      <c r="A8" s="13"/>
      <c r="B8" s="34"/>
      <c r="C8" s="42"/>
      <c r="D8" s="42"/>
      <c r="E8" s="33"/>
      <c r="F8" s="33"/>
      <c r="G8" s="42"/>
      <c r="H8" s="45" t="s">
        <v>15</v>
      </c>
      <c r="I8" s="50">
        <f>SUM(I4:I7)</f>
        <v>0</v>
      </c>
      <c r="J8" s="35"/>
      <c r="K8" s="34"/>
      <c r="L8" s="34"/>
      <c r="M8" s="36"/>
      <c r="O8" s="24"/>
      <c r="V8" s="17"/>
      <c r="W8" s="17"/>
    </row>
    <row r="9" spans="1:38" ht="15" customHeight="1" x14ac:dyDescent="0.25">
      <c r="A9" s="34"/>
      <c r="B9" s="34"/>
      <c r="C9" s="42"/>
      <c r="D9" s="42"/>
      <c r="E9" s="33"/>
      <c r="F9" s="33"/>
      <c r="G9" s="42"/>
      <c r="H9" s="42"/>
      <c r="I9" s="25"/>
      <c r="J9" s="35"/>
      <c r="K9" s="34"/>
      <c r="L9" s="34"/>
      <c r="M9" s="36"/>
      <c r="O9" s="24"/>
      <c r="V9" s="17"/>
      <c r="W9" s="17"/>
    </row>
    <row r="10" spans="1:38" x14ac:dyDescent="0.25">
      <c r="A10" s="2" t="s">
        <v>8</v>
      </c>
      <c r="B10" s="13"/>
      <c r="C10" s="42"/>
      <c r="D10" s="42"/>
      <c r="E10" s="33"/>
      <c r="F10" s="33"/>
      <c r="G10" s="42"/>
      <c r="H10" s="42"/>
      <c r="I10" s="25"/>
      <c r="J10" s="37"/>
      <c r="K10" s="13"/>
      <c r="L10" s="13"/>
      <c r="M10" s="36"/>
      <c r="O10" s="24"/>
      <c r="V10" s="17"/>
      <c r="W10" s="17"/>
    </row>
    <row r="11" spans="1:38" x14ac:dyDescent="0.25">
      <c r="A11" s="30" t="s">
        <v>32</v>
      </c>
      <c r="B11" s="13"/>
      <c r="C11" s="42"/>
      <c r="D11" s="42"/>
      <c r="E11" s="33"/>
      <c r="F11" s="33"/>
      <c r="G11" s="42"/>
      <c r="H11" s="42"/>
      <c r="I11" s="25"/>
      <c r="J11" s="37"/>
      <c r="K11" s="13"/>
      <c r="L11" s="13"/>
      <c r="M11" s="36"/>
      <c r="O11" s="24"/>
      <c r="V11" s="17"/>
      <c r="W11" s="17"/>
    </row>
    <row r="12" spans="1:38" x14ac:dyDescent="0.25">
      <c r="A12" s="13" t="s">
        <v>33</v>
      </c>
    </row>
    <row r="13" spans="1:38" x14ac:dyDescent="0.25">
      <c r="A13" s="13" t="s">
        <v>16</v>
      </c>
    </row>
    <row r="14" spans="1:38" x14ac:dyDescent="0.25">
      <c r="A14" s="13" t="s">
        <v>28</v>
      </c>
    </row>
    <row r="15" spans="1:38" x14ac:dyDescent="0.25">
      <c r="A15" s="13"/>
    </row>
    <row r="16" spans="1:38" ht="18.75" x14ac:dyDescent="0.3">
      <c r="A16" s="1" t="str">
        <f>CONCATENATE(A2, ". Соответствие кромки и ДСП")</f>
        <v>Деталировка. tehnolog5. Соответствие кромки и ДСП</v>
      </c>
      <c r="N16" s="30" t="s">
        <v>35</v>
      </c>
    </row>
    <row r="17" spans="1:29" x14ac:dyDescent="0.25">
      <c r="A17" s="3" t="s">
        <v>6</v>
      </c>
      <c r="B17" s="4" t="s">
        <v>14</v>
      </c>
      <c r="C17" s="40"/>
      <c r="D17" s="60"/>
      <c r="E17" s="61"/>
      <c r="F17" s="5"/>
      <c r="G17" s="44"/>
      <c r="H17" s="57" t="s">
        <v>31</v>
      </c>
      <c r="I17" s="58" t="s">
        <v>30</v>
      </c>
      <c r="J17" s="3" t="s">
        <v>13</v>
      </c>
      <c r="K17" s="3" t="s">
        <v>52</v>
      </c>
      <c r="L17" s="55"/>
      <c r="M17" s="56"/>
    </row>
    <row r="18" spans="1:29" x14ac:dyDescent="0.25">
      <c r="A18" s="3"/>
      <c r="B18" s="4"/>
      <c r="C18" s="46"/>
      <c r="D18" s="62"/>
      <c r="E18" s="63"/>
      <c r="F18" s="5"/>
      <c r="G18" s="43"/>
      <c r="H18" s="59"/>
      <c r="I18" s="18"/>
      <c r="J18" s="3"/>
      <c r="K18" s="3"/>
      <c r="L18" s="55"/>
      <c r="M18" s="56"/>
    </row>
    <row r="19" spans="1:29" x14ac:dyDescent="0.25">
      <c r="A19" s="3"/>
      <c r="B19" s="67"/>
      <c r="C19" s="46"/>
      <c r="D19" s="62"/>
      <c r="E19" s="63"/>
      <c r="F19" s="5"/>
      <c r="G19" s="43"/>
      <c r="H19" s="59"/>
      <c r="I19" s="18"/>
      <c r="J19" s="3"/>
      <c r="K19" s="3"/>
      <c r="L19" s="55"/>
      <c r="M19" s="56"/>
    </row>
    <row r="20" spans="1:29" x14ac:dyDescent="0.25">
      <c r="A20" s="3"/>
      <c r="B20" s="67"/>
      <c r="C20" s="46"/>
      <c r="D20" s="62"/>
      <c r="E20" s="63"/>
      <c r="F20" s="5"/>
      <c r="G20" s="43"/>
      <c r="H20" s="59"/>
      <c r="I20" s="18"/>
      <c r="J20" s="3"/>
      <c r="K20" s="3"/>
      <c r="L20" s="55"/>
      <c r="M20" s="56"/>
    </row>
    <row r="21" spans="1:29" x14ac:dyDescent="0.25">
      <c r="A21" s="3"/>
      <c r="B21" s="67"/>
      <c r="C21" s="46"/>
      <c r="D21" s="62"/>
      <c r="E21" s="63"/>
      <c r="F21" s="5"/>
      <c r="G21" s="43"/>
      <c r="H21" s="59"/>
      <c r="I21" s="18"/>
      <c r="J21" s="3"/>
      <c r="K21" s="3"/>
      <c r="L21" s="55"/>
      <c r="M21" s="56"/>
    </row>
    <row r="22" spans="1:29" x14ac:dyDescent="0.25">
      <c r="A22" s="3"/>
      <c r="B22" s="67"/>
      <c r="C22" s="46"/>
      <c r="D22" s="62"/>
      <c r="E22" s="63"/>
      <c r="F22" s="5"/>
      <c r="G22" s="43"/>
      <c r="H22" s="59"/>
      <c r="I22" s="18"/>
      <c r="J22" s="3"/>
      <c r="K22" s="3"/>
      <c r="L22" s="55"/>
      <c r="M22" s="56"/>
    </row>
    <row r="23" spans="1:29" x14ac:dyDescent="0.25">
      <c r="A23" s="3"/>
      <c r="B23" s="4"/>
      <c r="C23" s="46"/>
      <c r="D23" s="62"/>
      <c r="E23" s="63"/>
      <c r="F23" s="5"/>
      <c r="G23" s="43"/>
      <c r="H23" s="59"/>
      <c r="I23" s="18"/>
      <c r="J23" s="18"/>
      <c r="K23" s="3"/>
      <c r="L23" s="55"/>
      <c r="M23" s="56"/>
    </row>
    <row r="24" spans="1:29" ht="18.75" x14ac:dyDescent="0.3">
      <c r="A24" s="1" t="str">
        <f>CONCATENATE(A2, ". Стекло")</f>
        <v>Деталировка. tehnolog5. Стекло</v>
      </c>
    </row>
    <row r="25" spans="1:29" x14ac:dyDescent="0.25">
      <c r="A25" s="3" t="s">
        <v>6</v>
      </c>
      <c r="B25" s="4" t="s">
        <v>5</v>
      </c>
      <c r="C25" s="39" t="s">
        <v>9</v>
      </c>
      <c r="D25" s="40" t="s">
        <v>11</v>
      </c>
      <c r="E25" s="6" t="s">
        <v>1</v>
      </c>
      <c r="F25" s="7" t="s">
        <v>0</v>
      </c>
      <c r="G25" s="40" t="s">
        <v>10</v>
      </c>
      <c r="H25" s="44" t="s">
        <v>12</v>
      </c>
      <c r="I25" s="8" t="s">
        <v>2</v>
      </c>
      <c r="J25" s="3" t="s">
        <v>3</v>
      </c>
      <c r="K25" s="4"/>
      <c r="L25" s="4"/>
      <c r="M25" s="3" t="s">
        <v>4</v>
      </c>
    </row>
    <row r="26" spans="1:29" x14ac:dyDescent="0.25">
      <c r="A26" s="9"/>
      <c r="B26" s="32"/>
      <c r="C26" s="41"/>
      <c r="D26" s="41"/>
      <c r="E26" s="14"/>
      <c r="F26" s="14"/>
      <c r="G26" s="41"/>
      <c r="H26" s="41"/>
      <c r="I26" s="10"/>
      <c r="J26" s="11"/>
      <c r="K26" s="32"/>
      <c r="L26" s="32"/>
      <c r="M26" s="28"/>
      <c r="O26" s="22"/>
      <c r="P26" s="18"/>
      <c r="Q26" s="18"/>
      <c r="R26" s="18"/>
      <c r="S26" s="18"/>
      <c r="T26" s="3"/>
      <c r="U26" s="3"/>
      <c r="V26" s="23"/>
      <c r="W26" s="23"/>
      <c r="X26" s="18"/>
      <c r="Y26" s="18"/>
      <c r="Z26" s="18"/>
      <c r="AA26" s="18"/>
      <c r="AB26" s="18"/>
      <c r="AC26" s="18"/>
    </row>
    <row r="27" spans="1:29" x14ac:dyDescent="0.25">
      <c r="A27" s="9"/>
      <c r="B27" s="32"/>
      <c r="C27" s="41"/>
      <c r="D27" s="41"/>
      <c r="E27" s="14"/>
      <c r="F27" s="14"/>
      <c r="G27" s="41"/>
      <c r="H27" s="41"/>
      <c r="I27" s="10"/>
      <c r="J27" s="11"/>
      <c r="K27" s="32"/>
      <c r="L27" s="32"/>
      <c r="M27" s="28"/>
      <c r="O27" s="22"/>
      <c r="P27" s="18"/>
      <c r="Q27" s="18"/>
      <c r="R27" s="18"/>
      <c r="S27" s="18"/>
      <c r="T27" s="3"/>
      <c r="U27" s="3"/>
      <c r="V27" s="23"/>
      <c r="W27" s="23"/>
      <c r="X27" s="18"/>
      <c r="Y27" s="18"/>
      <c r="Z27" s="18"/>
      <c r="AA27" s="18"/>
      <c r="AB27" s="18"/>
      <c r="AC27" s="18"/>
    </row>
    <row r="28" spans="1:29" x14ac:dyDescent="0.25">
      <c r="A28" s="9"/>
      <c r="B28" s="32"/>
      <c r="C28" s="41"/>
      <c r="D28" s="41"/>
      <c r="E28" s="14"/>
      <c r="F28" s="14"/>
      <c r="G28" s="41"/>
      <c r="H28" s="41"/>
      <c r="I28" s="10"/>
      <c r="J28" s="11"/>
      <c r="K28" s="32"/>
      <c r="L28" s="32"/>
      <c r="M28" s="28"/>
      <c r="O28" s="22"/>
      <c r="P28" s="18"/>
      <c r="Q28" s="18"/>
      <c r="R28" s="18"/>
      <c r="S28" s="18"/>
      <c r="T28" s="3"/>
      <c r="U28" s="3"/>
      <c r="V28" s="23"/>
      <c r="W28" s="23"/>
      <c r="X28" s="18"/>
      <c r="Y28" s="18"/>
      <c r="Z28" s="18"/>
      <c r="AA28" s="18"/>
      <c r="AB28" s="18"/>
      <c r="AC28" s="18"/>
    </row>
    <row r="29" spans="1:29" x14ac:dyDescent="0.25">
      <c r="A29" s="9"/>
      <c r="B29" s="32"/>
      <c r="C29" s="41"/>
      <c r="D29" s="41"/>
      <c r="E29" s="14"/>
      <c r="F29" s="14"/>
      <c r="G29" s="41"/>
      <c r="H29" s="41"/>
      <c r="I29" s="10"/>
      <c r="J29" s="11"/>
      <c r="K29" s="32"/>
      <c r="L29" s="32"/>
      <c r="M29" s="28"/>
      <c r="O29" s="22"/>
      <c r="P29" s="18"/>
      <c r="Q29" s="18"/>
      <c r="R29" s="18"/>
      <c r="S29" s="18"/>
      <c r="T29" s="3"/>
      <c r="U29" s="3"/>
      <c r="V29" s="23"/>
      <c r="W29" s="23"/>
      <c r="X29" s="18"/>
      <c r="Y29" s="18"/>
      <c r="Z29" s="18"/>
      <c r="AA29" s="18"/>
      <c r="AB29" s="18"/>
      <c r="AC29" s="18"/>
    </row>
    <row r="30" spans="1:29" x14ac:dyDescent="0.25">
      <c r="A30" s="9"/>
      <c r="B30" s="32"/>
      <c r="C30" s="41"/>
      <c r="D30" s="41"/>
      <c r="E30" s="14"/>
      <c r="F30" s="14"/>
      <c r="G30" s="41"/>
      <c r="H30" s="41"/>
      <c r="I30" s="10"/>
      <c r="J30" s="11"/>
      <c r="K30" s="32"/>
      <c r="L30" s="32"/>
      <c r="M30" s="28"/>
      <c r="O30" s="22"/>
      <c r="P30" s="18"/>
      <c r="Q30" s="18"/>
      <c r="R30" s="18"/>
      <c r="S30" s="18"/>
      <c r="T30" s="3"/>
      <c r="U30" s="3"/>
      <c r="V30" s="23"/>
      <c r="W30" s="23"/>
      <c r="X30" s="18"/>
      <c r="Y30" s="18"/>
      <c r="Z30" s="18"/>
      <c r="AA30" s="18"/>
      <c r="AB30" s="18"/>
      <c r="AC30" s="18"/>
    </row>
    <row r="31" spans="1:29" x14ac:dyDescent="0.25">
      <c r="A31" s="13"/>
      <c r="B31" s="9"/>
      <c r="C31" s="41"/>
      <c r="D31" s="41"/>
      <c r="E31" s="14"/>
      <c r="F31" s="14"/>
      <c r="G31" s="41"/>
      <c r="H31" s="45" t="s">
        <v>15</v>
      </c>
      <c r="I31" s="25">
        <f>SUM(I26:I30)</f>
        <v>0</v>
      </c>
      <c r="J31" s="11"/>
      <c r="K31" s="9"/>
      <c r="L31" s="9"/>
      <c r="M31" s="12"/>
      <c r="O31" s="24"/>
      <c r="V31" s="17"/>
      <c r="W31" s="17"/>
    </row>
    <row r="32" spans="1:29" x14ac:dyDescent="0.25">
      <c r="A32" s="16" t="s">
        <v>8</v>
      </c>
      <c r="B32" s="9"/>
      <c r="C32" s="41"/>
      <c r="D32" s="41"/>
      <c r="E32" s="14"/>
      <c r="F32" s="14"/>
      <c r="G32" s="41"/>
      <c r="H32" s="41"/>
      <c r="I32" s="10"/>
      <c r="J32" s="15"/>
      <c r="K32" s="9"/>
      <c r="L32" s="9"/>
      <c r="M32" s="12"/>
    </row>
    <row r="33" spans="1:29" x14ac:dyDescent="0.25">
      <c r="A33" s="13" t="s">
        <v>40</v>
      </c>
      <c r="B33" s="9"/>
      <c r="C33" s="41"/>
      <c r="D33" s="41"/>
      <c r="E33" s="14"/>
      <c r="F33" s="14"/>
      <c r="G33" s="41"/>
      <c r="H33" s="41"/>
      <c r="I33" s="10"/>
      <c r="J33" s="15"/>
      <c r="K33" s="9"/>
      <c r="L33" s="9"/>
      <c r="M33" s="12"/>
    </row>
    <row r="35" spans="1:29" ht="18.75" x14ac:dyDescent="0.3">
      <c r="A35" s="1" t="str">
        <f>CONCATENATE(A2, ". Пластик")</f>
        <v>Деталировка. tehnolog5. Пластик</v>
      </c>
    </row>
    <row r="36" spans="1:29" x14ac:dyDescent="0.25">
      <c r="A36" s="3" t="s">
        <v>6</v>
      </c>
      <c r="B36" s="4" t="s">
        <v>5</v>
      </c>
      <c r="C36" s="39" t="s">
        <v>9</v>
      </c>
      <c r="D36" s="40" t="s">
        <v>11</v>
      </c>
      <c r="E36" s="6" t="s">
        <v>1</v>
      </c>
      <c r="F36" s="7" t="s">
        <v>0</v>
      </c>
      <c r="G36" s="40" t="s">
        <v>10</v>
      </c>
      <c r="H36" s="44" t="s">
        <v>12</v>
      </c>
      <c r="I36" s="8" t="s">
        <v>2</v>
      </c>
      <c r="J36" s="3" t="s">
        <v>3</v>
      </c>
      <c r="K36" s="4"/>
      <c r="L36" s="4"/>
      <c r="M36" s="3" t="s">
        <v>4</v>
      </c>
    </row>
    <row r="37" spans="1:29" x14ac:dyDescent="0.25">
      <c r="A37" s="9"/>
      <c r="B37" s="32"/>
      <c r="C37" s="41"/>
      <c r="D37" s="41"/>
      <c r="E37" s="14"/>
      <c r="F37" s="14"/>
      <c r="G37" s="41"/>
      <c r="H37" s="41"/>
      <c r="I37" s="10"/>
      <c r="J37" s="11"/>
      <c r="K37" s="32"/>
      <c r="L37" s="32"/>
      <c r="M37" s="28"/>
      <c r="O37" s="22"/>
      <c r="P37" s="18"/>
      <c r="Q37" s="18"/>
      <c r="R37" s="18"/>
      <c r="S37" s="18"/>
      <c r="T37" s="3"/>
      <c r="U37" s="3"/>
      <c r="V37" s="23"/>
      <c r="W37" s="23"/>
      <c r="X37" s="18"/>
      <c r="Y37" s="18"/>
      <c r="Z37" s="18"/>
      <c r="AA37" s="18"/>
      <c r="AB37" s="18"/>
      <c r="AC37" s="18"/>
    </row>
    <row r="38" spans="1:29" x14ac:dyDescent="0.25">
      <c r="A38" s="9"/>
      <c r="B38" s="32"/>
      <c r="C38" s="41"/>
      <c r="D38" s="41"/>
      <c r="E38" s="14"/>
      <c r="F38" s="14"/>
      <c r="G38" s="41"/>
      <c r="H38" s="41"/>
      <c r="I38" s="10"/>
      <c r="J38" s="11"/>
      <c r="K38" s="32"/>
      <c r="L38" s="32"/>
      <c r="M38" s="28"/>
      <c r="O38" s="22"/>
      <c r="P38" s="18"/>
      <c r="Q38" s="18"/>
      <c r="R38" s="18"/>
      <c r="S38" s="18"/>
      <c r="T38" s="3"/>
      <c r="U38" s="3"/>
      <c r="V38" s="23"/>
      <c r="W38" s="23"/>
      <c r="X38" s="18"/>
      <c r="Y38" s="18"/>
      <c r="Z38" s="18"/>
      <c r="AA38" s="18"/>
      <c r="AB38" s="18"/>
      <c r="AC38" s="18"/>
    </row>
    <row r="39" spans="1:29" x14ac:dyDescent="0.25">
      <c r="A39" s="9"/>
      <c r="B39" s="32"/>
      <c r="C39" s="41"/>
      <c r="D39" s="41"/>
      <c r="E39" s="14"/>
      <c r="F39" s="14"/>
      <c r="G39" s="41"/>
      <c r="H39" s="41"/>
      <c r="I39" s="10"/>
      <c r="J39" s="11"/>
      <c r="K39" s="15"/>
      <c r="L39" s="15"/>
      <c r="M39" s="11"/>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15"/>
      <c r="L40" s="15"/>
      <c r="M40" s="11"/>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15"/>
      <c r="L41" s="15"/>
      <c r="M41" s="11"/>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15"/>
      <c r="L42" s="15"/>
      <c r="M42" s="11"/>
      <c r="O42" s="22"/>
      <c r="P42" s="18"/>
      <c r="Q42" s="18"/>
      <c r="R42" s="18"/>
      <c r="S42" s="18"/>
      <c r="T42" s="3"/>
      <c r="U42" s="3"/>
      <c r="V42" s="23"/>
      <c r="W42" s="23"/>
      <c r="X42" s="18"/>
      <c r="Y42" s="18"/>
      <c r="Z42" s="18"/>
      <c r="AA42" s="18"/>
      <c r="AB42" s="18"/>
      <c r="AC42" s="18"/>
    </row>
    <row r="43" spans="1:29" x14ac:dyDescent="0.25">
      <c r="A43" s="9"/>
      <c r="B43" s="32"/>
      <c r="C43" s="41"/>
      <c r="D43" s="41"/>
      <c r="E43" s="14"/>
      <c r="F43" s="14"/>
      <c r="G43" s="41"/>
      <c r="H43" s="41"/>
      <c r="I43" s="10"/>
      <c r="J43" s="11"/>
      <c r="K43" s="15"/>
      <c r="L43" s="15"/>
      <c r="M43" s="11"/>
      <c r="O43" s="22"/>
      <c r="P43" s="18"/>
      <c r="Q43" s="18"/>
      <c r="R43" s="18"/>
      <c r="S43" s="18"/>
      <c r="T43" s="3"/>
      <c r="U43" s="3"/>
      <c r="V43" s="23"/>
      <c r="W43" s="23"/>
      <c r="X43" s="18"/>
      <c r="Y43" s="18"/>
      <c r="Z43" s="18"/>
      <c r="AA43" s="18"/>
      <c r="AB43" s="18"/>
      <c r="AC43" s="18"/>
    </row>
    <row r="44" spans="1:29" x14ac:dyDescent="0.25">
      <c r="A44" s="9"/>
      <c r="B44" s="32"/>
      <c r="C44" s="41"/>
      <c r="D44" s="41"/>
      <c r="E44" s="14"/>
      <c r="F44" s="14"/>
      <c r="G44" s="41"/>
      <c r="H44" s="41"/>
      <c r="I44" s="10"/>
      <c r="J44" s="11"/>
      <c r="K44" s="15"/>
      <c r="L44" s="15"/>
      <c r="M44" s="11"/>
      <c r="O44" s="22"/>
      <c r="P44" s="18"/>
      <c r="Q44" s="18"/>
      <c r="R44" s="18"/>
      <c r="S44" s="18"/>
      <c r="T44" s="3"/>
      <c r="U44" s="3"/>
      <c r="V44" s="23"/>
      <c r="W44" s="23"/>
      <c r="X44" s="18"/>
      <c r="Y44" s="18"/>
      <c r="Z44" s="18"/>
      <c r="AA44" s="18"/>
      <c r="AB44" s="18"/>
      <c r="AC44" s="18"/>
    </row>
    <row r="45" spans="1:29" x14ac:dyDescent="0.25">
      <c r="A45" s="9"/>
      <c r="B45" s="32"/>
      <c r="C45" s="41"/>
      <c r="D45" s="41"/>
      <c r="E45" s="14"/>
      <c r="F45" s="14"/>
      <c r="G45" s="41"/>
      <c r="H45" s="41"/>
      <c r="I45" s="10"/>
      <c r="J45" s="11"/>
      <c r="K45" s="15"/>
      <c r="L45" s="15"/>
      <c r="M45" s="11"/>
      <c r="O45" s="22"/>
      <c r="P45" s="18"/>
      <c r="Q45" s="18"/>
      <c r="R45" s="18"/>
      <c r="S45" s="18"/>
      <c r="T45" s="3"/>
      <c r="U45" s="3"/>
      <c r="V45" s="23"/>
      <c r="W45" s="23"/>
      <c r="X45" s="18"/>
      <c r="Y45" s="18"/>
      <c r="Z45" s="18"/>
      <c r="AA45" s="18"/>
      <c r="AB45" s="18"/>
      <c r="AC45" s="18"/>
    </row>
    <row r="46" spans="1:29" x14ac:dyDescent="0.25">
      <c r="A46" s="9"/>
      <c r="B46" s="32"/>
      <c r="C46" s="41"/>
      <c r="D46" s="41"/>
      <c r="E46" s="14"/>
      <c r="F46" s="14"/>
      <c r="G46" s="41"/>
      <c r="H46" s="41"/>
      <c r="I46" s="10"/>
      <c r="J46" s="11"/>
      <c r="K46" s="15"/>
      <c r="L46" s="15"/>
      <c r="M46" s="11"/>
      <c r="O46" s="22"/>
      <c r="P46" s="18"/>
      <c r="Q46" s="18"/>
      <c r="R46" s="18"/>
      <c r="S46" s="18"/>
      <c r="T46" s="3"/>
      <c r="U46" s="3"/>
      <c r="V46" s="23"/>
      <c r="W46" s="23"/>
      <c r="X46" s="18"/>
      <c r="Y46" s="18"/>
      <c r="Z46" s="18"/>
      <c r="AA46" s="18"/>
      <c r="AB46" s="18"/>
      <c r="AC46" s="18"/>
    </row>
    <row r="47" spans="1:29" x14ac:dyDescent="0.25">
      <c r="A47" s="13"/>
      <c r="B47" s="9"/>
      <c r="C47" s="41"/>
      <c r="D47" s="41"/>
      <c r="E47" s="14"/>
      <c r="F47" s="14"/>
      <c r="G47" s="41"/>
      <c r="H47" s="45" t="s">
        <v>15</v>
      </c>
      <c r="I47" s="25">
        <f>SUM(I37:I46)</f>
        <v>0</v>
      </c>
      <c r="J47" s="11"/>
      <c r="K47" s="9"/>
      <c r="L47" s="9"/>
      <c r="M47" s="12"/>
    </row>
    <row r="48" spans="1:29" x14ac:dyDescent="0.25">
      <c r="A48" s="16" t="s">
        <v>8</v>
      </c>
      <c r="B48" s="9"/>
      <c r="C48" s="41"/>
      <c r="D48" s="41"/>
      <c r="E48" s="14"/>
      <c r="F48" s="14"/>
      <c r="G48" s="41"/>
      <c r="H48" s="41"/>
      <c r="I48" s="10"/>
      <c r="J48" s="15"/>
      <c r="K48" s="9"/>
      <c r="L48" s="9"/>
      <c r="M48" s="12"/>
    </row>
    <row r="49" spans="1:57" x14ac:dyDescent="0.25">
      <c r="A49" s="13" t="s">
        <v>40</v>
      </c>
      <c r="B49" s="9"/>
      <c r="C49" s="41"/>
      <c r="D49" s="41"/>
      <c r="E49" s="14"/>
      <c r="F49" s="14"/>
      <c r="G49" s="41"/>
      <c r="H49" s="41"/>
      <c r="I49" s="10"/>
      <c r="J49" s="15"/>
      <c r="K49" s="9"/>
      <c r="L49" s="9"/>
      <c r="M49" s="12"/>
    </row>
    <row r="54" spans="1:57" ht="18.75" x14ac:dyDescent="0.3">
      <c r="A54" s="1" t="s">
        <v>29</v>
      </c>
    </row>
    <row r="55" spans="1:57" x14ac:dyDescent="0.25">
      <c r="A55" s="30" t="s">
        <v>37</v>
      </c>
    </row>
    <row r="56" spans="1:57" x14ac:dyDescent="0.25">
      <c r="M56" s="30"/>
      <c r="T56" s="30"/>
      <c r="U56" s="30"/>
    </row>
    <row r="57" spans="1:57" x14ac:dyDescent="0.25">
      <c r="M57" s="30"/>
      <c r="T57" s="30"/>
      <c r="U57" s="30"/>
    </row>
    <row r="58" spans="1:57" x14ac:dyDescent="0.25">
      <c r="M58" s="30"/>
      <c r="T58" s="30"/>
      <c r="U58" s="30"/>
    </row>
    <row r="59" spans="1:57"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row>
    <row r="61" spans="1:57"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row>
    <row r="62" spans="1:57"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row>
    <row r="63" spans="1:57"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row>
    <row r="64" spans="1:5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row>
    <row r="65" spans="1:8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row>
    <row r="66" spans="1:8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row>
    <row r="67" spans="1:81"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row>
    <row r="68" spans="1:8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row>
    <row r="69" spans="1:81"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row>
    <row r="70" spans="1:81"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row>
    <row r="72" spans="1:81"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sheetData>
  <sortState xmlns:xlrd2="http://schemas.microsoft.com/office/spreadsheetml/2017/richdata2" ref="A4:AC7">
    <sortCondition ref="Q4:Q7"/>
    <sortCondition ref="X4:X7"/>
    <sortCondition ref="P4:P7"/>
  </sortState>
  <phoneticPr fontId="10" type="noConversion"/>
  <conditionalFormatting sqref="C46">
    <cfRule type="expression" dxfId="151" priority="12840" stopIfTrue="1">
      <formula>AND(NOT(ISBLANK(C46)),NOT(_xlfn.ISFORMULA(C46)))</formula>
    </cfRule>
  </conditionalFormatting>
  <conditionalFormatting sqref="D46">
    <cfRule type="expression" dxfId="150" priority="12839" stopIfTrue="1">
      <formula>AND(NOT(ISBLANK(D46)),NOT(_xlfn.ISFORMULA(D46)))</formula>
    </cfRule>
  </conditionalFormatting>
  <conditionalFormatting sqref="G46">
    <cfRule type="expression" dxfId="149" priority="12838" stopIfTrue="1">
      <formula>AND(NOT(ISBLANK(G46)),NOT(_xlfn.ISFORMULA(G46)))</formula>
    </cfRule>
  </conditionalFormatting>
  <conditionalFormatting sqref="H46">
    <cfRule type="expression" dxfId="148" priority="12837" stopIfTrue="1">
      <formula>AND(NOT(ISBLANK(H46)),NOT(_xlfn.ISFORMULA(H46)))</formula>
    </cfRule>
  </conditionalFormatting>
  <conditionalFormatting sqref="D37">
    <cfRule type="expression" dxfId="147" priority="12955" stopIfTrue="1">
      <formula>AND(NOT(ISBLANK(D37)),NOT(_xlfn.ISFORMULA(D37)))</formula>
    </cfRule>
  </conditionalFormatting>
  <conditionalFormatting sqref="G37">
    <cfRule type="expression" dxfId="146" priority="12954" stopIfTrue="1">
      <formula>AND(NOT(ISBLANK(G37)),NOT(_xlfn.ISFORMULA(G37)))</formula>
    </cfRule>
  </conditionalFormatting>
  <conditionalFormatting sqref="H37">
    <cfRule type="expression" dxfId="145" priority="12953" stopIfTrue="1">
      <formula>AND(NOT(ISBLANK(H37)),NOT(_xlfn.ISFORMULA(H37)))</formula>
    </cfRule>
  </conditionalFormatting>
  <conditionalFormatting sqref="E26">
    <cfRule type="expression" dxfId="144" priority="12951">
      <formula>AND(AND(NOT(ISBLANK(D26)),NOT(D26=$O$1)),AND(NOT(ISBLANK(C26)),NOT(C26=$O$1)))</formula>
    </cfRule>
    <cfRule type="expression" dxfId="143" priority="12952">
      <formula>OR(AND(NOT(ISBLANK(D26)),NOT(D26=$O$1)),AND(NOT(ISBLANK(C26)),NOT(C26=$O$1)))</formula>
    </cfRule>
  </conditionalFormatting>
  <conditionalFormatting sqref="F26">
    <cfRule type="expression" dxfId="142" priority="12949">
      <formula>AND(AND(NOT(ISBLANK(G26)),NOT(G26=$O$1)),AND(NOT(ISBLANK(H26)),NOT(H26=$O$1)))</formula>
    </cfRule>
    <cfRule type="expression" dxfId="141" priority="12950">
      <formula>OR(AND(NOT(ISBLANK(G26)),NOT(G26=$O$1)),AND(NOT(ISBLANK(H26)),NOT(H26=$O$1)))</formula>
    </cfRule>
  </conditionalFormatting>
  <conditionalFormatting sqref="C26">
    <cfRule type="expression" dxfId="140" priority="12948" stopIfTrue="1">
      <formula>AND(NOT(ISBLANK(C26)),NOT(_xlfn.ISFORMULA(C26)))</formula>
    </cfRule>
  </conditionalFormatting>
  <conditionalFormatting sqref="D26">
    <cfRule type="expression" dxfId="139" priority="12947" stopIfTrue="1">
      <formula>AND(NOT(ISBLANK(D26)),NOT(_xlfn.ISFORMULA(D26)))</formula>
    </cfRule>
  </conditionalFormatting>
  <conditionalFormatting sqref="G26">
    <cfRule type="expression" dxfId="138" priority="12946" stopIfTrue="1">
      <formula>AND(NOT(ISBLANK(G26)),NOT(_xlfn.ISFORMULA(G26)))</formula>
    </cfRule>
  </conditionalFormatting>
  <conditionalFormatting sqref="H26">
    <cfRule type="expression" dxfId="137" priority="12945" stopIfTrue="1">
      <formula>AND(NOT(ISBLANK(H26)),NOT(_xlfn.ISFORMULA(H26)))</formula>
    </cfRule>
  </conditionalFormatting>
  <conditionalFormatting sqref="E37">
    <cfRule type="expression" dxfId="136" priority="12959">
      <formula>AND(AND(NOT(ISBLANK(D37)),NOT(D37=$O$1)),AND(NOT(ISBLANK(C37)),NOT(C37=$O$1)))</formula>
    </cfRule>
    <cfRule type="expression" dxfId="135" priority="12960">
      <formula>OR(AND(NOT(ISBLANK(D37)),NOT(D37=$O$1)),AND(NOT(ISBLANK(C37)),NOT(C37=$O$1)))</formula>
    </cfRule>
  </conditionalFormatting>
  <conditionalFormatting sqref="F37">
    <cfRule type="expression" dxfId="134" priority="12957">
      <formula>AND(AND(NOT(ISBLANK(G37)),NOT(G37=$O$1)),AND(NOT(ISBLANK(H37)),NOT(H37=$O$1)))</formula>
    </cfRule>
    <cfRule type="expression" dxfId="133" priority="12958">
      <formula>OR(AND(NOT(ISBLANK(G37)),NOT(G37=$O$1)),AND(NOT(ISBLANK(H37)),NOT(H37=$O$1)))</formula>
    </cfRule>
  </conditionalFormatting>
  <conditionalFormatting sqref="C37">
    <cfRule type="expression" dxfId="132" priority="12956" stopIfTrue="1">
      <formula>AND(NOT(ISBLANK(C37)),NOT(_xlfn.ISFORMULA(C37)))</formula>
    </cfRule>
  </conditionalFormatting>
  <conditionalFormatting sqref="E38">
    <cfRule type="expression" dxfId="131" priority="12943">
      <formula>AND(AND(NOT(ISBLANK(D38)),NOT(D38=$O$1)),AND(NOT(ISBLANK(C38)),NOT(C38=$O$1)))</formula>
    </cfRule>
    <cfRule type="expression" dxfId="130" priority="12944">
      <formula>OR(AND(NOT(ISBLANK(D38)),NOT(D38=$O$1)),AND(NOT(ISBLANK(C38)),NOT(C38=$O$1)))</formula>
    </cfRule>
  </conditionalFormatting>
  <conditionalFormatting sqref="F38">
    <cfRule type="expression" dxfId="129" priority="12941">
      <formula>AND(AND(NOT(ISBLANK(G38)),NOT(G38=$O$1)),AND(NOT(ISBLANK(H38)),NOT(H38=$O$1)))</formula>
    </cfRule>
    <cfRule type="expression" dxfId="128" priority="12942">
      <formula>OR(AND(NOT(ISBLANK(G38)),NOT(G38=$O$1)),AND(NOT(ISBLANK(H38)),NOT(H38=$O$1)))</formula>
    </cfRule>
  </conditionalFormatting>
  <conditionalFormatting sqref="C38">
    <cfRule type="expression" dxfId="127" priority="12940" stopIfTrue="1">
      <formula>AND(NOT(ISBLANK(C38)),NOT(_xlfn.ISFORMULA(C38)))</formula>
    </cfRule>
  </conditionalFormatting>
  <conditionalFormatting sqref="D38">
    <cfRule type="expression" dxfId="126" priority="12939" stopIfTrue="1">
      <formula>AND(NOT(ISBLANK(D38)),NOT(_xlfn.ISFORMULA(D38)))</formula>
    </cfRule>
  </conditionalFormatting>
  <conditionalFormatting sqref="G38">
    <cfRule type="expression" dxfId="125" priority="12938" stopIfTrue="1">
      <formula>AND(NOT(ISBLANK(G38)),NOT(_xlfn.ISFORMULA(G38)))</formula>
    </cfRule>
  </conditionalFormatting>
  <conditionalFormatting sqref="H38">
    <cfRule type="expression" dxfId="124" priority="12937" stopIfTrue="1">
      <formula>AND(NOT(ISBLANK(H38)),NOT(_xlfn.ISFORMULA(H38)))</formula>
    </cfRule>
  </conditionalFormatting>
  <conditionalFormatting sqref="C39">
    <cfRule type="expression" dxfId="123" priority="12932" stopIfTrue="1">
      <formula>AND(NOT(ISBLANK(C39)),NOT(_xlfn.ISFORMULA(C39)))</formula>
    </cfRule>
  </conditionalFormatting>
  <conditionalFormatting sqref="D39">
    <cfRule type="expression" dxfId="122" priority="12931" stopIfTrue="1">
      <formula>AND(NOT(ISBLANK(D39)),NOT(_xlfn.ISFORMULA(D39)))</formula>
    </cfRule>
  </conditionalFormatting>
  <conditionalFormatting sqref="G39">
    <cfRule type="expression" dxfId="121" priority="12930" stopIfTrue="1">
      <formula>AND(NOT(ISBLANK(G39)),NOT(_xlfn.ISFORMULA(G39)))</formula>
    </cfRule>
  </conditionalFormatting>
  <conditionalFormatting sqref="E39">
    <cfRule type="expression" dxfId="120" priority="12935">
      <formula>AND(AND(NOT(ISBLANK(D39)),NOT(D39=$O$1)),AND(NOT(ISBLANK(C39)),NOT(C39=$O$1)))</formula>
    </cfRule>
    <cfRule type="expression" dxfId="119" priority="12936">
      <formula>OR(AND(NOT(ISBLANK(D39)),NOT(D39=$O$1)),AND(NOT(ISBLANK(C39)),NOT(C39=$O$1)))</formula>
    </cfRule>
  </conditionalFormatting>
  <conditionalFormatting sqref="F39">
    <cfRule type="expression" dxfId="118" priority="12933">
      <formula>AND(AND(NOT(ISBLANK(G39)),NOT(G39=$O$1)),AND(NOT(ISBLANK(H39)),NOT(H39=$O$1)))</formula>
    </cfRule>
    <cfRule type="expression" dxfId="117" priority="12934">
      <formula>OR(AND(NOT(ISBLANK(G39)),NOT(G39=$O$1)),AND(NOT(ISBLANK(H39)),NOT(H39=$O$1)))</formula>
    </cfRule>
  </conditionalFormatting>
  <conditionalFormatting sqref="C27">
    <cfRule type="expression" dxfId="116" priority="12924" stopIfTrue="1">
      <formula>AND(NOT(ISBLANK(C27)),NOT(_xlfn.ISFORMULA(C27)))</formula>
    </cfRule>
  </conditionalFormatting>
  <conditionalFormatting sqref="D27">
    <cfRule type="expression" dxfId="115" priority="12923" stopIfTrue="1">
      <formula>AND(NOT(ISBLANK(D27)),NOT(_xlfn.ISFORMULA(D27)))</formula>
    </cfRule>
  </conditionalFormatting>
  <conditionalFormatting sqref="G27">
    <cfRule type="expression" dxfId="114" priority="12922" stopIfTrue="1">
      <formula>AND(NOT(ISBLANK(G27)),NOT(_xlfn.ISFORMULA(G27)))</formula>
    </cfRule>
  </conditionalFormatting>
  <conditionalFormatting sqref="H39">
    <cfRule type="expression" dxfId="113" priority="12929" stopIfTrue="1">
      <formula>AND(NOT(ISBLANK(H39)),NOT(_xlfn.ISFORMULA(H39)))</formula>
    </cfRule>
  </conditionalFormatting>
  <conditionalFormatting sqref="E27">
    <cfRule type="expression" dxfId="112" priority="12927">
      <formula>AND(AND(NOT(ISBLANK(D27)),NOT(D27=$O$1)),AND(NOT(ISBLANK(C27)),NOT(C27=$O$1)))</formula>
    </cfRule>
    <cfRule type="expression" dxfId="111" priority="12928">
      <formula>OR(AND(NOT(ISBLANK(D27)),NOT(D27=$O$1)),AND(NOT(ISBLANK(C27)),NOT(C27=$O$1)))</formula>
    </cfRule>
  </conditionalFormatting>
  <conditionalFormatting sqref="F27">
    <cfRule type="expression" dxfId="110" priority="12925">
      <formula>AND(AND(NOT(ISBLANK(G27)),NOT(G27=$O$1)),AND(NOT(ISBLANK(H27)),NOT(H27=$O$1)))</formula>
    </cfRule>
    <cfRule type="expression" dxfId="109" priority="12926">
      <formula>OR(AND(NOT(ISBLANK(G27)),NOT(G27=$O$1)),AND(NOT(ISBLANK(H27)),NOT(H27=$O$1)))</formula>
    </cfRule>
  </conditionalFormatting>
  <conditionalFormatting sqref="C40">
    <cfRule type="expression" dxfId="108" priority="12916" stopIfTrue="1">
      <formula>AND(NOT(ISBLANK(C40)),NOT(_xlfn.ISFORMULA(C40)))</formula>
    </cfRule>
  </conditionalFormatting>
  <conditionalFormatting sqref="D40">
    <cfRule type="expression" dxfId="107" priority="12915" stopIfTrue="1">
      <formula>AND(NOT(ISBLANK(D40)),NOT(_xlfn.ISFORMULA(D40)))</formula>
    </cfRule>
  </conditionalFormatting>
  <conditionalFormatting sqref="G40">
    <cfRule type="expression" dxfId="106" priority="12914" stopIfTrue="1">
      <formula>AND(NOT(ISBLANK(G40)),NOT(_xlfn.ISFORMULA(G40)))</formula>
    </cfRule>
  </conditionalFormatting>
  <conditionalFormatting sqref="H27">
    <cfRule type="expression" dxfId="105" priority="12921" stopIfTrue="1">
      <formula>AND(NOT(ISBLANK(H27)),NOT(_xlfn.ISFORMULA(H27)))</formula>
    </cfRule>
  </conditionalFormatting>
  <conditionalFormatting sqref="E40">
    <cfRule type="expression" dxfId="104" priority="12919">
      <formula>AND(AND(NOT(ISBLANK(D40)),NOT(D40=$O$1)),AND(NOT(ISBLANK(C40)),NOT(C40=$O$1)))</formula>
    </cfRule>
    <cfRule type="expression" dxfId="103" priority="12920">
      <formula>OR(AND(NOT(ISBLANK(D40)),NOT(D40=$O$1)),AND(NOT(ISBLANK(C40)),NOT(C40=$O$1)))</formula>
    </cfRule>
  </conditionalFormatting>
  <conditionalFormatting sqref="F40">
    <cfRule type="expression" dxfId="102" priority="12917">
      <formula>AND(AND(NOT(ISBLANK(G40)),NOT(G40=$O$1)),AND(NOT(ISBLANK(H40)),NOT(H40=$O$1)))</formula>
    </cfRule>
    <cfRule type="expression" dxfId="101" priority="12918">
      <formula>OR(AND(NOT(ISBLANK(G40)),NOT(G40=$O$1)),AND(NOT(ISBLANK(H40)),NOT(H40=$O$1)))</formula>
    </cfRule>
  </conditionalFormatting>
  <conditionalFormatting sqref="H40">
    <cfRule type="expression" dxfId="100" priority="12913" stopIfTrue="1">
      <formula>AND(NOT(ISBLANK(H40)),NOT(_xlfn.ISFORMULA(H40)))</formula>
    </cfRule>
  </conditionalFormatting>
  <conditionalFormatting sqref="H41">
    <cfRule type="expression" dxfId="99" priority="12905" stopIfTrue="1">
      <formula>AND(NOT(ISBLANK(H41)),NOT(_xlfn.ISFORMULA(H41)))</formula>
    </cfRule>
  </conditionalFormatting>
  <conditionalFormatting sqref="E41">
    <cfRule type="expression" dxfId="98" priority="12911">
      <formula>AND(AND(NOT(ISBLANK(D41)),NOT(D41=$O$1)),AND(NOT(ISBLANK(C41)),NOT(C41=$O$1)))</formula>
    </cfRule>
    <cfRule type="expression" dxfId="97" priority="12912">
      <formula>OR(AND(NOT(ISBLANK(D41)),NOT(D41=$O$1)),AND(NOT(ISBLANK(C41)),NOT(C41=$O$1)))</formula>
    </cfRule>
  </conditionalFormatting>
  <conditionalFormatting sqref="F41">
    <cfRule type="expression" dxfId="96" priority="12909">
      <formula>AND(AND(NOT(ISBLANK(G41)),NOT(G41=$O$1)),AND(NOT(ISBLANK(H41)),NOT(H41=$O$1)))</formula>
    </cfRule>
    <cfRule type="expression" dxfId="95" priority="12910">
      <formula>OR(AND(NOT(ISBLANK(G41)),NOT(G41=$O$1)),AND(NOT(ISBLANK(H41)),NOT(H41=$O$1)))</formula>
    </cfRule>
  </conditionalFormatting>
  <conditionalFormatting sqref="C41">
    <cfRule type="expression" dxfId="94" priority="12908" stopIfTrue="1">
      <formula>AND(NOT(ISBLANK(C41)),NOT(_xlfn.ISFORMULA(C41)))</formula>
    </cfRule>
  </conditionalFormatting>
  <conditionalFormatting sqref="D41">
    <cfRule type="expression" dxfId="93" priority="12907" stopIfTrue="1">
      <formula>AND(NOT(ISBLANK(D41)),NOT(_xlfn.ISFORMULA(D41)))</formula>
    </cfRule>
  </conditionalFormatting>
  <conditionalFormatting sqref="G41">
    <cfRule type="expression" dxfId="92" priority="12906" stopIfTrue="1">
      <formula>AND(NOT(ISBLANK(G41)),NOT(_xlfn.ISFORMULA(G41)))</formula>
    </cfRule>
  </conditionalFormatting>
  <conditionalFormatting sqref="E28">
    <cfRule type="expression" dxfId="91" priority="12903">
      <formula>AND(AND(NOT(ISBLANK(D28)),NOT(D28=$O$1)),AND(NOT(ISBLANK(C28)),NOT(C28=$O$1)))</formula>
    </cfRule>
    <cfRule type="expression" dxfId="90" priority="12904">
      <formula>OR(AND(NOT(ISBLANK(D28)),NOT(D28=$O$1)),AND(NOT(ISBLANK(C28)),NOT(C28=$O$1)))</formula>
    </cfRule>
  </conditionalFormatting>
  <conditionalFormatting sqref="F28">
    <cfRule type="expression" dxfId="89" priority="12901">
      <formula>AND(AND(NOT(ISBLANK(G28)),NOT(G28=$O$1)),AND(NOT(ISBLANK(H28)),NOT(H28=$O$1)))</formula>
    </cfRule>
    <cfRule type="expression" dxfId="88" priority="12902">
      <formula>OR(AND(NOT(ISBLANK(G28)),NOT(G28=$O$1)),AND(NOT(ISBLANK(H28)),NOT(H28=$O$1)))</formula>
    </cfRule>
  </conditionalFormatting>
  <conditionalFormatting sqref="C28">
    <cfRule type="expression" dxfId="87" priority="12900" stopIfTrue="1">
      <formula>AND(NOT(ISBLANK(C28)),NOT(_xlfn.ISFORMULA(C28)))</formula>
    </cfRule>
  </conditionalFormatting>
  <conditionalFormatting sqref="D28">
    <cfRule type="expression" dxfId="86" priority="12899" stopIfTrue="1">
      <formula>AND(NOT(ISBLANK(D28)),NOT(_xlfn.ISFORMULA(D28)))</formula>
    </cfRule>
  </conditionalFormatting>
  <conditionalFormatting sqref="G28">
    <cfRule type="expression" dxfId="85" priority="12898" stopIfTrue="1">
      <formula>AND(NOT(ISBLANK(G28)),NOT(_xlfn.ISFORMULA(G28)))</formula>
    </cfRule>
  </conditionalFormatting>
  <conditionalFormatting sqref="H28">
    <cfRule type="expression" dxfId="84" priority="12897" stopIfTrue="1">
      <formula>AND(NOT(ISBLANK(H28)),NOT(_xlfn.ISFORMULA(H28)))</formula>
    </cfRule>
  </conditionalFormatting>
  <conditionalFormatting sqref="E42">
    <cfRule type="expression" dxfId="83" priority="12895">
      <formula>AND(AND(NOT(ISBLANK(D42)),NOT(D42=$O$1)),AND(NOT(ISBLANK(C42)),NOT(C42=$O$1)))</formula>
    </cfRule>
    <cfRule type="expression" dxfId="82" priority="12896">
      <formula>OR(AND(NOT(ISBLANK(D42)),NOT(D42=$O$1)),AND(NOT(ISBLANK(C42)),NOT(C42=$O$1)))</formula>
    </cfRule>
  </conditionalFormatting>
  <conditionalFormatting sqref="F42">
    <cfRule type="expression" dxfId="81" priority="12893">
      <formula>AND(AND(NOT(ISBLANK(G42)),NOT(G42=$O$1)),AND(NOT(ISBLANK(H42)),NOT(H42=$O$1)))</formula>
    </cfRule>
    <cfRule type="expression" dxfId="80" priority="12894">
      <formula>OR(AND(NOT(ISBLANK(G42)),NOT(G42=$O$1)),AND(NOT(ISBLANK(H42)),NOT(H42=$O$1)))</formula>
    </cfRule>
  </conditionalFormatting>
  <conditionalFormatting sqref="C42">
    <cfRule type="expression" dxfId="79" priority="12892" stopIfTrue="1">
      <formula>AND(NOT(ISBLANK(C42)),NOT(_xlfn.ISFORMULA(C42)))</formula>
    </cfRule>
  </conditionalFormatting>
  <conditionalFormatting sqref="D42">
    <cfRule type="expression" dxfId="78" priority="12891" stopIfTrue="1">
      <formula>AND(NOT(ISBLANK(D42)),NOT(_xlfn.ISFORMULA(D42)))</formula>
    </cfRule>
  </conditionalFormatting>
  <conditionalFormatting sqref="G42">
    <cfRule type="expression" dxfId="77" priority="12890" stopIfTrue="1">
      <formula>AND(NOT(ISBLANK(G42)),NOT(_xlfn.ISFORMULA(G42)))</formula>
    </cfRule>
  </conditionalFormatting>
  <conditionalFormatting sqref="H42">
    <cfRule type="expression" dxfId="76" priority="12889" stopIfTrue="1">
      <formula>AND(NOT(ISBLANK(H42)),NOT(_xlfn.ISFORMULA(H42)))</formula>
    </cfRule>
  </conditionalFormatting>
  <conditionalFormatting sqref="H43">
    <cfRule type="expression" dxfId="75" priority="12877" stopIfTrue="1">
      <formula>AND(NOT(ISBLANK(H43)),NOT(_xlfn.ISFORMULA(H43)))</formula>
    </cfRule>
  </conditionalFormatting>
  <conditionalFormatting sqref="E43">
    <cfRule type="expression" dxfId="74" priority="12883">
      <formula>AND(AND(NOT(ISBLANK(D43)),NOT(D43=$O$1)),AND(NOT(ISBLANK(C43)),NOT(C43=$O$1)))</formula>
    </cfRule>
    <cfRule type="expression" dxfId="73" priority="12884">
      <formula>OR(AND(NOT(ISBLANK(D43)),NOT(D43=$O$1)),AND(NOT(ISBLANK(C43)),NOT(C43=$O$1)))</formula>
    </cfRule>
  </conditionalFormatting>
  <conditionalFormatting sqref="F43">
    <cfRule type="expression" dxfId="72" priority="12881">
      <formula>AND(AND(NOT(ISBLANK(G43)),NOT(G43=$O$1)),AND(NOT(ISBLANK(H43)),NOT(H43=$O$1)))</formula>
    </cfRule>
    <cfRule type="expression" dxfId="71" priority="12882">
      <formula>OR(AND(NOT(ISBLANK(G43)),NOT(G43=$O$1)),AND(NOT(ISBLANK(H43)),NOT(H43=$O$1)))</formula>
    </cfRule>
  </conditionalFormatting>
  <conditionalFormatting sqref="C43">
    <cfRule type="expression" dxfId="70" priority="12880" stopIfTrue="1">
      <formula>AND(NOT(ISBLANK(C43)),NOT(_xlfn.ISFORMULA(C43)))</formula>
    </cfRule>
  </conditionalFormatting>
  <conditionalFormatting sqref="D43">
    <cfRule type="expression" dxfId="69" priority="12879" stopIfTrue="1">
      <formula>AND(NOT(ISBLANK(D43)),NOT(_xlfn.ISFORMULA(D43)))</formula>
    </cfRule>
  </conditionalFormatting>
  <conditionalFormatting sqref="G43">
    <cfRule type="expression" dxfId="68" priority="12878" stopIfTrue="1">
      <formula>AND(NOT(ISBLANK(G43)),NOT(_xlfn.ISFORMULA(G43)))</formula>
    </cfRule>
  </conditionalFormatting>
  <conditionalFormatting sqref="E29">
    <cfRule type="expression" dxfId="67" priority="12875">
      <formula>AND(AND(NOT(ISBLANK(D29)),NOT(D29=$O$1)),AND(NOT(ISBLANK(C29)),NOT(C29=$O$1)))</formula>
    </cfRule>
    <cfRule type="expression" dxfId="66" priority="12876">
      <formula>OR(AND(NOT(ISBLANK(D29)),NOT(D29=$O$1)),AND(NOT(ISBLANK(C29)),NOT(C29=$O$1)))</formula>
    </cfRule>
  </conditionalFormatting>
  <conditionalFormatting sqref="F29">
    <cfRule type="expression" dxfId="65" priority="12873">
      <formula>AND(AND(NOT(ISBLANK(G29)),NOT(G29=$O$1)),AND(NOT(ISBLANK(H29)),NOT(H29=$O$1)))</formula>
    </cfRule>
    <cfRule type="expression" dxfId="64" priority="12874">
      <formula>OR(AND(NOT(ISBLANK(G29)),NOT(G29=$O$1)),AND(NOT(ISBLANK(H29)),NOT(H29=$O$1)))</formula>
    </cfRule>
  </conditionalFormatting>
  <conditionalFormatting sqref="C29">
    <cfRule type="expression" dxfId="63" priority="12872" stopIfTrue="1">
      <formula>AND(NOT(ISBLANK(C29)),NOT(_xlfn.ISFORMULA(C29)))</formula>
    </cfRule>
  </conditionalFormatting>
  <conditionalFormatting sqref="D29">
    <cfRule type="expression" dxfId="62" priority="12871" stopIfTrue="1">
      <formula>AND(NOT(ISBLANK(D29)),NOT(_xlfn.ISFORMULA(D29)))</formula>
    </cfRule>
  </conditionalFormatting>
  <conditionalFormatting sqref="G29">
    <cfRule type="expression" dxfId="61" priority="12870" stopIfTrue="1">
      <formula>AND(NOT(ISBLANK(G29)),NOT(_xlfn.ISFORMULA(G29)))</formula>
    </cfRule>
  </conditionalFormatting>
  <conditionalFormatting sqref="H29">
    <cfRule type="expression" dxfId="60" priority="12869" stopIfTrue="1">
      <formula>AND(NOT(ISBLANK(H29)),NOT(_xlfn.ISFORMULA(H29)))</formula>
    </cfRule>
  </conditionalFormatting>
  <conditionalFormatting sqref="E44">
    <cfRule type="expression" dxfId="59" priority="12867">
      <formula>AND(AND(NOT(ISBLANK(D44)),NOT(D44=$O$1)),AND(NOT(ISBLANK(C44)),NOT(C44=$O$1)))</formula>
    </cfRule>
    <cfRule type="expression" dxfId="58" priority="12868">
      <formula>OR(AND(NOT(ISBLANK(D44)),NOT(D44=$O$1)),AND(NOT(ISBLANK(C44)),NOT(C44=$O$1)))</formula>
    </cfRule>
  </conditionalFormatting>
  <conditionalFormatting sqref="F44">
    <cfRule type="expression" dxfId="57" priority="12865">
      <formula>AND(AND(NOT(ISBLANK(G44)),NOT(G44=$O$1)),AND(NOT(ISBLANK(H44)),NOT(H44=$O$1)))</formula>
    </cfRule>
    <cfRule type="expression" dxfId="56" priority="12866">
      <formula>OR(AND(NOT(ISBLANK(G44)),NOT(G44=$O$1)),AND(NOT(ISBLANK(H44)),NOT(H44=$O$1)))</formula>
    </cfRule>
  </conditionalFormatting>
  <conditionalFormatting sqref="C44">
    <cfRule type="expression" dxfId="55" priority="12864" stopIfTrue="1">
      <formula>AND(NOT(ISBLANK(C44)),NOT(_xlfn.ISFORMULA(C44)))</formula>
    </cfRule>
  </conditionalFormatting>
  <conditionalFormatting sqref="D44">
    <cfRule type="expression" dxfId="54" priority="12863" stopIfTrue="1">
      <formula>AND(NOT(ISBLANK(D44)),NOT(_xlfn.ISFORMULA(D44)))</formula>
    </cfRule>
  </conditionalFormatting>
  <conditionalFormatting sqref="G44">
    <cfRule type="expression" dxfId="53" priority="12862" stopIfTrue="1">
      <formula>AND(NOT(ISBLANK(G44)),NOT(_xlfn.ISFORMULA(G44)))</formula>
    </cfRule>
  </conditionalFormatting>
  <conditionalFormatting sqref="H44">
    <cfRule type="expression" dxfId="52" priority="12861" stopIfTrue="1">
      <formula>AND(NOT(ISBLANK(H44)),NOT(_xlfn.ISFORMULA(H44)))</formula>
    </cfRule>
  </conditionalFormatting>
  <conditionalFormatting sqref="E45">
    <cfRule type="expression" dxfId="51" priority="12859">
      <formula>AND(AND(NOT(ISBLANK(D45)),NOT(D45=$O$1)),AND(NOT(ISBLANK(C45)),NOT(C45=$O$1)))</formula>
    </cfRule>
    <cfRule type="expression" dxfId="50" priority="12860">
      <formula>OR(AND(NOT(ISBLANK(D45)),NOT(D45=$O$1)),AND(NOT(ISBLANK(C45)),NOT(C45=$O$1)))</formula>
    </cfRule>
  </conditionalFormatting>
  <conditionalFormatting sqref="F45">
    <cfRule type="expression" dxfId="49" priority="12857">
      <formula>AND(AND(NOT(ISBLANK(G45)),NOT(G45=$O$1)),AND(NOT(ISBLANK(H45)),NOT(H45=$O$1)))</formula>
    </cfRule>
    <cfRule type="expression" dxfId="48" priority="12858">
      <formula>OR(AND(NOT(ISBLANK(G45)),NOT(G45=$O$1)),AND(NOT(ISBLANK(H45)),NOT(H45=$O$1)))</formula>
    </cfRule>
  </conditionalFormatting>
  <conditionalFormatting sqref="E30">
    <cfRule type="expression" dxfId="47" priority="12851">
      <formula>AND(AND(NOT(ISBLANK(D30)),NOT(D30=$O$1)),AND(NOT(ISBLANK(C30)),NOT(C30=$O$1)))</formula>
    </cfRule>
    <cfRule type="expression" dxfId="46" priority="12852">
      <formula>OR(AND(NOT(ISBLANK(D30)),NOT(D30=$O$1)),AND(NOT(ISBLANK(C30)),NOT(C30=$O$1)))</formula>
    </cfRule>
  </conditionalFormatting>
  <conditionalFormatting sqref="F30">
    <cfRule type="expression" dxfId="45" priority="12849">
      <formula>AND(AND(NOT(ISBLANK(G30)),NOT(G30=$O$1)),AND(NOT(ISBLANK(H30)),NOT(H30=$O$1)))</formula>
    </cfRule>
    <cfRule type="expression" dxfId="44" priority="12850">
      <formula>OR(AND(NOT(ISBLANK(G30)),NOT(G30=$O$1)),AND(NOT(ISBLANK(H30)),NOT(H30=$O$1)))</formula>
    </cfRule>
  </conditionalFormatting>
  <conditionalFormatting sqref="C45">
    <cfRule type="expression" dxfId="43" priority="12856" stopIfTrue="1">
      <formula>AND(NOT(ISBLANK(C45)),NOT(_xlfn.ISFORMULA(C45)))</formula>
    </cfRule>
  </conditionalFormatting>
  <conditionalFormatting sqref="D45">
    <cfRule type="expression" dxfId="42" priority="12855" stopIfTrue="1">
      <formula>AND(NOT(ISBLANK(D45)),NOT(_xlfn.ISFORMULA(D45)))</formula>
    </cfRule>
  </conditionalFormatting>
  <conditionalFormatting sqref="G45">
    <cfRule type="expression" dxfId="41" priority="12854" stopIfTrue="1">
      <formula>AND(NOT(ISBLANK(G45)),NOT(_xlfn.ISFORMULA(G45)))</formula>
    </cfRule>
  </conditionalFormatting>
  <conditionalFormatting sqref="H45">
    <cfRule type="expression" dxfId="40" priority="12853" stopIfTrue="1">
      <formula>AND(NOT(ISBLANK(H45)),NOT(_xlfn.ISFORMULA(H45)))</formula>
    </cfRule>
  </conditionalFormatting>
  <conditionalFormatting sqref="C30">
    <cfRule type="expression" dxfId="39" priority="12848" stopIfTrue="1">
      <formula>AND(NOT(ISBLANK(C30)),NOT(_xlfn.ISFORMULA(C30)))</formula>
    </cfRule>
  </conditionalFormatting>
  <conditionalFormatting sqref="D30">
    <cfRule type="expression" dxfId="38" priority="12847" stopIfTrue="1">
      <formula>AND(NOT(ISBLANK(D30)),NOT(_xlfn.ISFORMULA(D30)))</formula>
    </cfRule>
  </conditionalFormatting>
  <conditionalFormatting sqref="G30">
    <cfRule type="expression" dxfId="37" priority="12846" stopIfTrue="1">
      <formula>AND(NOT(ISBLANK(G30)),NOT(_xlfn.ISFORMULA(G30)))</formula>
    </cfRule>
  </conditionalFormatting>
  <conditionalFormatting sqref="H30">
    <cfRule type="expression" dxfId="36" priority="12845" stopIfTrue="1">
      <formula>AND(NOT(ISBLANK(H30)),NOT(_xlfn.ISFORMULA(H30)))</formula>
    </cfRule>
  </conditionalFormatting>
  <conditionalFormatting sqref="E46">
    <cfRule type="expression" dxfId="35" priority="12843">
      <formula>AND(AND(NOT(ISBLANK(D46)),NOT(D46=$O$1)),AND(NOT(ISBLANK(C46)),NOT(C46=$O$1)))</formula>
    </cfRule>
    <cfRule type="expression" dxfId="34" priority="12844">
      <formula>OR(AND(NOT(ISBLANK(D46)),NOT(D46=$O$1)),AND(NOT(ISBLANK(C46)),NOT(C46=$O$1)))</formula>
    </cfRule>
  </conditionalFormatting>
  <conditionalFormatting sqref="F46">
    <cfRule type="expression" dxfId="33" priority="12841">
      <formula>AND(AND(NOT(ISBLANK(G46)),NOT(G46=$O$1)),AND(NOT(ISBLANK(H46)),NOT(H46=$O$1)))</formula>
    </cfRule>
    <cfRule type="expression" dxfId="32" priority="12842">
      <formula>OR(AND(NOT(ISBLANK(G46)),NOT(G46=$O$1)),AND(NOT(ISBLANK(H46)),NOT(H46=$O$1)))</formula>
    </cfRule>
  </conditionalFormatting>
  <conditionalFormatting sqref="E4">
    <cfRule type="expression" dxfId="31" priority="12183">
      <formula>AND(AND(NOT(ISBLANK(D4)),NOT(D4=$O$1)),AND(NOT(ISBLANK(C4)),NOT(C4=$O$1)))</formula>
    </cfRule>
    <cfRule type="expression" dxfId="30" priority="12184">
      <formula>OR(AND(NOT(ISBLANK(D4)),NOT(D4=$O$1)),AND(NOT(ISBLANK(C4)),NOT(C4=$O$1)))</formula>
    </cfRule>
  </conditionalFormatting>
  <conditionalFormatting sqref="F4">
    <cfRule type="expression" dxfId="29" priority="12181">
      <formula>AND(AND(NOT(ISBLANK(G4)),NOT(G4=$O$1)),AND(NOT(ISBLANK(H4)),NOT(H4=$O$1)))</formula>
    </cfRule>
    <cfRule type="expression" dxfId="28" priority="12182">
      <formula>OR(AND(NOT(ISBLANK(G4)),NOT(G4=$O$1)),AND(NOT(ISBLANK(H4)),NOT(H4=$O$1)))</formula>
    </cfRule>
  </conditionalFormatting>
  <conditionalFormatting sqref="E5">
    <cfRule type="expression" dxfId="27" priority="12179">
      <formula>AND(AND(NOT(ISBLANK(D5)),NOT(D5=$O$1)),AND(NOT(ISBLANK(C5)),NOT(C5=$O$1)))</formula>
    </cfRule>
    <cfRule type="expression" dxfId="26" priority="12180">
      <formula>OR(AND(NOT(ISBLANK(D5)),NOT(D5=$O$1)),AND(NOT(ISBLANK(C5)),NOT(C5=$O$1)))</formula>
    </cfRule>
  </conditionalFormatting>
  <conditionalFormatting sqref="F5">
    <cfRule type="expression" dxfId="25" priority="12177">
      <formula>AND(AND(NOT(ISBLANK(G5)),NOT(G5=$O$1)),AND(NOT(ISBLANK(H5)),NOT(H5=$O$1)))</formula>
    </cfRule>
    <cfRule type="expression" dxfId="24" priority="12178">
      <formula>OR(AND(NOT(ISBLANK(G5)),NOT(G5=$O$1)),AND(NOT(ISBLANK(H5)),NOT(H5=$O$1)))</formula>
    </cfRule>
  </conditionalFormatting>
  <conditionalFormatting sqref="E6">
    <cfRule type="expression" dxfId="23" priority="12175">
      <formula>AND(AND(NOT(ISBLANK(D6)),NOT(D6=$O$1)),AND(NOT(ISBLANK(C6)),NOT(C6=$O$1)))</formula>
    </cfRule>
    <cfRule type="expression" dxfId="22" priority="12176">
      <formula>OR(AND(NOT(ISBLANK(D6)),NOT(D6=$O$1)),AND(NOT(ISBLANK(C6)),NOT(C6=$O$1)))</formula>
    </cfRule>
  </conditionalFormatting>
  <conditionalFormatting sqref="F6">
    <cfRule type="expression" dxfId="21" priority="12173">
      <formula>AND(AND(NOT(ISBLANK(G6)),NOT(G6=$O$1)),AND(NOT(ISBLANK(H6)),NOT(H6=$O$1)))</formula>
    </cfRule>
    <cfRule type="expression" dxfId="20" priority="12174">
      <formula>OR(AND(NOT(ISBLANK(G6)),NOT(G6=$O$1)),AND(NOT(ISBLANK(H6)),NOT(H6=$O$1)))</formula>
    </cfRule>
  </conditionalFormatting>
  <conditionalFormatting sqref="E7">
    <cfRule type="expression" dxfId="19" priority="5959">
      <formula>AND(AND(NOT(ISBLANK(D7)),NOT(D7=$O$1)),AND(NOT(ISBLANK(C7)),NOT(C7=$O$1)))</formula>
    </cfRule>
    <cfRule type="expression" dxfId="18" priority="5960">
      <formula>OR(AND(NOT(ISBLANK(D7)),NOT(D7=$O$1)),AND(NOT(ISBLANK(C7)),NOT(C7=$O$1)))</formula>
    </cfRule>
  </conditionalFormatting>
  <conditionalFormatting sqref="F7">
    <cfRule type="expression" dxfId="17" priority="5957">
      <formula>AND(AND(NOT(ISBLANK(G7)),NOT(G7=$O$1)),AND(NOT(ISBLANK(H7)),NOT(H7=$O$1)))</formula>
    </cfRule>
    <cfRule type="expression" dxfId="16" priority="5958">
      <formula>OR(AND(NOT(ISBLANK(G7)),NOT(G7=$O$1)),AND(NOT(ISBLANK(H7)),NOT(H7=$O$1)))</formula>
    </cfRule>
  </conditionalFormatting>
  <conditionalFormatting sqref="C4">
    <cfRule type="expression" dxfId="15" priority="16" stopIfTrue="1">
      <formula>AND(NOT(ISBLANK(C4)),NOT(_xlfn.ISFORMULA(C4)))</formula>
    </cfRule>
  </conditionalFormatting>
  <conditionalFormatting sqref="C5">
    <cfRule type="expression" dxfId="14" priority="15" stopIfTrue="1">
      <formula>AND(NOT(ISBLANK(C5)),NOT(_xlfn.ISFORMULA(C5)))</formula>
    </cfRule>
  </conditionalFormatting>
  <conditionalFormatting sqref="C6">
    <cfRule type="expression" dxfId="13" priority="14" stopIfTrue="1">
      <formula>AND(NOT(ISBLANK(C6)),NOT(_xlfn.ISFORMULA(C6)))</formula>
    </cfRule>
  </conditionalFormatting>
  <conditionalFormatting sqref="C7">
    <cfRule type="expression" dxfId="12" priority="13" stopIfTrue="1">
      <formula>AND(NOT(ISBLANK(C7)),NOT(_xlfn.ISFORMULA(C7)))</formula>
    </cfRule>
  </conditionalFormatting>
  <conditionalFormatting sqref="D4">
    <cfRule type="expression" dxfId="11" priority="12" stopIfTrue="1">
      <formula>AND(NOT(ISBLANK(D4)),NOT(_xlfn.ISFORMULA(D4)))</formula>
    </cfRule>
  </conditionalFormatting>
  <conditionalFormatting sqref="D5">
    <cfRule type="expression" dxfId="10" priority="11" stopIfTrue="1">
      <formula>AND(NOT(ISBLANK(D5)),NOT(_xlfn.ISFORMULA(D5)))</formula>
    </cfRule>
  </conditionalFormatting>
  <conditionalFormatting sqref="D6">
    <cfRule type="expression" dxfId="9" priority="10" stopIfTrue="1">
      <formula>AND(NOT(ISBLANK(D6)),NOT(_xlfn.ISFORMULA(D6)))</formula>
    </cfRule>
  </conditionalFormatting>
  <conditionalFormatting sqref="D7">
    <cfRule type="expression" dxfId="8" priority="9" stopIfTrue="1">
      <formula>AND(NOT(ISBLANK(D7)),NOT(_xlfn.ISFORMULA(D7)))</formula>
    </cfRule>
  </conditionalFormatting>
  <conditionalFormatting sqref="G4">
    <cfRule type="expression" dxfId="7" priority="8" stopIfTrue="1">
      <formula>AND(NOT(ISBLANK(G4)),NOT(_xlfn.ISFORMULA(G4)))</formula>
    </cfRule>
  </conditionalFormatting>
  <conditionalFormatting sqref="G5">
    <cfRule type="expression" dxfId="6" priority="7" stopIfTrue="1">
      <formula>AND(NOT(ISBLANK(G5)),NOT(_xlfn.ISFORMULA(G5)))</formula>
    </cfRule>
  </conditionalFormatting>
  <conditionalFormatting sqref="G6">
    <cfRule type="expression" dxfId="5" priority="6" stopIfTrue="1">
      <formula>AND(NOT(ISBLANK(G6)),NOT(_xlfn.ISFORMULA(G6)))</formula>
    </cfRule>
  </conditionalFormatting>
  <conditionalFormatting sqref="G7">
    <cfRule type="expression" dxfId="4" priority="5" stopIfTrue="1">
      <formula>AND(NOT(ISBLANK(G7)),NOT(_xlfn.ISFORMULA(G7)))</formula>
    </cfRule>
  </conditionalFormatting>
  <conditionalFormatting sqref="H4">
    <cfRule type="expression" dxfId="3" priority="4" stopIfTrue="1">
      <formula>AND(NOT(ISBLANK(H4)),NOT(_xlfn.ISFORMULA(H4)))</formula>
    </cfRule>
  </conditionalFormatting>
  <conditionalFormatting sqref="H5">
    <cfRule type="expression" dxfId="2" priority="3" stopIfTrue="1">
      <formula>AND(NOT(ISBLANK(H5)),NOT(_xlfn.ISFORMULA(H5)))</formula>
    </cfRule>
  </conditionalFormatting>
  <conditionalFormatting sqref="H6">
    <cfRule type="expression" dxfId="1" priority="2" stopIfTrue="1">
      <formula>AND(NOT(ISBLANK(H6)),NOT(_xlfn.ISFORMULA(H6)))</formula>
    </cfRule>
  </conditionalFormatting>
  <conditionalFormatting sqref="H7">
    <cfRule type="expression" dxfId="0" priority="1" stopIfTrue="1">
      <formula>AND(NOT(ISBLANK(H7)),NOT(_xlfn.ISFORMULA(H7)))</formula>
    </cfRule>
  </conditionalFormatting>
  <dataValidations count="2">
    <dataValidation type="custom" allowBlank="1" showInputMessage="1" showErrorMessage="1" sqref="E37:F46 E26:F30 J37:L38 A26:B30 I26:L30 J39:J46 A37:B46 I37:I46 E4:F7 A4:B7 I4:J7"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8:E23" xr:uid="{34147AE8-EB12-45CD-BCD0-18F32DD61C54}">
      <formula1>E18&lt;&gt;"*"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&amp;P/&amp;N&amp;LbCad-teh20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view="pageBreakPreview" zoomScale="115" zoomScaleNormal="100" zoomScaleSheetLayoutView="115" workbookViewId="0"/>
  </sheetViews>
  <sheetFormatPr defaultRowHeight="15" x14ac:dyDescent="0.25"/>
  <cols>
    <col min="1" max="1" width="9.140625" style="84"/>
  </cols>
  <sheetData/>
  <pageMargins left="0.7" right="0.7" top="0.75" bottom="0.75" header="0.3" footer="0.3"/>
  <pageSetup paperSize="9" orientation="portrait" r:id="rId1"/>
  <headerFooter>
    <oddHeader>&amp;R&amp;D. &amp;T. Страница &amp;P/&amp;N&amp;LbCad-teh20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ВставитьИРассчитать" altText="Проверка сумм">
                <anchor>
                  <from>
                    <xdr:col>0</xdr:col>
                    <xdr:colOff>609600</xdr:colOff>
                    <xdr:row>0</xdr:row>
                    <xdr:rowOff>171450</xdr:rowOff>
                  </from>
                  <to>
                    <xdr:col>0</xdr:col>
                    <xdr:colOff>609600</xdr:colOff>
                    <xdr:row>7</xdr:row>
                    <xdr:rowOff>76200</xdr:rowOff>
                  </to>
                </anchor>
              </controlPr>
            </control>
          </mc:Choice>
        </mc:AlternateContent>
        <mc:AlternateContent xmlns:mc="http://schemas.openxmlformats.org/markup-compatibility/2006">
          <mc:Choice Requires="x14">
            <control shapeId="46082" r:id="rId5" name="Button 2">
              <controlPr defaultSize="0" print="0" autoFill="0" autoPict="0" macro="[0]!ОчиститьВсюТаблицу" altText="Проверка сумм">
                <anchor>
                  <from>
                    <xdr:col>0</xdr:col>
                    <xdr:colOff>933450</xdr:colOff>
                    <xdr:row>8</xdr:row>
                    <xdr:rowOff>19050</xdr:rowOff>
                  </from>
                  <to>
                    <xdr:col>0</xdr:col>
                    <xdr:colOff>2781300</xdr:colOff>
                    <xdr:row>14</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vt:i4>
      </vt:variant>
      <vt:variant>
        <vt:lpstr>Именованные диапазоны</vt:lpstr>
      </vt:variant>
      <vt:variant>
        <vt:i4>1</vt:i4>
      </vt:variant>
    </vt:vector>
  </HeadingPairs>
  <TitlesOfParts>
    <vt:vector size="4" baseType="lpstr">
      <vt:lpstr>ИсходныйСкрытый</vt:lpstr>
      <vt:lpstr>Деталировка</vt:lpstr>
      <vt:lpstr>Склад</vt:lpstr>
      <vt:lpstr>Деталировка!Область_печати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2022-01-25T21:29:32Z</cp:lastPrinted>
  <dcterms:created xsi:type="dcterms:W3CDTF">2014-06-23T08:47:00Z</dcterms:created>
  <dcterms:modified xsi:type="dcterms:W3CDTF">2022-01-25T21:34:26Z</dcterms:modified>
</cp:coreProperties>
</file>
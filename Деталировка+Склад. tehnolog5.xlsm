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2.xml" ContentType="application/vnd.ms-excel.controlproperties+xml"/>
  <Override PartName="/xl/ctrlProps/ctrlProp3.xml" ContentType="application/vnd.ms-excel.controlproperties+xml"/>
  <Override PartName="/xl/comments2.xml" ContentType="application/vnd.openxmlformats-officedocument.spreadsheetml.comments+xml"/>
  <Override PartName="/xl/drawings/drawing3.xml" ContentType="application/vnd.openxmlformats-officedocument.drawing+xml"/>
  <Override PartName="/xl/ctrlProps/ctrlProp4.xml" ContentType="application/vnd.ms-excel.controlproperties+xml"/>
  <Override PartName="/xl/ctrlProps/ctrlProp5.xml" ContentType="application/vnd.ms-excel.controlproperties+xml"/>
  <Override PartName="/xl/comments3.xml" ContentType="application/vnd.openxmlformats-officedocument.spreadsheetml.comments+xml"/>
  <Override PartName="/xl/drawings/drawing4.xml" ContentType="application/vnd.openxmlformats-officedocument.drawing+xml"/>
  <Override PartName="/xl/ctrlProps/ctrlProp6.xml" ContentType="application/vnd.ms-excel.controlproperties+xml"/>
  <Override PartName="/xl/ctrlProps/ctrlProp7.xml" ContentType="application/vnd.ms-excel.controlproperties+xml"/>
  <Override PartName="/xl/comments4.xml" ContentType="application/vnd.openxmlformats-officedocument.spreadsheetml.comments+xml"/>
  <Override PartName="/xl/drawings/drawing5.xml" ContentType="application/vnd.openxmlformats-officedocument.drawing+xml"/>
  <Override PartName="/xl/ctrlProps/ctrlProp8.xml" ContentType="application/vnd.ms-excel.controlproperties+xml"/>
  <Override PartName="/xl/ctrlProps/ctrlProp9.xml" ContentType="application/vnd.ms-excel.controlproperties+xml"/>
  <Override PartName="/xl/comments5.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2527" codeName="{564CA151-5A5B-428A-3C10-775976492406}"/>
  <workbookPr codeName="ЭтаКнига" defaultThemeVersion="124226"/>
  <mc:AlternateContent xmlns:mc="http://schemas.openxmlformats.org/markup-compatibility/2006">
    <mc:Choice Requires="x15">
      <x15ac:absPath xmlns:x15ac="http://schemas.microsoft.com/office/spreadsheetml/2010/11/ac" url="F:\Проекты\tehnolog-sochi\"/>
    </mc:Choice>
  </mc:AlternateContent>
  <xr:revisionPtr revIDLastSave="0" documentId="13_ncr:1_{97EDF1A0-647A-4144-9997-0AEE544F6ED1}" xr6:coauthVersionLast="45" xr6:coauthVersionMax="47" xr10:uidLastSave="{00000000-0000-0000-0000-000000000000}"/>
  <bookViews>
    <workbookView xWindow="-120" yWindow="-120" windowWidth="29040" windowHeight="15840" tabRatio="550" activeTab="1" xr2:uid="{00000000-000D-0000-FFFF-FFFF00000000}"/>
  </bookViews>
  <sheets>
    <sheet name="ИсходныйСкрытый" sheetId="662" r:id="rId1"/>
    <sheet name="Деталировка" sheetId="660" r:id="rId2"/>
    <sheet name="СКЛАД" sheetId="663" r:id="rId3"/>
    <sheet name="КРОМКА" sheetId="695" r:id="rId4"/>
    <sheet name="РАСПИЛ" sheetId="665" r:id="rId5"/>
    <sheet name="СБОРКА" sheetId="697" r:id="rId6"/>
  </sheets>
  <functionGroups builtInGroupCount="19"/>
  <definedNames>
    <definedName name="_xlnm._FilterDatabase" localSheetId="1" hidden="1">Деталировка!#REF!</definedName>
    <definedName name="_xlnm.Print_Area" localSheetId="1">Деталировка!$A$2:$M$25</definedName>
    <definedName name="_xlnm.Print_Area" localSheetId="3">КРОМКА!$A$1:$M$52</definedName>
    <definedName name="_xlnm.Print_Area" localSheetId="4">РАСПИЛ!$A$1:$J$20</definedName>
    <definedName name="_xlnm.Print_Area" localSheetId="5">СБОРКА!$A$1:$J$21</definedName>
    <definedName name="_xlnm.Print_Area" localSheetId="2">СКЛАД!#REF!</definedName>
  </definedNames>
  <calcPr calcId="181029"/>
  <extLs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J19" i="697" l="1"/>
  <c r="E19" i="697"/>
  <c r="B2" i="697"/>
  <c r="M33" i="695" l="1"/>
  <c r="I33" i="695"/>
  <c r="B2" i="695"/>
  <c r="E18" i="665" l="1"/>
  <c r="J18" i="665"/>
  <c r="B2" i="665"/>
  <c r="M13" i="660" l="1"/>
  <c r="E13" i="660" s="1"/>
  <c r="N13" i="660" s="1"/>
  <c r="L13" i="660"/>
  <c r="K13" i="660"/>
  <c r="J13" i="660"/>
  <c r="I13" i="660"/>
  <c r="B13" i="660"/>
  <c r="M7" i="660"/>
  <c r="L7" i="660"/>
  <c r="K7" i="660"/>
  <c r="J7" i="660"/>
  <c r="A7" i="660" s="1"/>
  <c r="B7" i="660"/>
  <c r="M5" i="660"/>
  <c r="L5" i="660"/>
  <c r="K5" i="660"/>
  <c r="J5" i="660"/>
  <c r="A5" i="660" s="1"/>
  <c r="I5" i="660"/>
  <c r="B5" i="660"/>
  <c r="M11" i="660"/>
  <c r="L11" i="660"/>
  <c r="K11" i="660"/>
  <c r="J11" i="660"/>
  <c r="B11" i="660"/>
  <c r="M10" i="660"/>
  <c r="L10" i="660"/>
  <c r="K10" i="660"/>
  <c r="J10" i="660"/>
  <c r="I10" i="660"/>
  <c r="B10" i="660"/>
  <c r="M8" i="660"/>
  <c r="L8" i="660"/>
  <c r="K8" i="660"/>
  <c r="J8" i="660"/>
  <c r="A8" i="660" s="1"/>
  <c r="I8" i="660"/>
  <c r="B8" i="660"/>
  <c r="M12" i="660"/>
  <c r="F12" i="660" s="1"/>
  <c r="L12" i="660"/>
  <c r="K12" i="660"/>
  <c r="J12" i="660"/>
  <c r="I12" i="660"/>
  <c r="B12" i="660"/>
  <c r="M9" i="660"/>
  <c r="I9" i="660" s="1"/>
  <c r="L9" i="660"/>
  <c r="K9" i="660"/>
  <c r="J9" i="660"/>
  <c r="A9" i="660" s="1"/>
  <c r="B9" i="660"/>
  <c r="M4" i="660"/>
  <c r="L4" i="660"/>
  <c r="K4" i="660"/>
  <c r="J4" i="660"/>
  <c r="A4" i="660" s="1"/>
  <c r="I4" i="660"/>
  <c r="B4" i="660"/>
  <c r="M6" i="660"/>
  <c r="L6" i="660"/>
  <c r="K6" i="660"/>
  <c r="J6" i="660"/>
  <c r="A6" i="660" s="1"/>
  <c r="B6" i="660"/>
  <c r="E10" i="660" l="1"/>
  <c r="N10" i="660" s="1"/>
  <c r="E5" i="660"/>
  <c r="N5" i="660" s="1"/>
  <c r="E4" i="660"/>
  <c r="N4" i="660" s="1"/>
  <c r="E6" i="660"/>
  <c r="N6" i="660" s="1"/>
  <c r="E7" i="660"/>
  <c r="N7" i="660" s="1"/>
  <c r="I7" i="660"/>
  <c r="A12" i="660"/>
  <c r="A10" i="660"/>
  <c r="A11" i="660"/>
  <c r="F7" i="660"/>
  <c r="I6" i="660"/>
  <c r="F5" i="660"/>
  <c r="A13" i="660"/>
  <c r="E12" i="660"/>
  <c r="N12" i="660" s="1"/>
  <c r="F10" i="660"/>
  <c r="F13" i="660"/>
  <c r="F8" i="660"/>
  <c r="E8" i="660"/>
  <c r="N8" i="660" s="1"/>
  <c r="F11" i="660"/>
  <c r="E11" i="660"/>
  <c r="N11" i="660" s="1"/>
  <c r="F9" i="660"/>
  <c r="E9" i="660"/>
  <c r="N9" i="660" s="1"/>
  <c r="I11" i="660"/>
  <c r="F4" i="660"/>
  <c r="F6" i="660"/>
  <c r="A2" i="660"/>
  <c r="I14" i="660" l="1"/>
  <c r="M5" i="662"/>
  <c r="F5" i="662" s="1"/>
  <c r="L5" i="662"/>
  <c r="K5" i="662"/>
  <c r="J5" i="662"/>
  <c r="A5" i="662" s="1"/>
  <c r="B5" i="662"/>
  <c r="I5" i="662" l="1"/>
  <c r="E5" i="662"/>
  <c r="N5" i="662" s="1"/>
  <c r="M15" i="662"/>
  <c r="H15" i="662" s="1"/>
  <c r="J15" i="662"/>
  <c r="A15" i="662" s="1"/>
  <c r="I15" i="662"/>
  <c r="I49" i="660"/>
  <c r="I33" i="660"/>
  <c r="B3" i="660"/>
  <c r="D15" i="662" l="1"/>
  <c r="N15" i="662" s="1"/>
  <c r="E15" i="662"/>
  <c r="A22" i="660"/>
  <c r="A37" i="660"/>
  <c r="A26" i="660"/>
</calcChain>
</file>

<file path=xl/comments1.xml><?xml version="1.0" encoding="utf-8"?>
<comments xmlns="http://schemas.openxmlformats.org/spreadsheetml/2006/main" xmlns:mc="http://schemas.openxmlformats.org/markup-compatibility/2006" xmlns:xr="http://schemas.microsoft.com/office/spreadsheetml/2014/revision" mc:Ignorable="xr">
  <authors>
    <author>Скиф</author>
  </authors>
  <commentList>
    <comment ref="B54" authorId="0" shapeId="0" xr:uid="{AAFD04C1-13DD-40A8-9031-3ADB48F736F9}">
      <text>
        <r>
          <rPr>
            <b/>
            <sz val="9"/>
            <color indexed="81"/>
            <rFont val="Tahoma"/>
            <family val="2"/>
            <charset val="204"/>
          </rPr>
          <t>Путь и имя файла, который будет служить базой данных</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Скиф</author>
    <author>user</author>
  </authors>
  <commentList>
    <comment ref="A1" authorId="0" shapeId="0" xr:uid="{71C5D9D2-29B0-49FF-A8FE-E3FA9EE2B2C6}">
      <text>
        <r>
          <rPr>
            <b/>
            <sz val="9"/>
            <color indexed="81"/>
            <rFont val="Tahoma"/>
            <family val="2"/>
            <charset val="204"/>
          </rPr>
          <t>Текст из ячейки А1 будет скопирован в верхний левый колонтитул при печати</t>
        </r>
      </text>
    </comment>
    <comment ref="C1" authorId="0" shapeId="0" xr:uid="{F8C46F74-90DA-45AB-8BA2-ED0DFAE9571E}">
      <text>
        <r>
          <rPr>
            <b/>
            <sz val="9"/>
            <color indexed="81"/>
            <rFont val="Tahoma"/>
            <family val="2"/>
            <charset val="204"/>
          </rPr>
          <t>Если эта ячейка не пуста, то будет сохраняться бэкап</t>
        </r>
      </text>
    </comment>
    <comment ref="N1" authorId="0" shapeId="0" xr:uid="{9E33CF45-AA41-4E94-A89D-42EE8FB553A0}">
      <text>
        <r>
          <rPr>
            <b/>
            <sz val="9"/>
            <color indexed="81"/>
            <rFont val="Tahoma"/>
            <family val="2"/>
            <charset val="204"/>
          </rPr>
          <t>Если ячейка L1 не пуста, то будут показываться сообщения об обработке строк</t>
        </r>
      </text>
    </comment>
    <comment ref="O1" authorId="1" shapeId="0" xr:uid="{9DA3F884-6CCC-4F2B-BF23-C8D0CCFD361E}">
      <text>
        <r>
          <rPr>
            <b/>
            <sz val="9"/>
            <color indexed="81"/>
            <rFont val="Tahoma"/>
            <family val="2"/>
            <charset val="204"/>
          </rPr>
          <t>Значок, который даёт указание добавлять размер на запил торца детали</t>
        </r>
      </text>
    </comment>
    <comment ref="P1" authorId="1" shapeId="0" xr:uid="{BC2F107A-354F-46C5-B2A5-12BCB3F33E84}">
      <text>
        <r>
          <rPr>
            <b/>
            <sz val="9"/>
            <color indexed="81"/>
            <rFont val="Tahoma"/>
            <family val="2"/>
            <charset val="204"/>
          </rPr>
          <t>Запас на запил торца</t>
        </r>
      </text>
    </comment>
    <comment ref="Q1" authorId="1" shapeId="0" xr:uid="{FD68FB07-54A9-4F2B-9ADD-12CAE51F646C}">
      <text>
        <r>
          <rPr>
            <b/>
            <sz val="9"/>
            <color indexed="81"/>
            <rFont val="Tahoma"/>
            <family val="2"/>
            <charset val="204"/>
          </rPr>
          <t>Добавка на скрутку</t>
        </r>
      </text>
    </comment>
    <comment ref="S1" authorId="0" shapeId="0" xr:uid="{E1DE0D4D-0493-45D6-95AB-3E04CEB664B2}">
      <text>
        <r>
          <rPr>
            <b/>
            <sz val="9"/>
            <color indexed="81"/>
            <rFont val="Tahoma"/>
            <family val="2"/>
            <charset val="204"/>
          </rPr>
          <t>Здесь указывается путь для загрузки файла</t>
        </r>
      </text>
    </comment>
    <comment ref="X1" authorId="0" shapeId="0" xr:uid="{2E754D92-8A90-4512-917D-9A7CF4CB5251}">
      <text>
        <r>
          <rPr>
            <b/>
            <sz val="9"/>
            <color indexed="81"/>
            <rFont val="Tahoma"/>
            <family val="2"/>
            <charset val="204"/>
          </rPr>
          <t>Через точку с запятой перечислить, какие наименования плит игнорировать при загрузке из bCUT. В конце данных обязательно нужно ставить ";"
Если макрос найдёт в имени плиты одно из перечисленных названий, то плита не будет загружена в деталировку</t>
        </r>
      </text>
    </comment>
    <comment ref="A3" authorId="0" shapeId="0" xr:uid="{3307155B-4CC3-431E-8670-E4D9DD188F85}">
      <text>
        <r>
          <rPr>
            <b/>
            <sz val="9"/>
            <color indexed="81"/>
            <rFont val="Tahoma"/>
            <family val="2"/>
            <charset val="204"/>
          </rPr>
          <t>По этому символу макросы определяют начало деталировки. Его менять нельзя</t>
        </r>
      </text>
    </comment>
    <comment ref="H14" authorId="0" shapeId="0" xr:uid="{53E63BAD-86A3-4B0B-A193-26CECD0F2A8C}">
      <text>
        <r>
          <rPr>
            <b/>
            <sz val="9"/>
            <color indexed="81"/>
            <rFont val="Tahoma"/>
            <family val="2"/>
            <charset val="204"/>
          </rPr>
          <t>По этой фразе макросы определяют конец блока деталировки. Её менять нельзя</t>
        </r>
      </text>
    </comment>
    <comment ref="A22" authorId="0" shapeId="0" xr:uid="{07B1F15C-0CDD-491E-902B-839CF32C03D3}">
      <text>
        <r>
          <rPr>
            <b/>
            <sz val="9"/>
            <color indexed="81"/>
            <rFont val="Tahoma"/>
            <family val="2"/>
            <charset val="204"/>
          </rPr>
          <t>Фраза "Соответствие кромки и ДСП" обязательна. По ней макрос определяет начало блока кромки</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Скиф</author>
  </authors>
  <commentList>
    <comment ref="A2" authorId="0" shapeId="0" xr:uid="{0F77E2F3-E455-4D78-9A0A-58635D762D6B}">
      <text>
        <r>
          <rPr>
            <b/>
            <sz val="9"/>
            <color indexed="81"/>
            <rFont val="Tahoma"/>
            <family val="2"/>
            <charset val="204"/>
          </rPr>
          <t>сделать столбец скрываемым из диалога "ИНСТРУМЕНТЫ"</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Скиф</author>
  </authors>
  <commentList>
    <comment ref="A2" authorId="0" shapeId="0" xr:uid="{555A8491-2914-4C66-ACD5-8C0FE12934BB}">
      <text>
        <r>
          <rPr>
            <b/>
            <sz val="9"/>
            <color indexed="81"/>
            <rFont val="Tahoma"/>
            <family val="2"/>
            <charset val="204"/>
          </rPr>
          <t>сделать столбец скрываемым из диалога "ИНСТРУМЕНТЫ"</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Скиф</author>
  </authors>
  <commentList>
    <comment ref="A2" authorId="0" shapeId="0" xr:uid="{E6B32489-6D21-4947-8AEA-BAFF9EB8C821}">
      <text>
        <r>
          <rPr>
            <b/>
            <sz val="9"/>
            <color indexed="81"/>
            <rFont val="Tahoma"/>
            <family val="2"/>
            <charset val="204"/>
          </rPr>
          <t>сделать столбец скрываемым из диалога "ИНСТРУМЕНТЫ"</t>
        </r>
      </text>
    </comment>
  </commentList>
</comments>
</file>

<file path=xl/sharedStrings.xml><?xml version="1.0" encoding="utf-8"?>
<sst xmlns="http://schemas.openxmlformats.org/spreadsheetml/2006/main" count="190" uniqueCount="115">
  <si>
    <t>Ширина</t>
  </si>
  <si>
    <t>Длина</t>
  </si>
  <si>
    <t>Кол-во</t>
  </si>
  <si>
    <t>Материал</t>
  </si>
  <si>
    <t>Примечание</t>
  </si>
  <si>
    <t>Наименование</t>
  </si>
  <si>
    <t>№</t>
  </si>
  <si>
    <t>Начало</t>
  </si>
  <si>
    <t>Примечания:</t>
  </si>
  <si>
    <t>в</t>
  </si>
  <si>
    <t>л</t>
  </si>
  <si>
    <t>н</t>
  </si>
  <si>
    <t>п</t>
  </si>
  <si>
    <t>Наименование ДСП</t>
  </si>
  <si>
    <t>Наименование кромки</t>
  </si>
  <si>
    <t>Итого деталей</t>
  </si>
  <si>
    <r>
      <t xml:space="preserve">Знак </t>
    </r>
    <r>
      <rPr>
        <b/>
        <sz val="11"/>
        <color theme="1"/>
        <rFont val="Calibri"/>
        <family val="2"/>
        <charset val="204"/>
        <scheme val="minor"/>
      </rPr>
      <t>"кпз-"</t>
    </r>
    <r>
      <rPr>
        <sz val="11"/>
        <color theme="1"/>
        <rFont val="Calibri"/>
        <family val="2"/>
        <charset val="204"/>
        <scheme val="minor"/>
      </rPr>
      <t xml:space="preserve"> и </t>
    </r>
    <r>
      <rPr>
        <b/>
        <sz val="11"/>
        <color theme="1"/>
        <rFont val="Calibri"/>
        <family val="2"/>
        <charset val="204"/>
        <scheme val="minor"/>
      </rPr>
      <t>"кпз2":</t>
    </r>
    <r>
      <rPr>
        <sz val="11"/>
        <color theme="1"/>
        <rFont val="Calibri"/>
        <family val="2"/>
        <charset val="204"/>
        <scheme val="minor"/>
      </rPr>
      <t xml:space="preserve"> кромковать соответствующей кромкой после замеров/уточнений</t>
    </r>
  </si>
  <si>
    <t>сКромкой длина</t>
  </si>
  <si>
    <t>сКромкой ширина</t>
  </si>
  <si>
    <t>БезКромки длина</t>
  </si>
  <si>
    <t>БезКромкиШирина</t>
  </si>
  <si>
    <t>Площадь</t>
  </si>
  <si>
    <t>Код</t>
  </si>
  <si>
    <t>Кромка</t>
  </si>
  <si>
    <t>Плита</t>
  </si>
  <si>
    <t>Текстура</t>
  </si>
  <si>
    <t>Проверка</t>
  </si>
  <si>
    <t>з</t>
  </si>
  <si>
    <r>
      <t xml:space="preserve">Знак </t>
    </r>
    <r>
      <rPr>
        <b/>
        <sz val="11"/>
        <color theme="1"/>
        <rFont val="Calibri"/>
        <family val="2"/>
        <charset val="204"/>
        <scheme val="minor"/>
      </rPr>
      <t>"з":</t>
    </r>
    <r>
      <rPr>
        <sz val="11"/>
        <color theme="1"/>
        <rFont val="Calibri"/>
        <family val="2"/>
        <charset val="204"/>
        <scheme val="minor"/>
      </rPr>
      <t xml:space="preserve"> запил торца</t>
    </r>
  </si>
  <si>
    <t>Правила оформления деталировки</t>
  </si>
  <si>
    <t>Обозначение</t>
  </si>
  <si>
    <t>t</t>
  </si>
  <si>
    <t>Соответствие цвета кромки и ДСП указано в таблице ниже. Если не указано, то</t>
  </si>
  <si>
    <r>
      <t xml:space="preserve">знак </t>
    </r>
    <r>
      <rPr>
        <b/>
        <sz val="11"/>
        <color theme="1"/>
        <rFont val="Calibri"/>
        <family val="2"/>
        <charset val="204"/>
        <scheme val="minor"/>
      </rPr>
      <t>"-"</t>
    </r>
    <r>
      <rPr>
        <sz val="11"/>
        <color theme="1"/>
        <rFont val="Calibri"/>
        <family val="2"/>
        <charset val="204"/>
        <scheme val="minor"/>
      </rPr>
      <t xml:space="preserve">: кромка толщиной </t>
    </r>
    <r>
      <rPr>
        <b/>
        <sz val="11"/>
        <color theme="1"/>
        <rFont val="Calibri"/>
        <family val="2"/>
        <charset val="204"/>
        <scheme val="minor"/>
      </rPr>
      <t>0,5</t>
    </r>
    <r>
      <rPr>
        <sz val="11"/>
        <color theme="1"/>
        <rFont val="Calibri"/>
        <family val="2"/>
        <charset val="204"/>
        <scheme val="minor"/>
      </rPr>
      <t xml:space="preserve"> мм под цвет детали. Знак </t>
    </r>
    <r>
      <rPr>
        <b/>
        <sz val="11"/>
        <color theme="1"/>
        <rFont val="Calibri"/>
        <family val="2"/>
        <charset val="204"/>
        <scheme val="minor"/>
      </rPr>
      <t>"2"</t>
    </r>
    <r>
      <rPr>
        <sz val="11"/>
        <color theme="1"/>
        <rFont val="Calibri"/>
        <family val="2"/>
        <charset val="204"/>
        <scheme val="minor"/>
      </rPr>
      <t>: кромка толщиной 2 мм под цвет детали</t>
    </r>
  </si>
  <si>
    <t>Примечания</t>
  </si>
  <si>
    <t>Обязательный блок с обязательной фразой</t>
  </si>
  <si>
    <t>Автор таблицы - Ганков Ярослав +380662854936</t>
  </si>
  <si>
    <t>Между блоками в деталироке не может быть больше одной пустой строки (если будет больше - нумерация может быть некорректна)</t>
  </si>
  <si>
    <t>Деталировка</t>
  </si>
  <si>
    <t>Стекло</t>
  </si>
  <si>
    <t>Еврокромка полировка по периметру всех деталей</t>
  </si>
  <si>
    <t>Соответствие кромки и ДСП</t>
  </si>
  <si>
    <r>
      <t xml:space="preserve">Здесь располагаются </t>
    </r>
    <r>
      <rPr>
        <b/>
        <sz val="11"/>
        <color theme="1"/>
        <rFont val="Calibri"/>
        <family val="2"/>
        <charset val="204"/>
        <scheme val="minor"/>
      </rPr>
      <t>строки-заготовки</t>
    </r>
    <r>
      <rPr>
        <sz val="11"/>
        <color theme="1"/>
        <rFont val="Calibri"/>
        <family val="2"/>
        <charset val="204"/>
        <scheme val="minor"/>
      </rPr>
      <t xml:space="preserve"> для копирования в </t>
    </r>
    <r>
      <rPr>
        <b/>
        <sz val="11"/>
        <color theme="1"/>
        <rFont val="Calibri"/>
        <family val="2"/>
        <charset val="204"/>
        <scheme val="minor"/>
      </rPr>
      <t>блоки</t>
    </r>
    <r>
      <rPr>
        <sz val="11"/>
        <color theme="1"/>
        <rFont val="Calibri"/>
        <family val="2"/>
        <charset val="204"/>
        <scheme val="minor"/>
      </rPr>
      <t xml:space="preserve">. Фраза над заготовкой-строкой должна быть </t>
    </r>
    <r>
      <rPr>
        <b/>
        <sz val="11"/>
        <color theme="1"/>
        <rFont val="Calibri"/>
        <family val="2"/>
        <charset val="204"/>
        <scheme val="minor"/>
      </rPr>
      <t>точно такая же</t>
    </r>
    <r>
      <rPr>
        <sz val="11"/>
        <color theme="1"/>
        <rFont val="Calibri"/>
        <family val="2"/>
        <charset val="204"/>
        <scheme val="minor"/>
      </rPr>
      <t xml:space="preserve">, как и </t>
    </r>
    <r>
      <rPr>
        <b/>
        <sz val="11"/>
        <color theme="1"/>
        <rFont val="Calibri"/>
        <family val="2"/>
        <charset val="204"/>
        <scheme val="minor"/>
      </rPr>
      <t>название блока</t>
    </r>
    <r>
      <rPr>
        <sz val="11"/>
        <color theme="1"/>
        <rFont val="Calibri"/>
        <family val="2"/>
        <charset val="204"/>
        <scheme val="minor"/>
      </rPr>
      <t>. Копируются данные (кроме таблицы соответствия с столбца А по с толбец Y</t>
    </r>
  </si>
  <si>
    <t>Инструкция</t>
  </si>
  <si>
    <t>Таблица соответствия (блок соответствия)</t>
  </si>
  <si>
    <t>Фигурные детали</t>
  </si>
  <si>
    <r>
      <t xml:space="preserve">На фигурных деталях кромка не указывается. При обнаружении фигурной детали макрос не указывает кромкование, а автоматически в примечании пишет </t>
    </r>
    <r>
      <rPr>
        <b/>
        <sz val="11"/>
        <color theme="1"/>
        <rFont val="Calibri"/>
        <family val="2"/>
        <charset val="204"/>
        <scheme val="minor"/>
      </rPr>
      <t>"См.чертёж; Кромки уточнить;"</t>
    </r>
  </si>
  <si>
    <t>На фигурных деталях считывается лишь одно (первое) наименование кромки и оно будет отображено в таблице соответствия. Если на фигурных деталях больше 1 наименований кромок, то они не отобразятся в таблице соответствия</t>
  </si>
  <si>
    <t>Сердцевина</t>
  </si>
  <si>
    <t>Лицо</t>
  </si>
  <si>
    <t>Тыл</t>
  </si>
  <si>
    <t>D:/bCad-teh.xml</t>
  </si>
  <si>
    <t>Лицевая</t>
  </si>
  <si>
    <t>Тыльная</t>
  </si>
  <si>
    <t>HDF;Зеркало;ПВС;стена;</t>
  </si>
  <si>
    <t>Таблица замены</t>
  </si>
  <si>
    <t>Выгрузка из bCad</t>
  </si>
  <si>
    <t>Соответствие</t>
  </si>
  <si>
    <t>Таблица замены должна располагаться за всеми заготовками блоков</t>
  </si>
  <si>
    <t>SkiffПВХ 0,4х19 Вулканический серый б/к</t>
  </si>
  <si>
    <t>В деталировке при найденном значении в столбце "Выгрузка из bCad" будет произведена полная замена значения на соответствующее из столбика "Соответствие". Если поле "Соответствие" будет пусто, то замена не будет произведена. Деталь при этом не удаляется из деталировки</t>
  </si>
  <si>
    <t>НАЧАЛО ЗАГОТОВОК ДЛЯ ДЕТАЛИРОВКИ</t>
  </si>
  <si>
    <t>КОНЕЦ ЗАГОТОВОК ДЛЯ ДЕТАЛИРОВКИ</t>
  </si>
  <si>
    <t>ЛИСТОВЫЕ</t>
  </si>
  <si>
    <t>Инструкция:</t>
  </si>
  <si>
    <t>Ед. изм.</t>
  </si>
  <si>
    <t>Расход</t>
  </si>
  <si>
    <t>Вначале идут заголовки. Они обязательно должны заканчиваться фразой "Конец заголовков"</t>
  </si>
  <si>
    <r>
      <t xml:space="preserve">Заголовок состоит из двух строк. Верхняя может содержать данные лишь в ячейке "А" и </t>
    </r>
    <r>
      <rPr>
        <b/>
        <sz val="11"/>
        <color theme="1"/>
        <rFont val="Calibri"/>
        <family val="2"/>
        <charset val="204"/>
        <scheme val="minor"/>
      </rPr>
      <t>не</t>
    </r>
    <r>
      <rPr>
        <sz val="11"/>
        <color theme="1"/>
        <rFont val="Calibri"/>
        <family val="2"/>
        <charset val="204"/>
        <scheme val="minor"/>
      </rPr>
      <t xml:space="preserve"> содержать данных в ячейках "В" и "С" (иначе алгоритм не распознает его как заголовок). Нижняя строка заголовка может содержать любые данные</t>
    </r>
  </si>
  <si>
    <t>ОБЛИЦОВКА</t>
  </si>
  <si>
    <t>За фразой "Конец заголовков" могут идти доп. блоки</t>
  </si>
  <si>
    <t>КРОМКА</t>
  </si>
  <si>
    <t>Длина м.</t>
  </si>
  <si>
    <r>
      <t xml:space="preserve">Блок </t>
    </r>
    <r>
      <rPr>
        <b/>
        <sz val="11"/>
        <color theme="1"/>
        <rFont val="Calibri"/>
        <family val="2"/>
        <charset val="204"/>
        <scheme val="minor"/>
      </rPr>
      <t>"Таблица замены"</t>
    </r>
    <r>
      <rPr>
        <sz val="11"/>
        <color theme="1"/>
        <rFont val="Calibri"/>
        <family val="2"/>
        <charset val="204"/>
        <scheme val="minor"/>
      </rPr>
      <t xml:space="preserve"> должен быть последним. Всё, что будет в этом блоке. В этом блоке в столбике "А" не должно быть пустых строк. Пустые строки могут быть в столбике "В" - при этом значение не будет загружаться в Склад</t>
    </r>
  </si>
  <si>
    <t>ФУРНИТУРА</t>
  </si>
  <si>
    <t>Название</t>
  </si>
  <si>
    <t>Ед.изм</t>
  </si>
  <si>
    <t>Кол.</t>
  </si>
  <si>
    <t>РАСКРОЙ ПРОФИЛЬНЫХ ДЕТАЛЕЙ</t>
  </si>
  <si>
    <t>Длина мм.</t>
  </si>
  <si>
    <t>Конец заголовков</t>
  </si>
  <si>
    <t>Перенос-&gt;ОБЛИЦОВКА-&gt;ЛИСТОВЫЕ</t>
  </si>
  <si>
    <t>камень</t>
  </si>
  <si>
    <t>пластик</t>
  </si>
  <si>
    <t>Конец Перенос-&gt;ОБЛИЦОВКА-&gt;ЛИСТОВЫЕ</t>
  </si>
  <si>
    <t>НАЧАЛО ЗАГОТОВОК ДЛЯ СКЛАДА</t>
  </si>
  <si>
    <t>КОНЕЦ ЗАГОТОВОК ДЛЯ СКЛАДА</t>
  </si>
  <si>
    <r>
      <t>Блок "</t>
    </r>
    <r>
      <rPr>
        <b/>
        <sz val="11"/>
        <color theme="1"/>
        <rFont val="Calibri"/>
        <family val="2"/>
        <charset val="204"/>
        <scheme val="minor"/>
      </rPr>
      <t xml:space="preserve">Перенос" </t>
    </r>
    <r>
      <rPr>
        <sz val="11"/>
        <color theme="1"/>
        <rFont val="Calibri"/>
        <family val="2"/>
        <charset val="204"/>
        <scheme val="minor"/>
      </rPr>
      <t xml:space="preserve">позволяет перенести данные из одного блока склада в другой. Блок обязательно должен содержать служебные метки начала и конца и обязательно должен находиться после Заголовков для склада. Синтаксис таков </t>
    </r>
    <r>
      <rPr>
        <b/>
        <sz val="11"/>
        <color theme="1"/>
        <rFont val="Calibri"/>
        <family val="2"/>
        <charset val="204"/>
        <scheme val="minor"/>
      </rPr>
      <t>Перенос-&gt;</t>
    </r>
    <r>
      <rPr>
        <sz val="11"/>
        <color theme="1"/>
        <rFont val="Calibri"/>
        <family val="2"/>
        <charset val="204"/>
        <scheme val="minor"/>
      </rPr>
      <t>[откуда_переносить]</t>
    </r>
    <r>
      <rPr>
        <b/>
        <sz val="11"/>
        <color theme="1"/>
        <rFont val="Calibri"/>
        <family val="2"/>
        <charset val="204"/>
        <scheme val="minor"/>
      </rPr>
      <t>-&gt;</t>
    </r>
    <r>
      <rPr>
        <sz val="11"/>
        <color theme="1"/>
        <rFont val="Calibri"/>
        <family val="2"/>
        <charset val="204"/>
        <scheme val="minor"/>
      </rPr>
      <t>[куда_переносить]. Начальное слово Перенос со стрелочкой является служебным</t>
    </r>
  </si>
  <si>
    <t>ЛДСП Lamarty 2750*1830*16 Белый б/к</t>
  </si>
  <si>
    <t>XДФ 2800*2070*4 Белый б/к</t>
  </si>
  <si>
    <t>Из файла загружаются лишь те записи, которые не были найдены здесь</t>
  </si>
  <si>
    <t>Приоритетными считаются записи из таблицы. Если будут найдены одинаковые записи в файле и в таблице, то в файле записи будут перезаписаны записями из таблицы</t>
  </si>
  <si>
    <t>C:/bCADExtensions/table.txt</t>
  </si>
  <si>
    <t>камень Akrilika M-608 Seashell 3660*760*12 б/к</t>
  </si>
  <si>
    <t>ЛМДФ 2800*2070*16 Белый 1 ст. б/к</t>
  </si>
  <si>
    <t>ЛМДФ 2800*2070*19 Белый 2 ст. б/к</t>
  </si>
  <si>
    <t>склейка ДСП 2750*1830*26 шлиф. б/к</t>
  </si>
  <si>
    <t>Толщина</t>
  </si>
  <si>
    <t>Длина пильная</t>
  </si>
  <si>
    <t>Ширина пильная</t>
  </si>
  <si>
    <t>Итого деталей:</t>
  </si>
  <si>
    <t>Итого м.п. кромки б/к:</t>
  </si>
  <si>
    <t>Сортировка по "Кромке" сначала позиции только с кромкой 0,4 и далее по цветам отличным от базовой 0,4 с разделением пробелом</t>
  </si>
  <si>
    <t>Сюда не заносятся данные, где есть слово: "плёнка", "пленка"</t>
  </si>
  <si>
    <t>В КРОМКУ не пишем следующие виды кромок: эмаль и камень</t>
  </si>
  <si>
    <t>Итого м2 б/к:</t>
  </si>
  <si>
    <t>Присадка</t>
  </si>
  <si>
    <t>Длина готового</t>
  </si>
  <si>
    <t>Ширина готового</t>
  </si>
  <si>
    <t>Шт</t>
  </si>
  <si>
    <t>bCad-teh2</t>
  </si>
  <si>
    <t>КРОМКА bCad-teh2</t>
  </si>
  <si>
    <t>РАСПИЛ bCad-teh2</t>
  </si>
  <si>
    <t>СБОРКА bCad-teh2</t>
  </si>
  <si>
    <t>Толщи-на</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</si>
</sst>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9" x14ac:knownFonts="1">
    <font>
      <sz val="11"/>
      <color theme="1"/>
      <name val="Calibri"/>
      <family val="2"/>
      <charset val="204"/>
      <scheme val="minor"/>
    </font>
    <font>
      <sz val="10"/>
      <name val="Arial"/>
      <family val="2"/>
      <charset val="204"/>
    </font>
    <font>
      <b/>
      <sz val="11"/>
      <color theme="1"/>
      <name val="Calibri"/>
      <family val="2"/>
      <charset val="204"/>
      <scheme val="minor"/>
    </font>
    <font>
      <sz val="11"/>
      <color rgb="FF000000"/>
      <name val="Calibri"/>
      <family val="2"/>
      <charset val="204"/>
    </font>
    <font>
      <sz val="9"/>
      <color theme="1"/>
      <name val="Calibri"/>
      <family val="2"/>
      <charset val="204"/>
      <scheme val="minor"/>
    </font>
    <font>
      <sz val="10"/>
      <color theme="1"/>
      <name val="Calibri"/>
      <family val="2"/>
      <charset val="204"/>
      <scheme val="minor"/>
    </font>
    <font>
      <b/>
      <sz val="14"/>
      <color theme="1"/>
      <name val="Calibri"/>
      <family val="2"/>
      <charset val="204"/>
      <scheme val="minor"/>
    </font>
    <font>
      <b/>
      <sz val="9"/>
      <color theme="1"/>
      <name val="Calibri"/>
      <family val="2"/>
      <charset val="204"/>
      <scheme val="minor"/>
    </font>
    <font>
      <sz val="11"/>
      <color theme="1"/>
      <name val="Calibri"/>
      <family val="2"/>
      <charset val="204"/>
    </font>
    <font>
      <b/>
      <sz val="9"/>
      <color indexed="81"/>
      <name val="Tahoma"/>
      <family val="2"/>
      <charset val="204"/>
    </font>
    <font>
      <sz val="8"/>
      <name val="Calibri"/>
      <family val="2"/>
      <charset val="204"/>
      <scheme val="minor"/>
    </font>
    <font>
      <b/>
      <sz val="10"/>
      <color theme="1"/>
      <name val="Calibri"/>
      <family val="2"/>
      <charset val="204"/>
      <scheme val="minor"/>
    </font>
    <font>
      <b/>
      <sz val="12"/>
      <color theme="1"/>
      <name val="Calibri"/>
      <family val="2"/>
      <charset val="204"/>
      <scheme val="minor"/>
    </font>
    <font>
      <i/>
      <sz val="11"/>
      <color theme="1"/>
      <name val="Calibri"/>
      <family val="2"/>
      <charset val="204"/>
      <scheme val="minor"/>
    </font>
    <font>
      <b/>
      <i/>
      <sz val="11"/>
      <color theme="1"/>
      <name val="Calibri"/>
      <family val="2"/>
      <charset val="204"/>
      <scheme val="minor"/>
    </font>
    <font>
      <b/>
      <sz val="11"/>
      <name val="Arial"/>
      <family val="2"/>
      <charset val="204"/>
    </font>
    <font>
      <b/>
      <sz val="16"/>
      <color theme="1"/>
      <name val="Calibri"/>
      <family val="2"/>
      <charset val="204"/>
      <scheme val="minor"/>
    </font>
    <font>
      <b/>
      <i/>
      <sz val="10"/>
      <color theme="1"/>
      <name val="Calibri"/>
      <family val="2"/>
      <charset val="204"/>
      <scheme val="minor"/>
    </font>
    <font>
      <u val="double"/>
      <sz val="11"/>
      <color theme="1"/>
      <name val="Calibri"/>
      <family val="2"/>
      <charset val="204"/>
      <scheme val="minor"/>
    </font>
  </fonts>
  <fills count="3">
    <fill>
      <patternFill patternType="none"/>
    </fill>
    <fill>
      <patternFill patternType="gray125"/>
    </fill>
    <fill>
      <patternFill patternType="solid">
        <fgColor rgb="FFCC9900"/>
        <bgColor indexed="64"/>
      </patternFill>
    </fill>
  </fills>
  <borders count="11">
    <border>
      <left/>
      <right/>
      <top/>
      <bottom/>
      <diagonal/>
    </border>
    <border>
      <left style="thin">
        <color indexed="64"/>
      </left>
      <right style="thin">
        <color auto="1"/>
      </right>
      <top style="thin">
        <color auto="1"/>
      </top>
      <bottom style="thin">
        <color auto="1"/>
      </bottom>
      <diagonal/>
    </border>
    <border>
      <left style="thin">
        <color theme="0" tint="-4.9989318521683403E-2"/>
      </left>
      <right style="thin">
        <color theme="0" tint="-4.9989318521683403E-2"/>
      </right>
      <top/>
      <bottom style="thin">
        <color theme="0" tint="-4.9989318521683403E-2"/>
      </bottom>
      <diagonal/>
    </border>
    <border>
      <left style="thin">
        <color indexed="64"/>
      </left>
      <right/>
      <top style="thin">
        <color auto="1"/>
      </top>
      <bottom style="thin">
        <color auto="1"/>
      </bottom>
      <diagonal/>
    </border>
    <border>
      <left/>
      <right style="thin">
        <color auto="1"/>
      </right>
      <top style="thin">
        <color auto="1"/>
      </top>
      <bottom style="thin">
        <color auto="1"/>
      </bottom>
      <diagonal/>
    </border>
    <border>
      <left/>
      <right/>
      <top style="thin">
        <color indexed="64"/>
      </top>
      <bottom style="thin">
        <color indexed="64"/>
      </bottom>
      <diagonal/>
    </border>
    <border>
      <left/>
      <right/>
      <top style="thin">
        <color indexed="64"/>
      </top>
      <bottom/>
      <diagonal/>
    </border>
    <border>
      <left style="thin">
        <color indexed="64"/>
      </left>
      <right style="thin">
        <color auto="1"/>
      </right>
      <top style="thin">
        <color auto="1"/>
      </top>
      <bottom/>
      <diagonal/>
    </border>
    <border>
      <left style="thin">
        <color theme="0" tint="-0.14999847407452621"/>
      </left>
      <right style="thin">
        <color theme="0" tint="-0.14999847407452621"/>
      </right>
      <top style="thin">
        <color theme="0" tint="-0.14999847407452621"/>
      </top>
      <bottom style="thin">
        <color theme="0" tint="-0.14999847407452621"/>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s>
  <cellStyleXfs count="2">
    <xf numFmtId="0" fontId="0" fillId="0" borderId="0"/>
    <xf numFmtId="0" fontId="1" fillId="0" borderId="0"/>
  </cellStyleXfs>
  <cellXfs count="110">
    <xf numFmtId="0" fontId="0" fillId="0" borderId="0" xfId="0"/>
    <xf numFmtId="0" fontId="6" fillId="0" borderId="0" xfId="0" applyFont="1"/>
    <xf numFmtId="0" fontId="2" fillId="0" borderId="0" xfId="0" applyFont="1"/>
    <xf numFmtId="0" fontId="2" fillId="0" borderId="1" xfId="0" applyFont="1" applyBorder="1"/>
    <xf numFmtId="0" fontId="2" fillId="0" borderId="3" xfId="0" applyFont="1" applyBorder="1"/>
    <xf numFmtId="0" fontId="2" fillId="0" borderId="5" xfId="0" applyFont="1" applyBorder="1"/>
    <xf numFmtId="0" fontId="2" fillId="0" borderId="5" xfId="0" applyFont="1" applyBorder="1" applyAlignment="1">
      <alignment horizontal="right"/>
    </xf>
    <xf numFmtId="0" fontId="2" fillId="0" borderId="3" xfId="0" applyFont="1" applyBorder="1" applyAlignment="1">
      <alignment horizontal="left"/>
    </xf>
    <xf numFmtId="0" fontId="2" fillId="0" borderId="4" xfId="0" applyFont="1" applyBorder="1"/>
    <xf numFmtId="0" fontId="0" fillId="0" borderId="2" xfId="0" applyBorder="1" applyAlignment="1">
      <alignment vertical="center"/>
    </xf>
    <xf numFmtId="0" fontId="2" fillId="0" borderId="2" xfId="0" applyFont="1" applyBorder="1" applyAlignment="1">
      <alignment vertical="center"/>
    </xf>
    <xf numFmtId="49" fontId="4" fillId="0" borderId="2" xfId="0" applyNumberFormat="1" applyFont="1" applyBorder="1" applyAlignment="1">
      <alignment vertical="center"/>
    </xf>
    <xf numFmtId="0" fontId="7" fillId="0" borderId="2" xfId="0" applyFont="1" applyBorder="1" applyAlignment="1">
      <alignment vertical="center"/>
    </xf>
    <xf numFmtId="0" fontId="0" fillId="0" borderId="0" xfId="0" applyAlignment="1">
      <alignment vertical="center"/>
    </xf>
    <xf numFmtId="1" fontId="2" fillId="0" borderId="2" xfId="0" applyNumberFormat="1" applyFont="1" applyBorder="1" applyAlignment="1">
      <alignment vertical="center"/>
    </xf>
    <xf numFmtId="0" fontId="4" fillId="0" borderId="2" xfId="0" applyFont="1" applyBorder="1" applyAlignment="1">
      <alignment vertical="center"/>
    </xf>
    <xf numFmtId="0" fontId="2" fillId="0" borderId="6" xfId="0" applyFont="1" applyBorder="1"/>
    <xf numFmtId="49" fontId="0" fillId="0" borderId="0" xfId="0" applyNumberFormat="1"/>
    <xf numFmtId="0" fontId="0" fillId="0" borderId="1" xfId="0" applyBorder="1"/>
    <xf numFmtId="0" fontId="8" fillId="0" borderId="0" xfId="0" applyFont="1"/>
    <xf numFmtId="0" fontId="5" fillId="0" borderId="0" xfId="0" applyFont="1" applyAlignment="1">
      <alignment horizontal="right"/>
    </xf>
    <xf numFmtId="0" fontId="2" fillId="0" borderId="7" xfId="0" applyFont="1" applyBorder="1"/>
    <xf numFmtId="1" fontId="0" fillId="0" borderId="1" xfId="0" applyNumberFormat="1" applyBorder="1"/>
    <xf numFmtId="49" fontId="0" fillId="0" borderId="1" xfId="0" applyNumberFormat="1" applyBorder="1"/>
    <xf numFmtId="1" fontId="0" fillId="0" borderId="0" xfId="0" applyNumberFormat="1"/>
    <xf numFmtId="0" fontId="2" fillId="0" borderId="0" xfId="0" applyFont="1" applyAlignment="1">
      <alignment vertical="center"/>
    </xf>
    <xf numFmtId="0" fontId="0" fillId="0" borderId="1" xfId="0" applyNumberFormat="1" applyBorder="1"/>
    <xf numFmtId="0" fontId="0" fillId="0" borderId="0" xfId="0"/>
    <xf numFmtId="0" fontId="7" fillId="0" borderId="2" xfId="0" applyFont="1" applyBorder="1" applyAlignment="1">
      <alignment vertical="center" wrapText="1"/>
    </xf>
    <xf numFmtId="0" fontId="0" fillId="2" borderId="0" xfId="0" applyFill="1"/>
    <xf numFmtId="0" fontId="0" fillId="0" borderId="0" xfId="0"/>
    <xf numFmtId="0" fontId="12" fillId="0" borderId="0" xfId="0" applyFont="1"/>
    <xf numFmtId="0" fontId="0" fillId="0" borderId="2" xfId="0" applyBorder="1" applyAlignment="1">
      <alignment vertical="center" wrapText="1"/>
    </xf>
    <xf numFmtId="1" fontId="2" fillId="0" borderId="0" xfId="0" applyNumberFormat="1" applyFont="1" applyAlignment="1">
      <alignment vertical="center"/>
    </xf>
    <xf numFmtId="0" fontId="0" fillId="0" borderId="0" xfId="0" applyAlignment="1">
      <alignment vertical="center" wrapText="1"/>
    </xf>
    <xf numFmtId="49" fontId="4" fillId="0" borderId="0" xfId="0" applyNumberFormat="1" applyFont="1" applyAlignment="1">
      <alignment vertical="center"/>
    </xf>
    <xf numFmtId="0" fontId="7" fillId="0" borderId="0" xfId="0" applyFont="1" applyAlignment="1">
      <alignment vertical="center"/>
    </xf>
    <xf numFmtId="0" fontId="4" fillId="0" borderId="0" xfId="0" applyFont="1" applyAlignment="1">
      <alignment vertical="center"/>
    </xf>
    <xf numFmtId="0" fontId="13" fillId="0" borderId="0" xfId="0" applyFont="1"/>
    <xf numFmtId="0" fontId="14" fillId="0" borderId="3" xfId="0" applyFont="1" applyBorder="1"/>
    <xf numFmtId="0" fontId="14" fillId="0" borderId="5" xfId="0" applyFont="1" applyBorder="1"/>
    <xf numFmtId="0" fontId="13" fillId="0" borderId="2" xfId="0" applyFont="1" applyBorder="1" applyAlignment="1">
      <alignment vertical="center"/>
    </xf>
    <xf numFmtId="0" fontId="13" fillId="0" borderId="0" xfId="0" applyFont="1" applyAlignment="1">
      <alignment vertical="center"/>
    </xf>
    <xf numFmtId="0" fontId="13" fillId="0" borderId="4" xfId="0" applyFont="1" applyBorder="1"/>
    <xf numFmtId="0" fontId="14" fillId="0" borderId="4" xfId="0" applyFont="1" applyBorder="1"/>
    <xf numFmtId="0" fontId="14" fillId="0" borderId="0" xfId="0" applyFont="1" applyAlignment="1">
      <alignment horizontal="right" vertical="center"/>
    </xf>
    <xf numFmtId="0" fontId="13" fillId="0" borderId="5" xfId="0" applyFont="1" applyBorder="1"/>
    <xf numFmtId="0" fontId="13" fillId="0" borderId="2" xfId="0" applyFont="1" applyBorder="1" applyAlignment="1">
      <alignment horizontal="center" vertical="center"/>
    </xf>
    <xf numFmtId="1" fontId="2" fillId="0" borderId="2" xfId="0" applyNumberFormat="1" applyFont="1" applyBorder="1" applyAlignment="1">
      <alignment horizontal="center" vertical="center"/>
    </xf>
    <xf numFmtId="0" fontId="2" fillId="0" borderId="2" xfId="0" applyFont="1" applyBorder="1" applyAlignment="1">
      <alignment horizontal="center" vertical="center"/>
    </xf>
    <xf numFmtId="0" fontId="2" fillId="0" borderId="0" xfId="0" applyFont="1" applyAlignment="1">
      <alignment horizontal="center" vertical="center"/>
    </xf>
    <xf numFmtId="49" fontId="4" fillId="0" borderId="2" xfId="0" applyNumberFormat="1" applyFont="1" applyBorder="1" applyAlignment="1">
      <alignment horizontal="center" vertical="center"/>
    </xf>
    <xf numFmtId="0" fontId="4" fillId="0" borderId="2" xfId="0" applyFont="1" applyBorder="1" applyAlignment="1">
      <alignment horizontal="center" vertical="center"/>
    </xf>
    <xf numFmtId="49" fontId="4" fillId="0" borderId="2" xfId="0" applyNumberFormat="1" applyFont="1" applyFill="1" applyBorder="1" applyAlignment="1">
      <alignment horizontal="center" vertical="center"/>
    </xf>
    <xf numFmtId="0" fontId="13" fillId="0" borderId="2" xfId="0" applyFont="1" applyFill="1" applyBorder="1" applyAlignment="1">
      <alignment horizontal="center" vertical="center"/>
    </xf>
    <xf numFmtId="0" fontId="2" fillId="0" borderId="0" xfId="0" applyFont="1" applyBorder="1"/>
    <xf numFmtId="0" fontId="0" fillId="0" borderId="0" xfId="0" applyBorder="1"/>
    <xf numFmtId="0" fontId="14" fillId="0" borderId="1" xfId="0" applyFont="1" applyBorder="1" applyAlignment="1">
      <alignment horizontal="right"/>
    </xf>
    <xf numFmtId="0" fontId="11" fillId="0" borderId="1" xfId="0" applyFont="1" applyBorder="1" applyAlignment="1">
      <alignment horizontal="left"/>
    </xf>
    <xf numFmtId="0" fontId="13" fillId="0" borderId="1" xfId="0" applyFont="1" applyBorder="1"/>
    <xf numFmtId="0" fontId="14" fillId="0" borderId="5" xfId="0" applyFont="1" applyBorder="1" applyAlignment="1">
      <alignment horizontal="right"/>
    </xf>
    <xf numFmtId="0" fontId="11" fillId="0" borderId="5" xfId="0" applyFont="1" applyBorder="1" applyAlignment="1">
      <alignment horizontal="left"/>
    </xf>
    <xf numFmtId="0" fontId="13" fillId="0" borderId="5" xfId="0" applyFont="1" applyBorder="1" applyAlignment="1">
      <alignment horizontal="right"/>
    </xf>
    <xf numFmtId="0" fontId="0" fillId="0" borderId="5" xfId="0" applyBorder="1" applyAlignment="1">
      <alignment horizontal="left"/>
    </xf>
    <xf numFmtId="49" fontId="15" fillId="0" borderId="0" xfId="0" applyNumberFormat="1" applyFont="1" applyAlignment="1">
      <alignment horizontal="center"/>
    </xf>
    <xf numFmtId="0" fontId="2" fillId="0" borderId="1" xfId="0" applyFont="1" applyBorder="1" applyAlignment="1">
      <alignment horizontal="center" vertical="center"/>
    </xf>
    <xf numFmtId="0" fontId="2" fillId="0" borderId="3" xfId="0" applyFont="1" applyBorder="1" applyAlignment="1">
      <alignment horizontal="center" vertical="center"/>
    </xf>
    <xf numFmtId="0" fontId="14" fillId="0" borderId="3" xfId="0" applyFont="1" applyBorder="1" applyAlignment="1">
      <alignment horizontal="center" vertical="center"/>
    </xf>
    <xf numFmtId="0" fontId="14" fillId="0" borderId="5" xfId="0" applyFont="1" applyBorder="1" applyAlignment="1">
      <alignment horizontal="center" vertical="center"/>
    </xf>
    <xf numFmtId="0" fontId="2" fillId="0" borderId="5" xfId="0" applyFont="1" applyBorder="1" applyAlignment="1">
      <alignment horizontal="center" vertical="center"/>
    </xf>
    <xf numFmtId="0" fontId="14" fillId="0" borderId="4" xfId="0" applyFont="1" applyBorder="1" applyAlignment="1">
      <alignment horizontal="center" vertical="center"/>
    </xf>
    <xf numFmtId="0" fontId="2" fillId="0" borderId="4" xfId="0" applyFont="1" applyBorder="1" applyAlignment="1">
      <alignment horizontal="center" vertical="center"/>
    </xf>
    <xf numFmtId="49" fontId="14" fillId="0" borderId="0" xfId="0" applyNumberFormat="1" applyFont="1" applyAlignment="1">
      <alignment horizontal="center"/>
    </xf>
    <xf numFmtId="49" fontId="0" fillId="0" borderId="0" xfId="0" applyNumberFormat="1" applyAlignment="1">
      <alignment horizontal="left"/>
    </xf>
    <xf numFmtId="49" fontId="2" fillId="0" borderId="0" xfId="0" applyNumberFormat="1" applyFont="1"/>
    <xf numFmtId="2" fontId="0" fillId="0" borderId="0" xfId="0" applyNumberFormat="1" applyAlignment="1">
      <alignment horizontal="center"/>
    </xf>
    <xf numFmtId="2" fontId="2" fillId="0" borderId="0" xfId="0" applyNumberFormat="1" applyFont="1" applyAlignment="1">
      <alignment horizontal="center"/>
    </xf>
    <xf numFmtId="9" fontId="14" fillId="0" borderId="0" xfId="0" applyNumberFormat="1" applyFont="1" applyAlignment="1">
      <alignment horizontal="center"/>
    </xf>
    <xf numFmtId="0" fontId="2" fillId="0" borderId="0" xfId="0" applyFont="1" applyAlignment="1">
      <alignment horizontal="center"/>
    </xf>
    <xf numFmtId="0" fontId="16" fillId="0" borderId="0" xfId="0" applyFont="1"/>
    <xf numFmtId="0" fontId="0" fillId="0" borderId="1" xfId="0" applyFont="1" applyBorder="1"/>
    <xf numFmtId="0" fontId="0" fillId="0" borderId="0" xfId="0" applyAlignment="1">
      <alignment horizontal="center"/>
    </xf>
    <xf numFmtId="0" fontId="0" fillId="0" borderId="0" xfId="0" applyAlignment="1">
      <alignment wrapText="1"/>
    </xf>
    <xf numFmtId="14" fontId="2" fillId="0" borderId="0" xfId="0" applyNumberFormat="1" applyFont="1"/>
    <xf numFmtId="14" fontId="2" fillId="0" borderId="0" xfId="0" applyNumberFormat="1" applyFont="1" applyAlignment="1">
      <alignment horizontal="right"/>
    </xf>
    <xf numFmtId="0" fontId="14" fillId="0" borderId="1" xfId="0" applyFont="1" applyBorder="1" applyAlignment="1">
      <alignment horizontal="center" vertical="center"/>
    </xf>
    <xf numFmtId="0" fontId="2" fillId="0" borderId="1" xfId="0" applyFont="1" applyBorder="1" applyAlignment="1">
      <alignment horizontal="center" vertical="center" wrapText="1"/>
    </xf>
    <xf numFmtId="0" fontId="14" fillId="0" borderId="1" xfId="0" applyFont="1" applyBorder="1" applyAlignment="1">
      <alignment horizontal="center" vertical="center" wrapText="1"/>
    </xf>
    <xf numFmtId="0" fontId="2" fillId="0" borderId="0" xfId="0" applyFont="1" applyAlignment="1">
      <alignment horizontal="right" vertical="center"/>
    </xf>
    <xf numFmtId="1" fontId="2" fillId="0" borderId="0" xfId="0" applyNumberFormat="1" applyFont="1" applyAlignment="1">
      <alignment vertical="center" wrapText="1"/>
    </xf>
    <xf numFmtId="0" fontId="2" fillId="0" borderId="0" xfId="0" applyFont="1" applyAlignment="1">
      <alignment vertical="center" wrapText="1"/>
    </xf>
    <xf numFmtId="0" fontId="2" fillId="0" borderId="1" xfId="0" applyFont="1" applyBorder="1" applyAlignment="1">
      <alignment horizontal="center"/>
    </xf>
    <xf numFmtId="0" fontId="14" fillId="0" borderId="1" xfId="0" applyFont="1" applyBorder="1" applyAlignment="1">
      <alignment horizontal="center"/>
    </xf>
    <xf numFmtId="0" fontId="11" fillId="0" borderId="1" xfId="0" applyFont="1" applyBorder="1" applyAlignment="1">
      <alignment horizontal="center"/>
    </xf>
    <xf numFmtId="0" fontId="2" fillId="0" borderId="8" xfId="0" applyFont="1" applyBorder="1"/>
    <xf numFmtId="1" fontId="2" fillId="0" borderId="8" xfId="0" applyNumberFormat="1" applyFont="1" applyBorder="1" applyAlignment="1">
      <alignment vertical="center"/>
    </xf>
    <xf numFmtId="0" fontId="17" fillId="0" borderId="1" xfId="0" applyFont="1" applyBorder="1" applyAlignment="1">
      <alignment horizontal="center" vertical="center" wrapText="1"/>
    </xf>
    <xf numFmtId="0" fontId="0" fillId="0" borderId="9" xfId="0" applyBorder="1" applyAlignment="1">
      <alignment horizontal="center"/>
    </xf>
    <xf numFmtId="0" fontId="0" fillId="0" borderId="3" xfId="0" applyFont="1" applyBorder="1"/>
    <xf numFmtId="2" fontId="2" fillId="0" borderId="8" xfId="0" applyNumberFormat="1" applyFont="1" applyBorder="1"/>
    <xf numFmtId="0" fontId="0" fillId="0" borderId="9" xfId="0" applyBorder="1" applyAlignment="1">
      <alignment horizontal="left" wrapText="1"/>
    </xf>
    <xf numFmtId="0" fontId="18" fillId="0" borderId="9" xfId="0" applyFont="1" applyBorder="1" applyAlignment="1">
      <alignment horizontal="center"/>
    </xf>
    <xf numFmtId="0" fontId="2" fillId="0" borderId="9" xfId="0" applyFont="1" applyBorder="1" applyAlignment="1">
      <alignment horizontal="center"/>
    </xf>
    <xf numFmtId="0" fontId="11" fillId="0" borderId="1" xfId="0" applyFont="1" applyBorder="1" applyAlignment="1">
      <alignment horizontal="center" vertical="center" wrapText="1"/>
    </xf>
    <xf numFmtId="0" fontId="0" fillId="0" borderId="10" xfId="0" applyBorder="1"/>
    <xf numFmtId="0" fontId="7" fillId="0" borderId="1" xfId="0" applyFont="1" applyBorder="1" applyAlignment="1">
      <alignment horizontal="center" vertical="center" wrapText="1"/>
    </xf>
    <xf numFmtId="0" fontId="2" fillId="0" borderId="3" xfId="0" applyFont="1" applyBorder="1" applyAlignment="1">
      <alignment horizontal="center"/>
    </xf>
    <xf numFmtId="0" fontId="2" fillId="0" borderId="5" xfId="0" applyFont="1" applyBorder="1" applyAlignment="1">
      <alignment horizontal="center"/>
    </xf>
    <xf numFmtId="0" fontId="2" fillId="0" borderId="4" xfId="0" applyFont="1" applyBorder="1" applyAlignment="1">
      <alignment horizontal="center"/>
    </xf>
    <xf numFmtId="49" fontId="15" fillId="0" borderId="10" xfId="0" applyNumberFormat="1" applyFont="1" applyBorder="1" applyAlignment="1">
      <alignment horizontal="center"/>
    </xf>
  </cellXfs>
  <cellStyles count="2">
    <cellStyle name="Обычный" xfId="0" builtinId="0"/>
    <cellStyle name="Обычный 3" xfId="1" xr:uid="{00000000-0005-0000-0000-000001000000}"/>
  </cellStyles>
  <dxfs count="212">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ont>
        <u/>
      </font>
    </dxf>
    <dxf>
      <font>
        <u val="double"/>
      </font>
    </dxf>
    <dxf>
      <font>
        <u/>
      </font>
    </dxf>
    <dxf>
      <font>
        <u val="double"/>
      </font>
    </dxf>
    <dxf>
      <font>
        <u/>
      </font>
    </dxf>
    <dxf>
      <font>
        <u val="double"/>
      </font>
    </dxf>
    <dxf>
      <font>
        <u/>
      </font>
    </dxf>
    <dxf>
      <font>
        <u val="double"/>
      </font>
    </dxf>
    <dxf>
      <font>
        <u/>
      </font>
    </dxf>
    <dxf>
      <font>
        <u val="double"/>
      </font>
    </dxf>
    <dxf>
      <font>
        <u/>
      </font>
    </dxf>
    <dxf>
      <font>
        <u val="double"/>
      </font>
    </dxf>
    <dxf>
      <font>
        <u/>
      </font>
    </dxf>
    <dxf>
      <font>
        <u val="double"/>
      </font>
    </dxf>
    <dxf>
      <font>
        <u/>
      </font>
    </dxf>
    <dxf>
      <font>
        <u val="double"/>
      </font>
    </dxf>
    <dxf>
      <font>
        <u/>
      </font>
    </dxf>
    <dxf>
      <font>
        <u val="double"/>
      </font>
    </dxf>
    <dxf>
      <font>
        <u/>
      </font>
    </dxf>
    <dxf>
      <font>
        <u val="double"/>
      </font>
    </dxf>
    <dxf>
      <font>
        <u/>
      </font>
    </dxf>
    <dxf>
      <font>
        <u val="double"/>
      </font>
    </dxf>
    <dxf>
      <font>
        <u/>
      </font>
    </dxf>
    <dxf>
      <font>
        <u val="double"/>
      </font>
    </dxf>
    <dxf>
      <font>
        <u/>
      </font>
    </dxf>
    <dxf>
      <font>
        <u val="double"/>
      </font>
    </dxf>
    <dxf>
      <font>
        <u/>
      </font>
    </dxf>
    <dxf>
      <font>
        <u val="double"/>
      </font>
    </dxf>
    <dxf>
      <font>
        <u/>
      </font>
    </dxf>
    <dxf>
      <font>
        <u val="double"/>
      </font>
    </dxf>
    <dxf>
      <font>
        <u/>
      </font>
    </dxf>
    <dxf>
      <font>
        <u val="double"/>
      </font>
    </dxf>
    <dxf>
      <font>
        <u/>
      </font>
    </dxf>
    <dxf>
      <font>
        <u val="double"/>
      </font>
    </dxf>
    <dxf>
      <font>
        <u/>
      </font>
    </dxf>
    <dxf>
      <font>
        <u val="double"/>
      </font>
    </dxf>
    <dxf>
      <font>
        <u/>
      </font>
    </dxf>
    <dxf>
      <font>
        <u val="double"/>
      </font>
    </dxf>
    <dxf>
      <font>
        <u/>
      </font>
    </dxf>
    <dxf>
      <font>
        <u val="double"/>
      </font>
    </dxf>
    <dxf>
      <font>
        <u/>
      </font>
    </dxf>
    <dxf>
      <font>
        <u val="double"/>
      </font>
    </dxf>
    <dxf>
      <font>
        <u/>
      </font>
    </dxf>
    <dxf>
      <font>
        <u val="double"/>
      </font>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ont>
        <u/>
      </font>
    </dxf>
    <dxf>
      <font>
        <u val="double"/>
      </font>
    </dxf>
    <dxf>
      <font>
        <u/>
      </font>
    </dxf>
    <dxf>
      <font>
        <u val="double"/>
      </font>
    </dxf>
    <dxf>
      <font>
        <u/>
      </font>
    </dxf>
    <dxf>
      <font>
        <u val="double"/>
      </font>
    </dxf>
    <dxf>
      <font>
        <u/>
      </font>
    </dxf>
    <dxf>
      <font>
        <u val="double"/>
      </font>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ont>
        <u/>
      </font>
    </dxf>
    <dxf>
      <font>
        <u val="double"/>
      </font>
    </dxf>
    <dxf>
      <font>
        <u/>
      </font>
    </dxf>
    <dxf>
      <font>
        <u val="double"/>
      </font>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ont>
        <u/>
      </font>
    </dxf>
    <dxf>
      <font>
        <u val="double"/>
      </font>
    </dxf>
    <dxf>
      <font>
        <u/>
      </font>
    </dxf>
    <dxf>
      <font>
        <u val="double"/>
      </font>
    </dxf>
    <dxf>
      <fill>
        <patternFill>
          <fgColor indexed="64"/>
          <bgColor rgb="FFFFFF99"/>
        </patternFill>
      </fill>
    </dxf>
    <dxf>
      <fill>
        <patternFill>
          <fgColor indexed="64"/>
          <bgColor rgb="FFFFFF99"/>
        </patternFill>
      </fill>
    </dxf>
    <dxf>
      <fill>
        <patternFill>
          <fgColor indexed="64"/>
          <bgColor rgb="FFFFFF99"/>
        </patternFill>
      </fill>
    </dxf>
    <dxf>
      <font>
        <u/>
      </font>
    </dxf>
    <dxf>
      <font>
        <u val="double"/>
      </font>
    </dxf>
    <dxf>
      <font>
        <u/>
      </font>
    </dxf>
    <dxf>
      <font>
        <u val="double"/>
      </font>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ont>
        <u/>
      </font>
    </dxf>
    <dxf>
      <font>
        <u val="double"/>
      </font>
    </dxf>
    <dxf>
      <font>
        <u/>
      </font>
    </dxf>
    <dxf>
      <font>
        <u val="double"/>
      </font>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ont>
        <u/>
      </font>
    </dxf>
    <dxf>
      <font>
        <u val="double"/>
      </font>
    </dxf>
    <dxf>
      <font>
        <u/>
      </font>
    </dxf>
    <dxf>
      <font>
        <u val="double"/>
      </font>
    </dxf>
    <dxf>
      <fill>
        <patternFill>
          <fgColor indexed="64"/>
          <bgColor rgb="FFFFFF99"/>
        </patternFill>
      </fill>
    </dxf>
    <dxf>
      <fill>
        <patternFill>
          <fgColor indexed="64"/>
          <bgColor rgb="FFFFFF99"/>
        </patternFill>
      </fill>
    </dxf>
    <dxf>
      <fill>
        <patternFill>
          <fgColor indexed="64"/>
          <bgColor rgb="FFFFFF99"/>
        </patternFill>
      </fill>
    </dxf>
    <dxf>
      <font>
        <u/>
      </font>
    </dxf>
    <dxf>
      <font>
        <u val="double"/>
      </font>
    </dxf>
    <dxf>
      <font>
        <u/>
      </font>
    </dxf>
    <dxf>
      <font>
        <u val="double"/>
      </font>
    </dxf>
    <dxf>
      <fill>
        <patternFill>
          <fgColor indexed="64"/>
          <bgColor rgb="FFFFFF99"/>
        </patternFill>
      </fill>
    </dxf>
    <dxf>
      <fill>
        <patternFill>
          <fgColor indexed="64"/>
          <bgColor rgb="FFFFFF99"/>
        </patternFill>
      </fill>
    </dxf>
    <dxf>
      <font>
        <u/>
      </font>
    </dxf>
    <dxf>
      <font>
        <u val="double"/>
      </font>
    </dxf>
    <dxf>
      <font>
        <u/>
      </font>
    </dxf>
    <dxf>
      <font>
        <u val="double"/>
      </font>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ont>
        <u/>
      </font>
    </dxf>
    <dxf>
      <font>
        <u val="double"/>
      </font>
    </dxf>
    <dxf>
      <font>
        <u/>
      </font>
    </dxf>
    <dxf>
      <font>
        <u val="double"/>
      </font>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ont>
        <u/>
      </font>
    </dxf>
    <dxf>
      <font>
        <u val="double"/>
      </font>
    </dxf>
    <dxf>
      <font>
        <u/>
      </font>
    </dxf>
    <dxf>
      <font>
        <u val="double"/>
      </font>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ont>
        <u/>
      </font>
    </dxf>
    <dxf>
      <font>
        <u val="double"/>
      </font>
    </dxf>
    <dxf>
      <font>
        <u/>
      </font>
    </dxf>
    <dxf>
      <font>
        <u val="double"/>
      </font>
    </dxf>
    <dxf>
      <fill>
        <patternFill>
          <fgColor indexed="64"/>
          <bgColor rgb="FFFFFF99"/>
        </patternFill>
      </fill>
    </dxf>
    <dxf>
      <font>
        <u/>
      </font>
    </dxf>
    <dxf>
      <font>
        <u val="double"/>
      </font>
    </dxf>
    <dxf>
      <font>
        <u/>
      </font>
    </dxf>
    <dxf>
      <font>
        <u val="double"/>
      </font>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ont>
        <u/>
      </font>
    </dxf>
    <dxf>
      <font>
        <u val="double"/>
      </font>
    </dxf>
    <dxf>
      <font>
        <u/>
      </font>
    </dxf>
    <dxf>
      <font>
        <u val="double"/>
      </font>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ont>
        <u/>
      </font>
    </dxf>
    <dxf>
      <font>
        <u val="double"/>
      </font>
    </dxf>
    <dxf>
      <font>
        <u/>
      </font>
    </dxf>
    <dxf>
      <font>
        <u val="double"/>
      </font>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ont>
        <u/>
      </font>
    </dxf>
    <dxf>
      <font>
        <u val="double"/>
      </font>
    </dxf>
    <dxf>
      <font>
        <u/>
      </font>
    </dxf>
    <dxf>
      <font>
        <u val="double"/>
      </font>
    </dxf>
  </dxfs>
  <tableStyles count="0" defaultTableStyle="TableStyleMedium9" defaultPivotStyle="PivotStyleLight16"/>
  <colors>
    <mruColors>
      <color rgb="FFFFFF99"/>
      <color rgb="FFCC99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file>

<file path=xl/ctrlProps/ctrlProp5.xml><?xml version="1.0" encoding="utf-8"?>
<formControlPr xmlns="http://schemas.microsoft.com/office/spreadsheetml/2009/9/main" objectType="Button"/>
</file>

<file path=xl/ctrlProps/ctrlProp6.xml><?xml version="1.0" encoding="utf-8"?>
<formControlPr xmlns="http://schemas.microsoft.com/office/spreadsheetml/2009/9/main" objectType="Button"/>
</file>

<file path=xl/ctrlProps/ctrlProp7.xml><?xml version="1.0" encoding="utf-8"?>
<formControlPr xmlns="http://schemas.microsoft.com/office/spreadsheetml/2009/9/main" objectType="Button"/>
</file>

<file path=xl/ctrlProps/ctrlProp8.xml><?xml version="1.0" encoding="utf-8"?>
<formControlPr xmlns="http://schemas.microsoft.com/office/spreadsheetml/2009/9/main" objectType="Button"/>
</file>

<file path=xl/ctrlProps/ctrlProp9.xml><?xml version="1.0" encoding="utf-8"?>
<formControlPr xmlns="http://schemas.microsoft.com/office/spreadsheetml/2009/9/main" objectType="Button"/>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38100</xdr:colOff>
          <xdr:row>52</xdr:row>
          <xdr:rowOff>152400</xdr:rowOff>
        </xdr:from>
        <xdr:to>
          <xdr:col>4</xdr:col>
          <xdr:colOff>419100</xdr:colOff>
          <xdr:row>54</xdr:row>
          <xdr:rowOff>161925</xdr:rowOff>
        </xdr:to>
        <xdr:sp macro="" textlink="">
          <xdr:nvSpPr>
            <xdr:cNvPr id="47105" name="Button 1" hidden="1">
              <a:extLst>
                <a:ext uri="{63B3BB69-23CF-44E3-9099-C40C66FF867C}">
                  <a14:compatExt spid="_x0000_s47105"/>
                </a:ext>
                <a:ext uri="{FF2B5EF4-FFF2-40B4-BE49-F238E27FC236}">
                  <a16:creationId xmlns:a16="http://schemas.microsoft.com/office/drawing/2014/main" id="{00000000-0008-0000-0000-000001B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uk-UA" sz="1100" b="0" i="0" u="none" strike="noStrike" baseline="0">
                  <a:solidFill>
                    <a:srgbClr val="000000"/>
                  </a:solidFill>
                  <a:latin typeface="Calibri"/>
                </a:rPr>
                <a:t>Синхронизация Таблицы Замены</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14</xdr:col>
          <xdr:colOff>0</xdr:colOff>
          <xdr:row>0</xdr:row>
          <xdr:rowOff>180975</xdr:rowOff>
        </xdr:from>
        <xdr:to>
          <xdr:col>15</xdr:col>
          <xdr:colOff>1666875</xdr:colOff>
          <xdr:row>1</xdr:row>
          <xdr:rowOff>228600</xdr:rowOff>
        </xdr:to>
        <xdr:sp macro="" textlink="">
          <xdr:nvSpPr>
            <xdr:cNvPr id="44020" name="Button 1012" hidden="1">
              <a:extLst>
                <a:ext uri="{63B3BB69-23CF-44E3-9099-C40C66FF867C}">
                  <a14:compatExt spid="_x0000_s44020"/>
                </a:ext>
                <a:ext uri="{FF2B5EF4-FFF2-40B4-BE49-F238E27FC236}">
                  <a16:creationId xmlns:a16="http://schemas.microsoft.com/office/drawing/2014/main" id="{00000000-0008-0000-0100-0000F4AB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uk-UA" sz="1100" b="0" i="0" u="none" strike="noStrike" baseline="0">
                  <a:solidFill>
                    <a:srgbClr val="000000"/>
                  </a:solidFill>
                  <a:latin typeface="Calibri"/>
                </a:rPr>
                <a:t>Панель инструментов</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16</xdr:col>
          <xdr:colOff>123825</xdr:colOff>
          <xdr:row>0</xdr:row>
          <xdr:rowOff>171450</xdr:rowOff>
        </xdr:from>
        <xdr:to>
          <xdr:col>16</xdr:col>
          <xdr:colOff>1238250</xdr:colOff>
          <xdr:row>1</xdr:row>
          <xdr:rowOff>219075</xdr:rowOff>
        </xdr:to>
        <xdr:sp macro="" textlink="">
          <xdr:nvSpPr>
            <xdr:cNvPr id="44033" name="Button 1025" hidden="1">
              <a:extLst>
                <a:ext uri="{63B3BB69-23CF-44E3-9099-C40C66FF867C}">
                  <a14:compatExt spid="_x0000_s44033"/>
                </a:ext>
                <a:ext uri="{FF2B5EF4-FFF2-40B4-BE49-F238E27FC236}">
                  <a16:creationId xmlns:a16="http://schemas.microsoft.com/office/drawing/2014/main" id="{00000000-0008-0000-0100-000001A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uk-UA" sz="1100" b="0" i="0" u="none" strike="noStrike" baseline="0">
                  <a:solidFill>
                    <a:srgbClr val="000000"/>
                  </a:solidFill>
                  <a:latin typeface="Calibri"/>
                </a:rPr>
                <a:t>Ended</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22</xdr:col>
          <xdr:colOff>381000</xdr:colOff>
          <xdr:row>0</xdr:row>
          <xdr:rowOff>142875</xdr:rowOff>
        </xdr:from>
        <xdr:to>
          <xdr:col>26</xdr:col>
          <xdr:colOff>552450</xdr:colOff>
          <xdr:row>1</xdr:row>
          <xdr:rowOff>714375</xdr:rowOff>
        </xdr:to>
        <xdr:sp macro="" textlink="">
          <xdr:nvSpPr>
            <xdr:cNvPr id="97281" name="Button 1" hidden="1">
              <a:extLst>
                <a:ext uri="{63B3BB69-23CF-44E3-9099-C40C66FF867C}">
                  <a14:compatExt spid="_x0000_s97281"/>
                </a:ext>
                <a:ext uri="{FF2B5EF4-FFF2-40B4-BE49-F238E27FC236}">
                  <a16:creationId xmlns:a16="http://schemas.microsoft.com/office/drawing/2014/main" id="{00000000-0008-0000-0300-0000017C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uk-UA" sz="1100" b="0" i="0" u="none" strike="noStrike" baseline="0">
                  <a:solidFill>
                    <a:srgbClr val="000000"/>
                  </a:solidFill>
                  <a:latin typeface="Calibri"/>
                </a:rPr>
                <a:t>Первый столбик скрыть/показать</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27</xdr:col>
          <xdr:colOff>190500</xdr:colOff>
          <xdr:row>1</xdr:row>
          <xdr:rowOff>19050</xdr:rowOff>
        </xdr:from>
        <xdr:to>
          <xdr:col>29</xdr:col>
          <xdr:colOff>495300</xdr:colOff>
          <xdr:row>1</xdr:row>
          <xdr:rowOff>390525</xdr:rowOff>
        </xdr:to>
        <xdr:sp macro="" textlink="">
          <xdr:nvSpPr>
            <xdr:cNvPr id="97282" name="Button 2" hidden="1">
              <a:extLst>
                <a:ext uri="{63B3BB69-23CF-44E3-9099-C40C66FF867C}">
                  <a14:compatExt spid="_x0000_s97282"/>
                </a:ext>
                <a:ext uri="{FF2B5EF4-FFF2-40B4-BE49-F238E27FC236}">
                  <a16:creationId xmlns:a16="http://schemas.microsoft.com/office/drawing/2014/main" id="{00000000-0008-0000-0300-0000027C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uk-UA" sz="1100" b="0" i="0" u="none" strike="noStrike" baseline="0">
                  <a:solidFill>
                    <a:srgbClr val="000000"/>
                  </a:solidFill>
                  <a:latin typeface="Calibri"/>
                </a:rPr>
                <a:t>Autofit</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10</xdr:col>
          <xdr:colOff>390525</xdr:colOff>
          <xdr:row>0</xdr:row>
          <xdr:rowOff>76200</xdr:rowOff>
        </xdr:from>
        <xdr:to>
          <xdr:col>14</xdr:col>
          <xdr:colOff>419100</xdr:colOff>
          <xdr:row>1</xdr:row>
          <xdr:rowOff>266700</xdr:rowOff>
        </xdr:to>
        <xdr:sp macro="" textlink="">
          <xdr:nvSpPr>
            <xdr:cNvPr id="50179" name="Button 3" hidden="1">
              <a:extLst>
                <a:ext uri="{63B3BB69-23CF-44E3-9099-C40C66FF867C}">
                  <a14:compatExt spid="_x0000_s50179"/>
                </a:ext>
                <a:ext uri="{FF2B5EF4-FFF2-40B4-BE49-F238E27FC236}">
                  <a16:creationId xmlns:a16="http://schemas.microsoft.com/office/drawing/2014/main" id="{00000000-0008-0000-0400-000003C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uk-UA" sz="1100" b="0" i="0" u="none" strike="noStrike" baseline="0">
                  <a:solidFill>
                    <a:srgbClr val="000000"/>
                  </a:solidFill>
                  <a:latin typeface="Calibri"/>
                </a:rPr>
                <a:t>Первый столбик скрыть/показать</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14</xdr:col>
          <xdr:colOff>552450</xdr:colOff>
          <xdr:row>0</xdr:row>
          <xdr:rowOff>104775</xdr:rowOff>
        </xdr:from>
        <xdr:to>
          <xdr:col>17</xdr:col>
          <xdr:colOff>238125</xdr:colOff>
          <xdr:row>1</xdr:row>
          <xdr:rowOff>238125</xdr:rowOff>
        </xdr:to>
        <xdr:sp macro="" textlink="">
          <xdr:nvSpPr>
            <xdr:cNvPr id="50180" name="Button 4" hidden="1">
              <a:extLst>
                <a:ext uri="{63B3BB69-23CF-44E3-9099-C40C66FF867C}">
                  <a14:compatExt spid="_x0000_s50180"/>
                </a:ext>
                <a:ext uri="{FF2B5EF4-FFF2-40B4-BE49-F238E27FC236}">
                  <a16:creationId xmlns:a16="http://schemas.microsoft.com/office/drawing/2014/main" id="{00000000-0008-0000-0400-000004C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uk-UA" sz="1100" b="0" i="0" u="none" strike="noStrike" baseline="0">
                  <a:solidFill>
                    <a:srgbClr val="000000"/>
                  </a:solidFill>
                  <a:latin typeface="Calibri"/>
                </a:rPr>
                <a:t>Autofit</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13</xdr:col>
          <xdr:colOff>485775</xdr:colOff>
          <xdr:row>0</xdr:row>
          <xdr:rowOff>66675</xdr:rowOff>
        </xdr:from>
        <xdr:to>
          <xdr:col>18</xdr:col>
          <xdr:colOff>47625</xdr:colOff>
          <xdr:row>1</xdr:row>
          <xdr:rowOff>257175</xdr:rowOff>
        </xdr:to>
        <xdr:sp macro="" textlink="">
          <xdr:nvSpPr>
            <xdr:cNvPr id="102401" name="Button 1" hidden="1">
              <a:extLst>
                <a:ext uri="{63B3BB69-23CF-44E3-9099-C40C66FF867C}">
                  <a14:compatExt spid="_x0000_s102401"/>
                </a:ext>
                <a:ext uri="{FF2B5EF4-FFF2-40B4-BE49-F238E27FC236}">
                  <a16:creationId xmlns:a16="http://schemas.microsoft.com/office/drawing/2014/main" id="{00000000-0008-0000-0500-00000190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uk-UA" sz="1100" b="0" i="0" u="none" strike="noStrike" baseline="0">
                  <a:solidFill>
                    <a:srgbClr val="000000"/>
                  </a:solidFill>
                  <a:latin typeface="Calibri"/>
                </a:rPr>
                <a:t>Первый столбик скрыть/показать</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18</xdr:col>
          <xdr:colOff>200025</xdr:colOff>
          <xdr:row>0</xdr:row>
          <xdr:rowOff>95250</xdr:rowOff>
        </xdr:from>
        <xdr:to>
          <xdr:col>20</xdr:col>
          <xdr:colOff>76200</xdr:colOff>
          <xdr:row>1</xdr:row>
          <xdr:rowOff>228600</xdr:rowOff>
        </xdr:to>
        <xdr:sp macro="" textlink="">
          <xdr:nvSpPr>
            <xdr:cNvPr id="102402" name="Button 2" hidden="1">
              <a:extLst>
                <a:ext uri="{63B3BB69-23CF-44E3-9099-C40C66FF867C}">
                  <a14:compatExt spid="_x0000_s102402"/>
                </a:ext>
                <a:ext uri="{FF2B5EF4-FFF2-40B4-BE49-F238E27FC236}">
                  <a16:creationId xmlns:a16="http://schemas.microsoft.com/office/drawing/2014/main" id="{00000000-0008-0000-0500-00000290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uk-UA" sz="1100" b="0" i="0" u="none" strike="noStrike" baseline="0">
                  <a:solidFill>
                    <a:srgbClr val="000000"/>
                  </a:solidFill>
                  <a:latin typeface="Calibri"/>
                </a:rPr>
                <a:t>Autofit</a:t>
              </a:r>
            </a:p>
          </xdr:txBody>
        </xdr:sp>
        <xdr:clientData fPrintsWithSheet="0"/>
      </xdr:twoCellAnchor>
    </mc:Choice>
    <mc:Fallback/>
  </mc:AlternateContent>
</xdr:wsDr>
</file>

<file path=xl/theme/theme1.xml><?xml version="1.0" encoding="utf-8"?>
<a:theme xmlns:a="http://schemas.openxmlformats.org/drawingml/2006/main" name="Тема Office">
  <a:themeElements>
    <a:clrScheme name="Стандартная">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Стандартная">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Стандартная">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comments" Target="../comments1.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omments" Target="../comments2.xml"/><Relationship Id="rId5" Type="http://schemas.openxmlformats.org/officeDocument/2006/relationships/ctrlProp" Target="../ctrlProps/ctrlProp3.xml"/><Relationship Id="rId4" Type="http://schemas.openxmlformats.org/officeDocument/2006/relationships/ctrlProp" Target="../ctrlProps/ctrlProp2.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4.bin"/><Relationship Id="rId6" Type="http://schemas.openxmlformats.org/officeDocument/2006/relationships/comments" Target="../comments3.xml"/><Relationship Id="rId5" Type="http://schemas.openxmlformats.org/officeDocument/2006/relationships/ctrlProp" Target="../ctrlProps/ctrlProp5.xml"/><Relationship Id="rId4" Type="http://schemas.openxmlformats.org/officeDocument/2006/relationships/ctrlProp" Target="../ctrlProps/ctrlProp4.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5.bin"/><Relationship Id="rId6" Type="http://schemas.openxmlformats.org/officeDocument/2006/relationships/comments" Target="../comments4.xml"/><Relationship Id="rId5" Type="http://schemas.openxmlformats.org/officeDocument/2006/relationships/ctrlProp" Target="../ctrlProps/ctrlProp7.xml"/><Relationship Id="rId4" Type="http://schemas.openxmlformats.org/officeDocument/2006/relationships/ctrlProp" Target="../ctrlProps/ctrlProp6.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6.bin"/><Relationship Id="rId6" Type="http://schemas.openxmlformats.org/officeDocument/2006/relationships/comments" Target="../comments5.xml"/><Relationship Id="rId5" Type="http://schemas.openxmlformats.org/officeDocument/2006/relationships/ctrlProp" Target="../ctrlProps/ctrlProp9.xml"/><Relationship Id="rId4" Type="http://schemas.openxmlformats.org/officeDocument/2006/relationships/ctrlProp" Target="../ctrlProps/ctrlProp8.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3533832-2D9D-4554-840F-EF180AB81780}">
  <sheetPr codeName="Лист1"/>
  <dimension ref="A1:AI289"/>
  <sheetViews>
    <sheetView topLeftCell="A20" workbookViewId="0">
      <selection activeCell="A56" sqref="A56"/>
    </sheetView>
  </sheetViews>
  <sheetFormatPr defaultRowHeight="15" x14ac:dyDescent="0.25"/>
  <cols>
    <col min="1" max="1" width="50.85546875" customWidth="1"/>
    <col min="2" max="2" width="52" customWidth="1"/>
  </cols>
  <sheetData>
    <row r="1" spans="1:30" s="27" customFormat="1" x14ac:dyDescent="0.25">
      <c r="A1" s="30" t="s">
        <v>42</v>
      </c>
      <c r="B1" s="30"/>
      <c r="C1" s="30"/>
      <c r="D1" s="30"/>
      <c r="E1" s="30"/>
      <c r="F1" s="30"/>
      <c r="G1" s="30"/>
      <c r="H1" s="30"/>
      <c r="I1" s="30"/>
      <c r="J1" s="30"/>
      <c r="K1" s="30"/>
      <c r="L1" s="30"/>
      <c r="M1" s="30"/>
      <c r="N1" s="30"/>
      <c r="O1" s="30"/>
      <c r="P1" s="30"/>
      <c r="Q1" s="30"/>
      <c r="R1" s="30"/>
      <c r="S1" s="30"/>
      <c r="T1" s="30"/>
      <c r="U1" s="30"/>
      <c r="V1" s="30"/>
      <c r="W1" s="30"/>
      <c r="X1" s="30"/>
      <c r="Y1" s="30"/>
      <c r="Z1" s="30"/>
      <c r="AA1" s="30"/>
      <c r="AB1" s="30"/>
      <c r="AC1" s="30"/>
    </row>
    <row r="2" spans="1:30" ht="18.75" x14ac:dyDescent="0.3">
      <c r="A2" s="1" t="s">
        <v>61</v>
      </c>
      <c r="B2" s="30"/>
      <c r="C2" s="30"/>
      <c r="D2" s="30"/>
      <c r="E2" s="30"/>
      <c r="F2" s="30"/>
      <c r="G2" s="30"/>
      <c r="H2" s="30"/>
      <c r="I2" s="30"/>
      <c r="J2" s="30"/>
      <c r="K2" s="30"/>
      <c r="L2" s="30"/>
      <c r="M2" s="30"/>
      <c r="N2" s="30"/>
      <c r="O2" s="30"/>
      <c r="P2" s="30"/>
      <c r="Q2" s="30"/>
      <c r="R2" s="30"/>
      <c r="S2" s="30"/>
      <c r="T2" s="30"/>
      <c r="U2" s="30"/>
      <c r="V2" s="30"/>
      <c r="W2" s="30"/>
      <c r="X2" s="30"/>
      <c r="Y2" s="30"/>
      <c r="Z2" s="30"/>
      <c r="AA2" s="30"/>
      <c r="AB2" s="30"/>
      <c r="AC2" s="30"/>
    </row>
    <row r="3" spans="1:30" x14ac:dyDescent="0.25">
      <c r="A3" s="30"/>
      <c r="B3" s="30"/>
      <c r="C3" s="30"/>
      <c r="D3" s="30"/>
      <c r="E3" s="30"/>
      <c r="F3" s="30"/>
      <c r="G3" s="30"/>
      <c r="H3" s="30"/>
      <c r="I3" s="30"/>
      <c r="J3" s="30"/>
      <c r="K3" s="30"/>
      <c r="L3" s="30"/>
      <c r="M3" s="30"/>
      <c r="N3" s="30"/>
      <c r="O3" s="30"/>
      <c r="P3" s="30"/>
      <c r="Q3" s="30"/>
      <c r="R3" s="30"/>
      <c r="S3" s="30"/>
      <c r="T3" s="30"/>
      <c r="U3" s="30"/>
      <c r="V3" s="30"/>
      <c r="W3" s="30"/>
      <c r="X3" s="30"/>
      <c r="Y3" s="30"/>
      <c r="Z3" s="30"/>
      <c r="AA3" s="30"/>
      <c r="AB3" s="30"/>
      <c r="AC3" s="30"/>
    </row>
    <row r="4" spans="1:30" x14ac:dyDescent="0.25">
      <c r="A4" s="2" t="s">
        <v>38</v>
      </c>
      <c r="B4" s="30"/>
      <c r="C4" s="30"/>
      <c r="D4" s="30"/>
      <c r="E4" s="30"/>
      <c r="F4" s="30"/>
      <c r="G4" s="30"/>
      <c r="H4" s="30"/>
      <c r="I4" s="30"/>
      <c r="J4" s="30"/>
      <c r="K4" s="30"/>
      <c r="L4" s="30"/>
      <c r="M4" s="30"/>
      <c r="N4" s="30"/>
      <c r="O4" s="30"/>
      <c r="P4" s="30"/>
      <c r="Q4" s="30"/>
      <c r="R4" s="30"/>
      <c r="S4" s="30"/>
      <c r="T4" s="30"/>
      <c r="U4" s="30"/>
      <c r="V4" s="30"/>
      <c r="W4" s="30"/>
      <c r="X4" s="30"/>
      <c r="Y4" s="30"/>
      <c r="Z4" s="30"/>
      <c r="AA4" s="30"/>
      <c r="AB4" s="30"/>
      <c r="AC4" s="30"/>
    </row>
    <row r="5" spans="1:30" x14ac:dyDescent="0.25">
      <c r="A5" s="9" t="str">
        <f>CONCATENATE(O5,".",LEFT(J5))</f>
        <v>.0</v>
      </c>
      <c r="B5" s="32" t="str">
        <f>CONCATENATE(IF(OR(Y5="Не определена",Y5,ISBLANK(Y5)),"↕",),IF(Y5="Не обязательна","±",),Q5,".",P5)</f>
        <v>↕.</v>
      </c>
      <c r="C5" s="47"/>
      <c r="D5" s="47"/>
      <c r="E5" s="48">
        <f>IF(M5="скрутка",T5+$Q$1,IF(M5="склейка",T5+$Q$1,IF(M5="запил торца",ROUND(T5+$P$1,0),IF(M5="запил торцов",ROUND(T5+$P$1*2,0),T5))))+IF(G5=$O$1,$P$1,)+IF(H5=$O$1,$P$1,)</f>
        <v>0</v>
      </c>
      <c r="F5" s="48">
        <f>IF(M5="скрутка",U5+$Q$1,IF(M5="склейка",U5+$Q$1,IF(M5="запил торца",ROUND(U5+$P$1,0),IF(M5="запил торцов",ROUND(U5+$P$1*2,0),U5))))+IF(C5=$O$1,$P$1,)+IF(D5=$O$1,$P$1,)</f>
        <v>0</v>
      </c>
      <c r="G5" s="47"/>
      <c r="H5" s="47"/>
      <c r="I5" s="49">
        <f>IF(OR(M5="скрутка",M5="склейка"),Z5*2,Z5)</f>
        <v>0</v>
      </c>
      <c r="J5" s="51">
        <f>X5</f>
        <v>0</v>
      </c>
      <c r="K5" s="52" t="str">
        <f t="shared" ref="K5:L5" si="0">IF(ISBLANK(AB5),"",AB5)</f>
        <v/>
      </c>
      <c r="L5" s="52" t="str">
        <f t="shared" si="0"/>
        <v/>
      </c>
      <c r="M5" s="51" t="str">
        <f>IF(AA5="","",AA5)</f>
        <v/>
      </c>
      <c r="N5" s="30" t="str">
        <f>CONCATENATE(IF(E5&lt;&gt;T5,"НеРавны",),IF(AND(NOT(ISBLANK(R5)),R5&lt;&gt;T5),"Д",),IF(AND(NOT(ISBLANK(S5)),S5&lt;&gt;U5),"Ш",))</f>
        <v/>
      </c>
      <c r="O5" s="22"/>
      <c r="P5" s="18"/>
      <c r="Q5" s="18"/>
      <c r="R5" s="18"/>
      <c r="S5" s="18"/>
      <c r="T5" s="3"/>
      <c r="U5" s="3"/>
      <c r="V5" s="23"/>
      <c r="W5" s="23"/>
      <c r="X5" s="18"/>
      <c r="Y5" s="18"/>
      <c r="Z5" s="18"/>
      <c r="AA5" s="18"/>
      <c r="AB5" s="18"/>
      <c r="AC5" s="18"/>
      <c r="AD5" s="18"/>
    </row>
    <row r="6" spans="1:30" x14ac:dyDescent="0.25">
      <c r="A6" s="30"/>
      <c r="B6" s="30"/>
      <c r="C6" s="30"/>
      <c r="D6" s="30"/>
      <c r="E6" s="30"/>
      <c r="F6" s="30"/>
      <c r="G6" s="30"/>
      <c r="H6" s="30"/>
      <c r="I6" s="30"/>
      <c r="J6" s="30"/>
      <c r="K6" s="30"/>
      <c r="L6" s="30"/>
      <c r="M6" s="30"/>
      <c r="N6" s="30"/>
      <c r="O6" s="30"/>
      <c r="P6" s="30"/>
      <c r="Q6" s="30"/>
      <c r="R6" s="30"/>
      <c r="S6" s="30"/>
      <c r="T6" s="30"/>
      <c r="U6" s="30"/>
      <c r="V6" s="30"/>
      <c r="W6" s="30"/>
      <c r="X6" s="30"/>
      <c r="Y6" s="30"/>
      <c r="Z6" s="30"/>
      <c r="AA6" s="30"/>
      <c r="AB6" s="30"/>
      <c r="AC6" s="30"/>
    </row>
    <row r="7" spans="1:30" x14ac:dyDescent="0.25">
      <c r="A7" s="30"/>
      <c r="B7" s="30"/>
      <c r="C7" s="30"/>
      <c r="D7" s="30"/>
      <c r="E7" s="30"/>
      <c r="F7" s="30"/>
      <c r="G7" s="30"/>
      <c r="H7" s="30"/>
      <c r="I7" s="30"/>
      <c r="J7" s="30"/>
      <c r="K7" s="30"/>
      <c r="L7" s="30"/>
      <c r="M7" s="30"/>
      <c r="N7" s="30"/>
      <c r="O7" s="30"/>
      <c r="P7" s="30"/>
      <c r="Q7" s="30"/>
      <c r="R7" s="30"/>
      <c r="S7" s="30"/>
      <c r="T7" s="30"/>
      <c r="U7" s="30"/>
      <c r="V7" s="30"/>
      <c r="W7" s="30"/>
      <c r="X7" s="30"/>
      <c r="Y7" s="30"/>
      <c r="Z7" s="30"/>
      <c r="AA7" s="30"/>
      <c r="AB7" s="30"/>
      <c r="AC7" s="30"/>
    </row>
    <row r="8" spans="1:30" x14ac:dyDescent="0.25">
      <c r="A8" s="30"/>
      <c r="B8" s="30"/>
      <c r="C8" s="30"/>
      <c r="D8" s="30"/>
      <c r="E8" s="30"/>
      <c r="F8" s="30"/>
      <c r="G8" s="30"/>
      <c r="H8" s="30"/>
      <c r="I8" s="30"/>
      <c r="J8" s="30"/>
      <c r="K8" s="30"/>
      <c r="L8" s="30"/>
      <c r="M8" s="30"/>
      <c r="N8" s="30"/>
      <c r="O8" s="30"/>
      <c r="P8" s="30"/>
      <c r="Q8" s="30"/>
      <c r="R8" s="30"/>
      <c r="S8" s="30"/>
      <c r="T8" s="30"/>
      <c r="U8" s="30"/>
      <c r="V8" s="30"/>
      <c r="W8" s="30"/>
      <c r="X8" s="30"/>
      <c r="Y8" s="30"/>
      <c r="Z8" s="30"/>
      <c r="AA8" s="30"/>
      <c r="AB8" s="30"/>
      <c r="AC8" s="30"/>
    </row>
    <row r="9" spans="1:30" x14ac:dyDescent="0.25">
      <c r="A9" s="2" t="s">
        <v>41</v>
      </c>
      <c r="B9" s="30"/>
      <c r="C9" s="30"/>
      <c r="D9" s="30"/>
      <c r="E9" s="30"/>
      <c r="F9" s="30"/>
      <c r="G9" s="30"/>
      <c r="H9" s="30"/>
      <c r="I9" s="30"/>
      <c r="J9" s="30"/>
      <c r="K9" s="30"/>
      <c r="L9" s="30"/>
      <c r="M9" s="30"/>
      <c r="N9" s="30"/>
      <c r="O9" s="30"/>
      <c r="P9" s="30"/>
      <c r="Q9" s="30"/>
      <c r="R9" s="30"/>
      <c r="S9" s="30"/>
      <c r="T9" s="30"/>
      <c r="U9" s="30"/>
      <c r="V9" s="30"/>
      <c r="W9" s="30"/>
      <c r="X9" s="30"/>
      <c r="Y9" s="30"/>
      <c r="Z9" s="30"/>
      <c r="AA9" s="30"/>
      <c r="AB9" s="30"/>
      <c r="AC9" s="30"/>
    </row>
    <row r="10" spans="1:30" x14ac:dyDescent="0.25">
      <c r="A10" s="3"/>
      <c r="B10" s="4"/>
      <c r="C10" s="46"/>
      <c r="D10" s="62"/>
      <c r="E10" s="63"/>
      <c r="F10" s="5"/>
      <c r="G10" s="43"/>
      <c r="H10" s="59"/>
      <c r="I10" s="18"/>
      <c r="J10" s="3"/>
      <c r="K10" s="3"/>
      <c r="L10" s="55"/>
      <c r="M10" s="56"/>
      <c r="N10" s="30"/>
      <c r="O10" s="30"/>
      <c r="P10" s="30"/>
      <c r="Q10" s="30"/>
      <c r="R10" s="30"/>
      <c r="S10" s="30"/>
      <c r="T10" s="30"/>
      <c r="U10" s="30"/>
      <c r="V10" s="30"/>
      <c r="W10" s="30"/>
      <c r="X10" s="30"/>
      <c r="Y10" s="30"/>
      <c r="Z10" s="30"/>
      <c r="AA10" s="30"/>
      <c r="AB10" s="30"/>
      <c r="AC10" s="30"/>
    </row>
    <row r="11" spans="1:30" x14ac:dyDescent="0.25">
      <c r="A11" s="30"/>
      <c r="B11" s="30"/>
      <c r="C11" s="30"/>
      <c r="D11" s="30"/>
      <c r="E11" s="30"/>
      <c r="F11" s="30"/>
      <c r="G11" s="30"/>
      <c r="H11" s="30"/>
      <c r="I11" s="30"/>
      <c r="J11" s="30"/>
      <c r="K11" s="30"/>
      <c r="L11" s="30"/>
      <c r="M11" s="30"/>
      <c r="N11" s="30"/>
      <c r="O11" s="30"/>
      <c r="P11" s="30"/>
      <c r="Q11" s="30"/>
      <c r="R11" s="30"/>
      <c r="S11" s="30"/>
      <c r="T11" s="30"/>
      <c r="U11" s="30"/>
      <c r="V11" s="30"/>
      <c r="W11" s="30"/>
      <c r="X11" s="30"/>
      <c r="Y11" s="30"/>
      <c r="Z11" s="30"/>
      <c r="AA11" s="30"/>
      <c r="AB11" s="30"/>
      <c r="AC11" s="30"/>
    </row>
    <row r="12" spans="1:30" x14ac:dyDescent="0.25">
      <c r="A12" s="30"/>
      <c r="B12" s="30"/>
      <c r="C12" s="30"/>
      <c r="D12" s="30"/>
      <c r="E12" s="30"/>
      <c r="F12" s="30"/>
      <c r="G12" s="30"/>
      <c r="H12" s="30"/>
      <c r="I12" s="30"/>
      <c r="J12" s="30"/>
      <c r="K12" s="30"/>
      <c r="L12" s="30"/>
      <c r="M12" s="30"/>
      <c r="N12" s="30"/>
      <c r="O12" s="30"/>
      <c r="P12" s="30"/>
      <c r="Q12" s="30"/>
      <c r="R12" s="30"/>
      <c r="S12" s="30"/>
      <c r="T12" s="30"/>
      <c r="U12" s="30"/>
      <c r="V12" s="30"/>
      <c r="W12" s="30"/>
      <c r="X12" s="30"/>
      <c r="Y12" s="30"/>
      <c r="Z12" s="30"/>
      <c r="AA12" s="30"/>
      <c r="AB12" s="30"/>
      <c r="AC12" s="30"/>
    </row>
    <row r="13" spans="1:30" x14ac:dyDescent="0.25">
      <c r="A13" s="30"/>
      <c r="B13" s="30"/>
      <c r="C13" s="30"/>
      <c r="D13" s="30"/>
      <c r="E13" s="30"/>
      <c r="F13" s="30"/>
      <c r="G13" s="30"/>
      <c r="H13" s="30"/>
      <c r="I13" s="30"/>
      <c r="J13" s="30"/>
      <c r="K13" s="30"/>
      <c r="L13" s="30"/>
      <c r="M13" s="30"/>
      <c r="N13" s="30"/>
      <c r="O13" s="30"/>
      <c r="P13" s="30"/>
      <c r="Q13" s="30"/>
      <c r="R13" s="30"/>
      <c r="S13" s="30"/>
      <c r="T13" s="30"/>
      <c r="U13" s="30"/>
      <c r="V13" s="30"/>
      <c r="W13" s="30"/>
      <c r="X13" s="30"/>
      <c r="Y13" s="30"/>
      <c r="Z13" s="30"/>
      <c r="AA13" s="30"/>
      <c r="AB13" s="30"/>
      <c r="AC13" s="30"/>
    </row>
    <row r="14" spans="1:30" x14ac:dyDescent="0.25">
      <c r="A14" s="2" t="s">
        <v>39</v>
      </c>
      <c r="B14" s="30"/>
      <c r="C14" s="30"/>
      <c r="D14" s="30"/>
      <c r="E14" s="30"/>
      <c r="F14" s="30"/>
      <c r="G14" s="30"/>
      <c r="H14" s="30"/>
      <c r="I14" s="30"/>
      <c r="J14" s="30"/>
      <c r="K14" s="30"/>
      <c r="L14" s="30"/>
      <c r="M14" s="30"/>
      <c r="N14" s="30"/>
      <c r="O14" s="30"/>
      <c r="P14" s="30"/>
      <c r="Q14" s="30"/>
      <c r="R14" s="30"/>
      <c r="S14" s="30"/>
      <c r="T14" s="30"/>
      <c r="U14" s="30"/>
      <c r="V14" s="30"/>
      <c r="W14" s="30"/>
      <c r="X14" s="30"/>
      <c r="Y14" s="30"/>
      <c r="Z14" s="30"/>
      <c r="AA14" s="30"/>
      <c r="AB14" s="30"/>
      <c r="AC14" s="30"/>
    </row>
    <row r="15" spans="1:30" x14ac:dyDescent="0.25">
      <c r="A15" s="9" t="str">
        <f>CONCATENATE(O15,".",LEFT(J15))</f>
        <v>.0</v>
      </c>
      <c r="B15" s="9"/>
      <c r="C15" s="9"/>
      <c r="D15" s="14">
        <f>IF(M15="скрутка",T15+$Q$1,IF(M15="склейка",T15+$Q$1,IF(M15="запил торца",ROUND(T15+$P$1,0),IF(M15="запил торцов",ROUND(T15+$P$1*2,0),T15))))+IF(F15=$O$1,$P$1,)+IF(G15=$O$1,$P$1,)</f>
        <v>0</v>
      </c>
      <c r="E15" s="14">
        <f>IF(M15="скрутка",U15+$Q$1,IF(M15="склейка",U15+$Q$1,IF(M15="запил торца",ROUND(U15+$P$1,0),IF(M15="запил торцов",ROUND(U15+$P$1*2,0),U15))))+IF(B15=$O$1,$P$1,)+IF(C15=$O$1,$P$1,)</f>
        <v>0</v>
      </c>
      <c r="F15" s="9"/>
      <c r="G15" s="9"/>
      <c r="H15" s="10">
        <f>IF(OR(M15="скрутка",M15="склейка"),Z15*2,Z15)</f>
        <v>0</v>
      </c>
      <c r="I15" s="32" t="str">
        <f>CONCATENATE(IF(OR(Y15="Не определена",Y15,ISBLANK(Y15)),"↕",),IF(Y15="Не обязательна","±",),P15,"_",Q15)</f>
        <v>↕_</v>
      </c>
      <c r="J15" s="11">
        <f>X15</f>
        <v>0</v>
      </c>
      <c r="K15" s="32"/>
      <c r="L15" s="32"/>
      <c r="M15" s="28" t="str">
        <f>IF(AA15="","",AA15)</f>
        <v/>
      </c>
      <c r="N15" s="30" t="str">
        <f>CONCATENATE(IF(D15&lt;&gt;T15,"НеРавны",),IF(AND(NOT(ISBLANK(R15)),R15&lt;&gt;T15),"Д",),IF(AND(NOT(ISBLANK(S15)),S15&lt;&gt;U15),"Ш",))</f>
        <v/>
      </c>
      <c r="O15" s="22"/>
      <c r="P15" s="18"/>
      <c r="Q15" s="18"/>
      <c r="R15" s="18"/>
      <c r="S15" s="18"/>
      <c r="T15" s="3"/>
      <c r="U15" s="3"/>
      <c r="V15" s="23"/>
      <c r="W15" s="23"/>
      <c r="X15" s="18"/>
      <c r="Y15" s="18"/>
      <c r="Z15" s="18"/>
      <c r="AA15" s="18"/>
      <c r="AB15" s="30"/>
      <c r="AC15" s="30"/>
    </row>
    <row r="17" spans="1:6" ht="18.75" x14ac:dyDescent="0.3">
      <c r="A17" s="1" t="s">
        <v>62</v>
      </c>
      <c r="B17" s="2" t="s">
        <v>43</v>
      </c>
    </row>
    <row r="18" spans="1:6" ht="15.75" x14ac:dyDescent="0.25">
      <c r="B18" s="31" t="s">
        <v>45</v>
      </c>
    </row>
    <row r="19" spans="1:6" x14ac:dyDescent="0.25">
      <c r="B19" t="s">
        <v>46</v>
      </c>
    </row>
    <row r="20" spans="1:6" ht="15.75" x14ac:dyDescent="0.25">
      <c r="B20" s="31" t="s">
        <v>44</v>
      </c>
    </row>
    <row r="21" spans="1:6" x14ac:dyDescent="0.25">
      <c r="B21" t="s">
        <v>47</v>
      </c>
    </row>
    <row r="22" spans="1:6" x14ac:dyDescent="0.25">
      <c r="B22" s="2" t="s">
        <v>55</v>
      </c>
    </row>
    <row r="23" spans="1:6" x14ac:dyDescent="0.25">
      <c r="B23" s="30" t="s">
        <v>58</v>
      </c>
    </row>
    <row r="24" spans="1:6" x14ac:dyDescent="0.25">
      <c r="B24" t="s">
        <v>60</v>
      </c>
    </row>
    <row r="26" spans="1:6" s="30" customFormat="1" ht="21" x14ac:dyDescent="0.35">
      <c r="A26" s="79" t="s">
        <v>85</v>
      </c>
    </row>
    <row r="27" spans="1:6" s="30" customFormat="1" x14ac:dyDescent="0.25"/>
    <row r="28" spans="1:6" s="30" customFormat="1" ht="15.75" x14ac:dyDescent="0.25">
      <c r="A28" s="2" t="s">
        <v>63</v>
      </c>
      <c r="F28" s="31" t="s">
        <v>64</v>
      </c>
    </row>
    <row r="29" spans="1:6" s="30" customFormat="1" x14ac:dyDescent="0.25">
      <c r="A29" s="72" t="s">
        <v>3</v>
      </c>
      <c r="B29" s="72" t="s">
        <v>65</v>
      </c>
      <c r="C29" s="72" t="s">
        <v>66</v>
      </c>
      <c r="F29" s="73" t="s">
        <v>67</v>
      </c>
    </row>
    <row r="30" spans="1:6" s="30" customFormat="1" x14ac:dyDescent="0.25">
      <c r="F30" s="30" t="s">
        <v>68</v>
      </c>
    </row>
    <row r="31" spans="1:6" s="30" customFormat="1" x14ac:dyDescent="0.25">
      <c r="A31" s="74" t="s">
        <v>69</v>
      </c>
      <c r="C31" s="75"/>
      <c r="F31" s="30" t="s">
        <v>70</v>
      </c>
    </row>
    <row r="32" spans="1:6" s="30" customFormat="1" x14ac:dyDescent="0.25">
      <c r="A32" s="72" t="s">
        <v>3</v>
      </c>
      <c r="B32" s="72" t="s">
        <v>65</v>
      </c>
      <c r="C32" s="72" t="s">
        <v>66</v>
      </c>
    </row>
    <row r="33" spans="1:6" s="30" customFormat="1" x14ac:dyDescent="0.25">
      <c r="F33" s="30" t="s">
        <v>87</v>
      </c>
    </row>
    <row r="34" spans="1:6" s="30" customFormat="1" x14ac:dyDescent="0.25">
      <c r="A34" s="2" t="s">
        <v>71</v>
      </c>
      <c r="B34" s="2"/>
      <c r="C34" s="76"/>
    </row>
    <row r="35" spans="1:6" s="30" customFormat="1" x14ac:dyDescent="0.25">
      <c r="A35" s="72" t="s">
        <v>3</v>
      </c>
      <c r="B35" s="72" t="s">
        <v>72</v>
      </c>
      <c r="C35" s="77">
        <v>1.2</v>
      </c>
    </row>
    <row r="36" spans="1:6" s="30" customFormat="1" x14ac:dyDescent="0.25"/>
    <row r="37" spans="1:6" s="30" customFormat="1" x14ac:dyDescent="0.25">
      <c r="A37" s="2" t="s">
        <v>74</v>
      </c>
      <c r="C37" s="75"/>
    </row>
    <row r="38" spans="1:6" s="30" customFormat="1" x14ac:dyDescent="0.25">
      <c r="A38" s="72" t="s">
        <v>75</v>
      </c>
      <c r="B38" s="72" t="s">
        <v>76</v>
      </c>
      <c r="C38" s="72" t="s">
        <v>77</v>
      </c>
    </row>
    <row r="39" spans="1:6" s="30" customFormat="1" x14ac:dyDescent="0.25"/>
    <row r="40" spans="1:6" s="30" customFormat="1" x14ac:dyDescent="0.25">
      <c r="A40" s="74" t="s">
        <v>78</v>
      </c>
      <c r="B40" s="78"/>
      <c r="C40" s="78"/>
    </row>
    <row r="41" spans="1:6" s="30" customFormat="1" x14ac:dyDescent="0.25">
      <c r="A41" s="72" t="s">
        <v>75</v>
      </c>
      <c r="B41" s="72" t="s">
        <v>79</v>
      </c>
      <c r="C41" s="72" t="s">
        <v>77</v>
      </c>
    </row>
    <row r="42" spans="1:6" s="30" customFormat="1" x14ac:dyDescent="0.25"/>
    <row r="43" spans="1:6" s="30" customFormat="1" ht="18.75" x14ac:dyDescent="0.3">
      <c r="A43" s="1" t="s">
        <v>80</v>
      </c>
    </row>
    <row r="44" spans="1:6" s="30" customFormat="1" x14ac:dyDescent="0.25"/>
    <row r="45" spans="1:6" x14ac:dyDescent="0.25">
      <c r="A45" s="30"/>
      <c r="B45" s="30"/>
      <c r="C45" s="30"/>
      <c r="D45" s="30"/>
      <c r="E45" s="30"/>
      <c r="F45" s="30"/>
    </row>
    <row r="46" spans="1:6" x14ac:dyDescent="0.25">
      <c r="A46" s="2" t="s">
        <v>81</v>
      </c>
      <c r="B46" s="30"/>
      <c r="C46" s="30"/>
      <c r="D46" s="30"/>
      <c r="E46" s="30"/>
      <c r="F46" s="30"/>
    </row>
    <row r="47" spans="1:6" s="30" customFormat="1" x14ac:dyDescent="0.25">
      <c r="A47" s="30" t="s">
        <v>82</v>
      </c>
    </row>
    <row r="48" spans="1:6" s="30" customFormat="1" x14ac:dyDescent="0.25">
      <c r="A48" s="30" t="s">
        <v>83</v>
      </c>
    </row>
    <row r="49" spans="1:6" s="30" customFormat="1" x14ac:dyDescent="0.25">
      <c r="A49" s="2" t="s">
        <v>84</v>
      </c>
    </row>
    <row r="50" spans="1:6" s="30" customFormat="1" x14ac:dyDescent="0.25"/>
    <row r="51" spans="1:6" s="30" customFormat="1" ht="21" x14ac:dyDescent="0.35">
      <c r="A51" s="79" t="s">
        <v>86</v>
      </c>
      <c r="F51" s="31" t="s">
        <v>64</v>
      </c>
    </row>
    <row r="52" spans="1:6" s="30" customFormat="1" x14ac:dyDescent="0.25">
      <c r="F52" s="30" t="s">
        <v>73</v>
      </c>
    </row>
    <row r="53" spans="1:6" x14ac:dyDescent="0.25">
      <c r="F53" t="s">
        <v>90</v>
      </c>
    </row>
    <row r="54" spans="1:6" ht="18.75" x14ac:dyDescent="0.3">
      <c r="A54" s="1" t="s">
        <v>55</v>
      </c>
      <c r="B54" t="s">
        <v>92</v>
      </c>
      <c r="F54" t="s">
        <v>91</v>
      </c>
    </row>
    <row r="55" spans="1:6" x14ac:dyDescent="0.25">
      <c r="A55" s="64" t="s">
        <v>56</v>
      </c>
      <c r="B55" s="64" t="s">
        <v>57</v>
      </c>
    </row>
    <row r="56" spans="1:6" s="30" customFormat="1" x14ac:dyDescent="0.25">
      <c r="A56" s="109"/>
      <c r="B56" s="109"/>
    </row>
    <row r="57" spans="1:6" s="30" customFormat="1" x14ac:dyDescent="0.25">
      <c r="A57" s="109"/>
      <c r="B57" s="109"/>
    </row>
    <row r="58" spans="1:6" s="30" customFormat="1" x14ac:dyDescent="0.25">
      <c r="A58" s="109"/>
      <c r="B58" s="109"/>
    </row>
    <row r="59" spans="1:6" s="30" customFormat="1" x14ac:dyDescent="0.25">
      <c r="A59" s="109"/>
      <c r="B59" s="109"/>
    </row>
    <row r="60" spans="1:6" s="30" customFormat="1" x14ac:dyDescent="0.25">
      <c r="A60" s="109"/>
      <c r="B60" s="109"/>
    </row>
    <row r="61" spans="1:6" s="30" customFormat="1" x14ac:dyDescent="0.25">
      <c r="A61" s="109"/>
      <c r="B61" s="109"/>
    </row>
    <row r="62" spans="1:6" s="30" customFormat="1" x14ac:dyDescent="0.25">
      <c r="A62" s="109"/>
      <c r="B62" s="109"/>
    </row>
    <row r="63" spans="1:6" s="30" customFormat="1" x14ac:dyDescent="0.25">
      <c r="A63" s="109"/>
      <c r="B63" s="109"/>
    </row>
    <row r="64" spans="1:6" s="30" customFormat="1" x14ac:dyDescent="0.25">
      <c r="A64" s="109"/>
      <c r="B64" s="109"/>
    </row>
    <row r="65" spans="1:2" s="30" customFormat="1" x14ac:dyDescent="0.25">
      <c r="A65" s="109"/>
      <c r="B65" s="109"/>
    </row>
    <row r="66" spans="1:2" s="30" customFormat="1" x14ac:dyDescent="0.25">
      <c r="A66" s="109"/>
      <c r="B66" s="109"/>
    </row>
    <row r="67" spans="1:2" s="30" customFormat="1" x14ac:dyDescent="0.25">
      <c r="A67" s="109"/>
      <c r="B67" s="109"/>
    </row>
    <row r="68" spans="1:2" s="30" customFormat="1" x14ac:dyDescent="0.25">
      <c r="A68" s="109"/>
      <c r="B68" s="109"/>
    </row>
    <row r="69" spans="1:2" s="30" customFormat="1" x14ac:dyDescent="0.25">
      <c r="A69" s="109"/>
      <c r="B69" s="109"/>
    </row>
    <row r="70" spans="1:2" s="30" customFormat="1" x14ac:dyDescent="0.25">
      <c r="A70" s="109"/>
      <c r="B70" s="109"/>
    </row>
    <row r="71" spans="1:2" s="30" customFormat="1" x14ac:dyDescent="0.25">
      <c r="A71" s="109"/>
      <c r="B71" s="109"/>
    </row>
    <row r="72" spans="1:2" s="30" customFormat="1" x14ac:dyDescent="0.25">
      <c r="A72" s="109"/>
      <c r="B72" s="109"/>
    </row>
    <row r="73" spans="1:2" s="30" customFormat="1" x14ac:dyDescent="0.25">
      <c r="A73" s="109"/>
      <c r="B73" s="109"/>
    </row>
    <row r="74" spans="1:2" s="30" customFormat="1" x14ac:dyDescent="0.25">
      <c r="A74" s="109"/>
      <c r="B74" s="109"/>
    </row>
    <row r="75" spans="1:2" s="30" customFormat="1" x14ac:dyDescent="0.25">
      <c r="A75" s="109"/>
      <c r="B75" s="109"/>
    </row>
    <row r="76" spans="1:2" s="30" customFormat="1" x14ac:dyDescent="0.25">
      <c r="A76" s="109"/>
      <c r="B76" s="109"/>
    </row>
    <row r="77" spans="1:2" s="30" customFormat="1" x14ac:dyDescent="0.25">
      <c r="A77" s="109"/>
      <c r="B77" s="109"/>
    </row>
    <row r="78" spans="1:2" s="30" customFormat="1" x14ac:dyDescent="0.25">
      <c r="A78" s="109"/>
      <c r="B78" s="109"/>
    </row>
    <row r="79" spans="1:2" s="30" customFormat="1" x14ac:dyDescent="0.25">
      <c r="A79" s="109"/>
      <c r="B79" s="109"/>
    </row>
    <row r="80" spans="1:2" s="30" customFormat="1" x14ac:dyDescent="0.25">
      <c r="A80" s="109"/>
      <c r="B80" s="109"/>
    </row>
    <row r="81" spans="1:2" s="30" customFormat="1" x14ac:dyDescent="0.25">
      <c r="A81" s="109"/>
      <c r="B81" s="109"/>
    </row>
    <row r="82" spans="1:2" s="30" customFormat="1" x14ac:dyDescent="0.25">
      <c r="A82" s="109"/>
      <c r="B82" s="109"/>
    </row>
    <row r="83" spans="1:2" s="30" customFormat="1" x14ac:dyDescent="0.25">
      <c r="A83" s="109"/>
      <c r="B83" s="109"/>
    </row>
    <row r="84" spans="1:2" s="30" customFormat="1" x14ac:dyDescent="0.25">
      <c r="A84" s="109"/>
      <c r="B84" s="109"/>
    </row>
    <row r="85" spans="1:2" s="30" customFormat="1" x14ac:dyDescent="0.25">
      <c r="A85" s="109"/>
      <c r="B85" s="109"/>
    </row>
    <row r="86" spans="1:2" s="30" customFormat="1" x14ac:dyDescent="0.25">
      <c r="A86" s="109"/>
      <c r="B86" s="109"/>
    </row>
    <row r="87" spans="1:2" s="30" customFormat="1" x14ac:dyDescent="0.25">
      <c r="A87" s="109"/>
      <c r="B87" s="109"/>
    </row>
    <row r="88" spans="1:2" s="30" customFormat="1" x14ac:dyDescent="0.25">
      <c r="A88" s="109"/>
      <c r="B88" s="109"/>
    </row>
    <row r="89" spans="1:2" s="30" customFormat="1" x14ac:dyDescent="0.25">
      <c r="A89" s="109"/>
      <c r="B89" s="109"/>
    </row>
    <row r="90" spans="1:2" s="30" customFormat="1" x14ac:dyDescent="0.25">
      <c r="A90" s="109"/>
      <c r="B90" s="109"/>
    </row>
    <row r="91" spans="1:2" s="30" customFormat="1" x14ac:dyDescent="0.25">
      <c r="A91" s="109"/>
      <c r="B91" s="109"/>
    </row>
    <row r="92" spans="1:2" s="30" customFormat="1" x14ac:dyDescent="0.25">
      <c r="A92" s="109"/>
      <c r="B92" s="109"/>
    </row>
    <row r="93" spans="1:2" s="30" customFormat="1" x14ac:dyDescent="0.25">
      <c r="A93" s="109"/>
      <c r="B93" s="109"/>
    </row>
    <row r="94" spans="1:2" s="30" customFormat="1" x14ac:dyDescent="0.25">
      <c r="A94" s="109"/>
      <c r="B94" s="109"/>
    </row>
    <row r="95" spans="1:2" s="30" customFormat="1" x14ac:dyDescent="0.25">
      <c r="A95" s="109"/>
      <c r="B95" s="109"/>
    </row>
    <row r="96" spans="1:2" s="30" customFormat="1" x14ac:dyDescent="0.25">
      <c r="A96" s="109"/>
      <c r="B96" s="109"/>
    </row>
    <row r="97" spans="1:2" s="30" customFormat="1" x14ac:dyDescent="0.25">
      <c r="A97" s="109"/>
      <c r="B97" s="109"/>
    </row>
    <row r="98" spans="1:2" s="30" customFormat="1" x14ac:dyDescent="0.25">
      <c r="A98" s="109"/>
      <c r="B98" s="109"/>
    </row>
    <row r="99" spans="1:2" s="30" customFormat="1" x14ac:dyDescent="0.25">
      <c r="A99" s="109"/>
      <c r="B99" s="109"/>
    </row>
    <row r="100" spans="1:2" s="30" customFormat="1" x14ac:dyDescent="0.25">
      <c r="A100" s="109"/>
      <c r="B100" s="109"/>
    </row>
    <row r="101" spans="1:2" s="30" customFormat="1" x14ac:dyDescent="0.25">
      <c r="A101" s="109"/>
      <c r="B101" s="109"/>
    </row>
    <row r="102" spans="1:2" s="30" customFormat="1" x14ac:dyDescent="0.25">
      <c r="A102" s="109"/>
      <c r="B102" s="109"/>
    </row>
    <row r="103" spans="1:2" s="30" customFormat="1" x14ac:dyDescent="0.25">
      <c r="A103" s="109"/>
      <c r="B103" s="109"/>
    </row>
    <row r="104" spans="1:2" s="30" customFormat="1" x14ac:dyDescent="0.25">
      <c r="A104" s="109"/>
      <c r="B104" s="109"/>
    </row>
    <row r="105" spans="1:2" s="30" customFormat="1" x14ac:dyDescent="0.25">
      <c r="A105" s="109"/>
      <c r="B105" s="109"/>
    </row>
    <row r="106" spans="1:2" s="30" customFormat="1" x14ac:dyDescent="0.25">
      <c r="A106" s="109"/>
      <c r="B106" s="109"/>
    </row>
    <row r="107" spans="1:2" s="30" customFormat="1" x14ac:dyDescent="0.25">
      <c r="A107" s="109"/>
      <c r="B107" s="109"/>
    </row>
    <row r="108" spans="1:2" s="30" customFormat="1" x14ac:dyDescent="0.25">
      <c r="A108" s="109"/>
      <c r="B108" s="109"/>
    </row>
    <row r="109" spans="1:2" s="30" customFormat="1" x14ac:dyDescent="0.25">
      <c r="A109" s="109"/>
      <c r="B109" s="109"/>
    </row>
    <row r="110" spans="1:2" s="30" customFormat="1" x14ac:dyDescent="0.25">
      <c r="A110" s="109"/>
      <c r="B110" s="109"/>
    </row>
    <row r="111" spans="1:2" s="30" customFormat="1" x14ac:dyDescent="0.25">
      <c r="A111" s="109"/>
      <c r="B111" s="109"/>
    </row>
    <row r="112" spans="1:2" s="30" customFormat="1" x14ac:dyDescent="0.25">
      <c r="A112" s="109"/>
      <c r="B112" s="109"/>
    </row>
    <row r="113" spans="1:2" s="30" customFormat="1" x14ac:dyDescent="0.25">
      <c r="A113" s="109"/>
      <c r="B113" s="109"/>
    </row>
    <row r="114" spans="1:2" s="30" customFormat="1" x14ac:dyDescent="0.25">
      <c r="A114" s="109"/>
      <c r="B114" s="109"/>
    </row>
    <row r="115" spans="1:2" s="30" customFormat="1" x14ac:dyDescent="0.25">
      <c r="A115" s="109"/>
      <c r="B115" s="109"/>
    </row>
    <row r="116" spans="1:2" s="30" customFormat="1" x14ac:dyDescent="0.25">
      <c r="A116" s="109"/>
      <c r="B116" s="109"/>
    </row>
    <row r="117" spans="1:2" s="30" customFormat="1" x14ac:dyDescent="0.25">
      <c r="A117" s="109"/>
      <c r="B117" s="109"/>
    </row>
    <row r="118" spans="1:2" s="30" customFormat="1" x14ac:dyDescent="0.25">
      <c r="A118" s="109"/>
      <c r="B118" s="109"/>
    </row>
    <row r="119" spans="1:2" s="30" customFormat="1" x14ac:dyDescent="0.25">
      <c r="A119" s="109"/>
      <c r="B119" s="109"/>
    </row>
    <row r="120" spans="1:2" s="30" customFormat="1" x14ac:dyDescent="0.25">
      <c r="A120" s="109"/>
      <c r="B120" s="109"/>
    </row>
    <row r="121" spans="1:2" s="30" customFormat="1" x14ac:dyDescent="0.25">
      <c r="A121" s="109"/>
      <c r="B121" s="109"/>
    </row>
    <row r="122" spans="1:2" s="30" customFormat="1" x14ac:dyDescent="0.25">
      <c r="A122" s="109"/>
      <c r="B122" s="109"/>
    </row>
    <row r="123" spans="1:2" s="30" customFormat="1" x14ac:dyDescent="0.25">
      <c r="A123" s="109"/>
      <c r="B123" s="109"/>
    </row>
    <row r="124" spans="1:2" s="30" customFormat="1" x14ac:dyDescent="0.25">
      <c r="A124" s="109"/>
      <c r="B124" s="109"/>
    </row>
    <row r="125" spans="1:2" s="30" customFormat="1" x14ac:dyDescent="0.25">
      <c r="A125" s="109"/>
      <c r="B125" s="109"/>
    </row>
    <row r="126" spans="1:2" s="30" customFormat="1" x14ac:dyDescent="0.25">
      <c r="A126" s="109"/>
      <c r="B126" s="109"/>
    </row>
    <row r="127" spans="1:2" s="30" customFormat="1" x14ac:dyDescent="0.25">
      <c r="A127" s="109"/>
      <c r="B127" s="109"/>
    </row>
    <row r="128" spans="1:2" s="30" customFormat="1" x14ac:dyDescent="0.25">
      <c r="A128" s="109"/>
      <c r="B128" s="109"/>
    </row>
    <row r="129" spans="1:2" s="30" customFormat="1" x14ac:dyDescent="0.25">
      <c r="A129" s="109"/>
      <c r="B129" s="109"/>
    </row>
    <row r="130" spans="1:2" s="30" customFormat="1" x14ac:dyDescent="0.25">
      <c r="A130" s="109"/>
      <c r="B130" s="109"/>
    </row>
    <row r="131" spans="1:2" s="30" customFormat="1" x14ac:dyDescent="0.25">
      <c r="A131" s="109"/>
      <c r="B131" s="109"/>
    </row>
    <row r="132" spans="1:2" s="30" customFormat="1" x14ac:dyDescent="0.25">
      <c r="A132" s="109"/>
      <c r="B132" s="109"/>
    </row>
    <row r="133" spans="1:2" s="30" customFormat="1" x14ac:dyDescent="0.25">
      <c r="A133" s="109"/>
      <c r="B133" s="109"/>
    </row>
    <row r="134" spans="1:2" s="30" customFormat="1" x14ac:dyDescent="0.25">
      <c r="A134" s="109"/>
      <c r="B134" s="109"/>
    </row>
    <row r="135" spans="1:2" s="30" customFormat="1" x14ac:dyDescent="0.25">
      <c r="A135" s="109"/>
      <c r="B135" s="109"/>
    </row>
    <row r="136" spans="1:2" s="30" customFormat="1" x14ac:dyDescent="0.25">
      <c r="A136" s="109"/>
      <c r="B136" s="109"/>
    </row>
    <row r="137" spans="1:2" s="30" customFormat="1" x14ac:dyDescent="0.25">
      <c r="A137" s="109"/>
      <c r="B137" s="109"/>
    </row>
    <row r="138" spans="1:2" s="30" customFormat="1" x14ac:dyDescent="0.25">
      <c r="A138" s="109"/>
      <c r="B138" s="109"/>
    </row>
    <row r="139" spans="1:2" s="30" customFormat="1" x14ac:dyDescent="0.25">
      <c r="A139" s="109"/>
      <c r="B139" s="109"/>
    </row>
    <row r="140" spans="1:2" s="30" customFormat="1" x14ac:dyDescent="0.25">
      <c r="A140" s="109"/>
      <c r="B140" s="109"/>
    </row>
    <row r="141" spans="1:2" s="30" customFormat="1" x14ac:dyDescent="0.25">
      <c r="A141" s="109"/>
      <c r="B141" s="109"/>
    </row>
    <row r="142" spans="1:2" s="30" customFormat="1" x14ac:dyDescent="0.25">
      <c r="A142" s="109"/>
      <c r="B142" s="109"/>
    </row>
    <row r="143" spans="1:2" s="30" customFormat="1" x14ac:dyDescent="0.25">
      <c r="A143" s="109"/>
      <c r="B143" s="109"/>
    </row>
    <row r="144" spans="1:2" s="30" customFormat="1" x14ac:dyDescent="0.25">
      <c r="A144" s="109"/>
      <c r="B144" s="109"/>
    </row>
    <row r="145" spans="1:2" s="30" customFormat="1" x14ac:dyDescent="0.25">
      <c r="A145" s="109"/>
      <c r="B145" s="109"/>
    </row>
    <row r="146" spans="1:2" s="30" customFormat="1" x14ac:dyDescent="0.25">
      <c r="A146" s="109"/>
      <c r="B146" s="109"/>
    </row>
    <row r="147" spans="1:2" s="30" customFormat="1" x14ac:dyDescent="0.25">
      <c r="A147" s="109"/>
      <c r="B147" s="109"/>
    </row>
    <row r="148" spans="1:2" s="30" customFormat="1" x14ac:dyDescent="0.25">
      <c r="A148" s="109"/>
      <c r="B148" s="109"/>
    </row>
    <row r="149" spans="1:2" s="30" customFormat="1" x14ac:dyDescent="0.25">
      <c r="A149" s="109"/>
      <c r="B149" s="109"/>
    </row>
    <row r="150" spans="1:2" s="30" customFormat="1" x14ac:dyDescent="0.25">
      <c r="A150" s="18"/>
      <c r="B150" s="18"/>
    </row>
    <row r="151" spans="1:2" s="30" customFormat="1" x14ac:dyDescent="0.25">
      <c r="A151" s="18"/>
      <c r="B151" s="18"/>
    </row>
    <row r="152" spans="1:2" s="30" customFormat="1" x14ac:dyDescent="0.25">
      <c r="A152" s="18"/>
      <c r="B152" s="18"/>
    </row>
    <row r="153" spans="1:2" x14ac:dyDescent="0.25">
      <c r="A153" s="18"/>
      <c r="B153" s="18"/>
    </row>
    <row r="154" spans="1:2" x14ac:dyDescent="0.25">
      <c r="A154" s="18"/>
      <c r="B154" s="18"/>
    </row>
    <row r="155" spans="1:2" x14ac:dyDescent="0.25">
      <c r="A155" s="18"/>
      <c r="B155" s="18"/>
    </row>
    <row r="156" spans="1:2" x14ac:dyDescent="0.25">
      <c r="A156" s="18"/>
      <c r="B156" s="18"/>
    </row>
    <row r="157" spans="1:2" x14ac:dyDescent="0.25">
      <c r="A157" s="18"/>
      <c r="B157" s="18"/>
    </row>
    <row r="158" spans="1:2" x14ac:dyDescent="0.25">
      <c r="A158" s="18"/>
      <c r="B158" s="18"/>
    </row>
    <row r="159" spans="1:2" x14ac:dyDescent="0.25">
      <c r="A159" s="18"/>
      <c r="B159" s="18"/>
    </row>
    <row r="160" spans="1:2" x14ac:dyDescent="0.25">
      <c r="A160" s="18"/>
      <c r="B160" s="18"/>
    </row>
    <row r="161" spans="1:2" x14ac:dyDescent="0.25">
      <c r="A161" s="18"/>
      <c r="B161" s="18"/>
    </row>
    <row r="162" spans="1:2" x14ac:dyDescent="0.25">
      <c r="A162" s="18"/>
      <c r="B162" s="18"/>
    </row>
    <row r="163" spans="1:2" x14ac:dyDescent="0.25">
      <c r="A163" s="18"/>
      <c r="B163" s="18"/>
    </row>
    <row r="164" spans="1:2" x14ac:dyDescent="0.25">
      <c r="A164" s="18"/>
      <c r="B164" s="18"/>
    </row>
    <row r="165" spans="1:2" x14ac:dyDescent="0.25">
      <c r="A165" s="18"/>
      <c r="B165" s="18"/>
    </row>
    <row r="166" spans="1:2" x14ac:dyDescent="0.25">
      <c r="A166" s="18"/>
      <c r="B166" s="18"/>
    </row>
    <row r="167" spans="1:2" x14ac:dyDescent="0.25">
      <c r="A167" s="18"/>
      <c r="B167" s="18"/>
    </row>
    <row r="168" spans="1:2" x14ac:dyDescent="0.25">
      <c r="A168" s="18"/>
      <c r="B168" s="18"/>
    </row>
    <row r="169" spans="1:2" x14ac:dyDescent="0.25">
      <c r="A169" s="18"/>
      <c r="B169" s="18"/>
    </row>
    <row r="170" spans="1:2" x14ac:dyDescent="0.25">
      <c r="A170" s="18"/>
      <c r="B170" s="18"/>
    </row>
    <row r="171" spans="1:2" x14ac:dyDescent="0.25">
      <c r="A171" s="18"/>
      <c r="B171" s="18"/>
    </row>
    <row r="172" spans="1:2" x14ac:dyDescent="0.25">
      <c r="A172" s="18"/>
      <c r="B172" s="18"/>
    </row>
    <row r="173" spans="1:2" x14ac:dyDescent="0.25">
      <c r="A173" s="18"/>
      <c r="B173" s="18"/>
    </row>
    <row r="174" spans="1:2" x14ac:dyDescent="0.25">
      <c r="A174" s="18"/>
      <c r="B174" s="18"/>
    </row>
    <row r="175" spans="1:2" x14ac:dyDescent="0.25">
      <c r="A175" s="18"/>
      <c r="B175" s="18"/>
    </row>
    <row r="176" spans="1:2" x14ac:dyDescent="0.25">
      <c r="A176" s="18"/>
      <c r="B176" s="18"/>
    </row>
    <row r="177" spans="1:2" x14ac:dyDescent="0.25">
      <c r="A177" s="18"/>
      <c r="B177" s="18"/>
    </row>
    <row r="178" spans="1:2" x14ac:dyDescent="0.25">
      <c r="A178" s="18"/>
      <c r="B178" s="18"/>
    </row>
    <row r="179" spans="1:2" x14ac:dyDescent="0.25">
      <c r="A179" s="18"/>
      <c r="B179" s="18"/>
    </row>
    <row r="180" spans="1:2" x14ac:dyDescent="0.25">
      <c r="A180" s="18"/>
      <c r="B180" s="18"/>
    </row>
    <row r="181" spans="1:2" x14ac:dyDescent="0.25">
      <c r="A181" s="18"/>
      <c r="B181" s="18"/>
    </row>
    <row r="182" spans="1:2" x14ac:dyDescent="0.25">
      <c r="A182" s="18"/>
      <c r="B182" s="18"/>
    </row>
    <row r="183" spans="1:2" x14ac:dyDescent="0.25">
      <c r="A183" s="18"/>
      <c r="B183" s="18"/>
    </row>
    <row r="184" spans="1:2" x14ac:dyDescent="0.25">
      <c r="A184" s="18"/>
      <c r="B184" s="18"/>
    </row>
    <row r="185" spans="1:2" x14ac:dyDescent="0.25">
      <c r="A185" s="18"/>
      <c r="B185" s="18"/>
    </row>
    <row r="186" spans="1:2" x14ac:dyDescent="0.25">
      <c r="A186" s="18"/>
      <c r="B186" s="18"/>
    </row>
    <row r="187" spans="1:2" x14ac:dyDescent="0.25">
      <c r="A187" s="18"/>
      <c r="B187" s="18"/>
    </row>
    <row r="188" spans="1:2" x14ac:dyDescent="0.25">
      <c r="A188" s="18"/>
      <c r="B188" s="18"/>
    </row>
    <row r="189" spans="1:2" x14ac:dyDescent="0.25">
      <c r="A189" s="18"/>
      <c r="B189" s="18"/>
    </row>
    <row r="190" spans="1:2" x14ac:dyDescent="0.25">
      <c r="A190" s="18"/>
      <c r="B190" s="18"/>
    </row>
    <row r="191" spans="1:2" x14ac:dyDescent="0.25">
      <c r="A191" s="18"/>
      <c r="B191" s="18"/>
    </row>
    <row r="192" spans="1:2" x14ac:dyDescent="0.25">
      <c r="A192" s="18"/>
      <c r="B192" s="18"/>
    </row>
    <row r="193" spans="1:2" x14ac:dyDescent="0.25">
      <c r="A193" s="18"/>
      <c r="B193" s="18"/>
    </row>
    <row r="194" spans="1:2" x14ac:dyDescent="0.25">
      <c r="A194" s="18"/>
      <c r="B194" s="18"/>
    </row>
    <row r="195" spans="1:2" x14ac:dyDescent="0.25">
      <c r="A195" s="18"/>
      <c r="B195" s="18"/>
    </row>
    <row r="196" spans="1:2" x14ac:dyDescent="0.25">
      <c r="A196" s="18"/>
      <c r="B196" s="18"/>
    </row>
    <row r="197" spans="1:2" x14ac:dyDescent="0.25">
      <c r="A197" s="18"/>
      <c r="B197" s="18"/>
    </row>
    <row r="198" spans="1:2" x14ac:dyDescent="0.25">
      <c r="A198" s="18"/>
      <c r="B198" s="18"/>
    </row>
    <row r="199" spans="1:2" x14ac:dyDescent="0.25">
      <c r="A199" s="18"/>
      <c r="B199" s="18"/>
    </row>
    <row r="200" spans="1:2" x14ac:dyDescent="0.25">
      <c r="A200" s="18"/>
      <c r="B200" s="18"/>
    </row>
    <row r="201" spans="1:2" x14ac:dyDescent="0.25">
      <c r="A201" s="18"/>
      <c r="B201" s="18"/>
    </row>
    <row r="202" spans="1:2" x14ac:dyDescent="0.25">
      <c r="A202" s="18"/>
      <c r="B202" s="18"/>
    </row>
    <row r="203" spans="1:2" x14ac:dyDescent="0.25">
      <c r="A203" s="18"/>
      <c r="B203" s="18"/>
    </row>
    <row r="204" spans="1:2" x14ac:dyDescent="0.25">
      <c r="A204" s="18"/>
      <c r="B204" s="18"/>
    </row>
    <row r="205" spans="1:2" x14ac:dyDescent="0.25">
      <c r="A205" s="18"/>
      <c r="B205" s="18"/>
    </row>
    <row r="206" spans="1:2" x14ac:dyDescent="0.25">
      <c r="A206" s="18"/>
      <c r="B206" s="18"/>
    </row>
    <row r="207" spans="1:2" x14ac:dyDescent="0.25">
      <c r="A207" s="18"/>
      <c r="B207" s="18"/>
    </row>
    <row r="208" spans="1:2" x14ac:dyDescent="0.25">
      <c r="A208" s="18"/>
      <c r="B208" s="18"/>
    </row>
    <row r="209" spans="1:2" x14ac:dyDescent="0.25">
      <c r="A209" s="18"/>
      <c r="B209" s="18"/>
    </row>
    <row r="289" spans="35:35" x14ac:dyDescent="0.25">
      <c r="AI289" t="s">
        <v>59</v>
      </c>
    </row>
  </sheetData>
  <conditionalFormatting sqref="D15">
    <cfRule type="expression" dxfId="211" priority="19">
      <formula>AND(AND(NOT(ISBLANK(C15)),NOT(C15=$O$1)),AND(NOT(ISBLANK(B15)),NOT(B15=$O$1)))</formula>
    </cfRule>
    <cfRule type="expression" dxfId="210" priority="20">
      <formula>OR(AND(NOT(ISBLANK(C15)),NOT(C15=$O$1)),AND(NOT(ISBLANK(B15)),NOT(B15=$O$1)))</formula>
    </cfRule>
  </conditionalFormatting>
  <conditionalFormatting sqref="E15">
    <cfRule type="expression" dxfId="209" priority="17">
      <formula>AND(AND(NOT(ISBLANK(F15)),NOT(F15=$O$1)),AND(NOT(ISBLANK(G15)),NOT(G15=$O$1)))</formula>
    </cfRule>
    <cfRule type="expression" dxfId="208" priority="18">
      <formula>OR(AND(NOT(ISBLANK(F15)),NOT(F15=$O$1)),AND(NOT(ISBLANK(G15)),NOT(G15=$O$1)))</formula>
    </cfRule>
  </conditionalFormatting>
  <conditionalFormatting sqref="B15">
    <cfRule type="expression" dxfId="207" priority="16" stopIfTrue="1">
      <formula>AND(NOT(ISBLANK(B15)),NOT(_xlfn.ISFORMULA(B15)))</formula>
    </cfRule>
  </conditionalFormatting>
  <conditionalFormatting sqref="C15">
    <cfRule type="expression" dxfId="206" priority="15" stopIfTrue="1">
      <formula>AND(NOT(ISBLANK(C15)),NOT(_xlfn.ISFORMULA(C15)))</formula>
    </cfRule>
  </conditionalFormatting>
  <conditionalFormatting sqref="F15">
    <cfRule type="expression" dxfId="205" priority="14" stopIfTrue="1">
      <formula>AND(NOT(ISBLANK(F15)),NOT(_xlfn.ISFORMULA(F15)))</formula>
    </cfRule>
  </conditionalFormatting>
  <conditionalFormatting sqref="G15">
    <cfRule type="expression" dxfId="204" priority="13" stopIfTrue="1">
      <formula>AND(NOT(ISBLANK(G15)),NOT(_xlfn.ISFORMULA(G15)))</formula>
    </cfRule>
  </conditionalFormatting>
  <conditionalFormatting sqref="E5">
    <cfRule type="expression" dxfId="203" priority="3">
      <formula>AND(AND(NOT(ISBLANK(D5)),NOT(D5=$O$1)),AND(NOT(ISBLANK(C5)),NOT(C5=$O$1)))</formula>
    </cfRule>
    <cfRule type="expression" dxfId="202" priority="4">
      <formula>OR(AND(NOT(ISBLANK(D5)),NOT(D5=$O$1)),AND(NOT(ISBLANK(C5)),NOT(C5=$O$1)))</formula>
    </cfRule>
  </conditionalFormatting>
  <conditionalFormatting sqref="F5">
    <cfRule type="expression" dxfId="201" priority="1">
      <formula>AND(AND(NOT(ISBLANK(G5)),NOT(G5=$O$1)),AND(NOT(ISBLANK(H5)),NOT(H5=$O$1)))</formula>
    </cfRule>
    <cfRule type="expression" dxfId="200" priority="2">
      <formula>OR(AND(NOT(ISBLANK(G5)),NOT(G5=$O$1)),AND(NOT(ISBLANK(H5)),NOT(H5=$O$1)))</formula>
    </cfRule>
  </conditionalFormatting>
  <dataValidations count="2">
    <dataValidation type="custom" allowBlank="1" showInputMessage="1" showErrorMessage="1" sqref="D15:E15 A15 H15:L15 E5:F5 I5:J5 A5:B5" xr:uid="{9D2231FA-1DA0-454C-913A-FB34B5BF4976}">
      <formula1>_xlfn.ISFORMULA(A5)</formula1>
    </dataValidation>
    <dataValidation type="custom" allowBlank="1" showInputMessage="1" showErrorMessage="1" errorTitle="Знак &quot;*&quot; недопустим" error="Знак &quot;*&quot; зарезервирован для обозначения отсутствия кромки и не может быть здесь использован" sqref="E10" xr:uid="{AA1356BE-4B79-41E1-B983-E7E751C3947B}">
      <formula1>E10&lt;&gt;"*"</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7105" r:id="rId4" name="Button 1">
              <controlPr defaultSize="0" print="0" autoFill="0" autoPict="0" macro="[0]!Кнопка1_Щелчок">
                <anchor moveWithCells="1" sizeWithCells="1">
                  <from>
                    <xdr:col>2</xdr:col>
                    <xdr:colOff>38100</xdr:colOff>
                    <xdr:row>52</xdr:row>
                    <xdr:rowOff>152400</xdr:rowOff>
                  </from>
                  <to>
                    <xdr:col>4</xdr:col>
                    <xdr:colOff>419100</xdr:colOff>
                    <xdr:row>54</xdr:row>
                    <xdr:rowOff>161925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0E69583-29DC-4F4F-A6A9-3D2EE5A72FFC}">
  <sheetPr codeName="Лист17"/>
  <dimension ref="A1:CC427"/>
  <sheetViews>
    <sheetView tabSelected="1" view="pageBreakPreview" zoomScale="70" zoomScaleNormal="100" zoomScaleSheetLayoutView="70" workbookViewId="0">
      <selection activeCell="P6" sqref="P6"/>
    </sheetView>
  </sheetViews>
  <sheetFormatPr defaultRowHeight="15" x14ac:dyDescent="0.25"/>
  <cols>
    <col min="1" max="1" width="4.5703125" style="30" customWidth="1"/>
    <col min="2" max="2" width="29.5703125" style="30" customWidth="1"/>
    <col min="3" max="4" width="4.42578125" style="38" bestFit="1" customWidth="1"/>
    <col min="5" max="5" width="9.140625" style="30" customWidth="1"/>
    <col min="6" max="6" width="8.5703125" style="30" customWidth="1"/>
    <col min="7" max="7" width="4.42578125" style="38" bestFit="1" customWidth="1"/>
    <col min="8" max="8" width="5.28515625" style="38" bestFit="1" customWidth="1"/>
    <col min="9" max="9" width="4.42578125" style="30" customWidth="1"/>
    <col min="10" max="10" width="16" style="30" customWidth="1"/>
    <col min="11" max="11" width="11.7109375" style="30" customWidth="1"/>
    <col min="12" max="12" width="30.5703125" style="30" customWidth="1"/>
    <col min="13" max="13" width="22.140625" style="2" customWidth="1"/>
    <col min="14" max="14" width="7.28515625" style="30" customWidth="1"/>
    <col min="15" max="15" width="3.28515625" style="30" customWidth="1"/>
    <col min="16" max="16" width="25.28515625" style="30" customWidth="1"/>
    <col min="17" max="17" width="26" style="30" customWidth="1"/>
    <col min="18" max="18" width="4.7109375" style="30" customWidth="1"/>
    <col min="19" max="19" width="5.42578125" style="30" customWidth="1"/>
    <col min="20" max="20" width="8.42578125" style="2" customWidth="1"/>
    <col min="21" max="21" width="8.140625" style="2" customWidth="1"/>
    <col min="22" max="22" width="9" style="30" customWidth="1"/>
    <col min="23" max="23" width="7.5703125" style="30" customWidth="1"/>
    <col min="24" max="24" width="17.140625" style="30" customWidth="1"/>
    <col min="25" max="25" width="9.28515625" style="30" customWidth="1"/>
    <col min="26" max="26" width="9.140625" style="30"/>
    <col min="27" max="27" width="16.28515625" style="30" customWidth="1"/>
    <col min="28" max="28" width="20" style="30" customWidth="1"/>
    <col min="29" max="29" width="21.42578125" style="30" customWidth="1"/>
    <col min="30" max="34" width="9.140625" style="30" customWidth="1"/>
    <col min="35" max="35" width="22.85546875" style="30" customWidth="1"/>
    <col min="36" max="36" width="9.140625" style="30" customWidth="1"/>
    <col min="37" max="37" width="17" style="30" customWidth="1"/>
    <col min="38" max="39" width="9.140625" style="30" customWidth="1"/>
    <col min="40" max="16384" width="9.140625" style="30"/>
  </cols>
  <sheetData>
    <row r="1" spans="1:56" x14ac:dyDescent="0.25">
      <c r="A1" s="29" t="s">
        <v>110</v>
      </c>
      <c r="C1" s="38">
        <v>1</v>
      </c>
      <c r="J1" s="19"/>
      <c r="O1" s="20" t="s">
        <v>27</v>
      </c>
      <c r="P1" s="30">
        <v>10</v>
      </c>
      <c r="Q1" s="30">
        <v>20</v>
      </c>
      <c r="S1" s="30" t="s">
        <v>51</v>
      </c>
      <c r="X1" s="30" t="s">
        <v>54</v>
      </c>
      <c r="AA1"/>
      <c r="AB1"/>
      <c r="AC1"/>
      <c r="AD1"/>
      <c r="AE1"/>
      <c r="AG1" s="30" t="s">
        <v>36</v>
      </c>
    </row>
    <row r="2" spans="1:56" ht="18.75" x14ac:dyDescent="0.3">
      <c r="A2" s="1" t="str">
        <f>A1</f>
        <v>bCad-teh2</v>
      </c>
      <c r="AA2"/>
      <c r="AB2"/>
      <c r="AC2"/>
      <c r="AD2"/>
      <c r="AE2"/>
    </row>
    <row r="3" spans="1:56" x14ac:dyDescent="0.25">
      <c r="A3" s="65" t="s">
        <v>6</v>
      </c>
      <c r="B3" s="66" t="str">
        <f>"Наименование"</f>
        <v>Наименование</v>
      </c>
      <c r="C3" s="67" t="s">
        <v>9</v>
      </c>
      <c r="D3" s="68" t="s">
        <v>11</v>
      </c>
      <c r="E3" s="69" t="s">
        <v>1</v>
      </c>
      <c r="F3" s="66" t="s">
        <v>0</v>
      </c>
      <c r="G3" s="68" t="s">
        <v>10</v>
      </c>
      <c r="H3" s="70" t="s">
        <v>12</v>
      </c>
      <c r="I3" s="71" t="s">
        <v>2</v>
      </c>
      <c r="J3" s="65" t="s">
        <v>48</v>
      </c>
      <c r="K3" s="66" t="s">
        <v>49</v>
      </c>
      <c r="L3" s="66" t="s">
        <v>50</v>
      </c>
      <c r="M3" s="65" t="s">
        <v>4</v>
      </c>
      <c r="N3" s="2" t="s">
        <v>26</v>
      </c>
      <c r="O3" s="21" t="s">
        <v>7</v>
      </c>
      <c r="P3" s="21"/>
      <c r="Q3" s="21" t="s">
        <v>22</v>
      </c>
      <c r="R3" s="21" t="s">
        <v>17</v>
      </c>
      <c r="S3" s="21" t="s">
        <v>18</v>
      </c>
      <c r="T3" s="21" t="s">
        <v>19</v>
      </c>
      <c r="U3" s="21" t="s">
        <v>20</v>
      </c>
      <c r="V3" s="21" t="s">
        <v>21</v>
      </c>
      <c r="W3" s="21" t="s">
        <v>23</v>
      </c>
      <c r="X3" s="21" t="s">
        <v>24</v>
      </c>
      <c r="Y3" s="21" t="s">
        <v>25</v>
      </c>
      <c r="Z3" s="21" t="s">
        <v>2</v>
      </c>
      <c r="AA3" s="3" t="s">
        <v>34</v>
      </c>
      <c r="AB3" s="3" t="s">
        <v>52</v>
      </c>
      <c r="AC3" s="3" t="s">
        <v>53</v>
      </c>
      <c r="AD3" s="3" t="s">
        <v>97</v>
      </c>
      <c r="AE3" s="3" t="s">
        <v>106</v>
      </c>
      <c r="AK3" s="18"/>
      <c r="AL3" s="18"/>
    </row>
    <row r="4" spans="1:56" x14ac:dyDescent="0.25">
      <c r="A4" s="9" t="str">
        <f t="shared" ref="A4:A13" si="0">CONCATENATE(O4,".",LEFT(J4))</f>
        <v>.0</v>
      </c>
      <c r="B4" s="32" t="str">
        <f t="shared" ref="B4:B13" si="1">CONCATENATE(IF(OR(Y4="Не определена",Y4,ISBLANK(Y4)),"↕",),IF(Y4="Не обязательна","±",),Q4,".",P4)</f>
        <v>↕.</v>
      </c>
      <c r="C4" s="54"/>
      <c r="D4" s="54"/>
      <c r="E4" s="48">
        <f t="shared" ref="E4:E13" si="2">IF(M4="скрутка",T4+$Q$1,IF(M4="склейка",T4+$Q$1,IF(M4="запил торца",ROUND(T4+$P$1,0),IF(M4="запил торцов",ROUND(T4+$P$1*2,0),T4))))+IF(G4=$O$1,$P$1,)+IF(H4=$O$1,$P$1,)</f>
        <v>0</v>
      </c>
      <c r="F4" s="48">
        <f t="shared" ref="F4:F13" si="3">IF(M4="скрутка",U4+$Q$1,IF(M4="склейка",U4+$Q$1,IF(M4="запил торца",ROUND(U4+$P$1,0),IF(M4="запил торцов",ROUND(U4+$P$1*2,0),U4))))+IF(C4=$O$1,$P$1,)+IF(D4=$O$1,$P$1,)</f>
        <v>0</v>
      </c>
      <c r="G4" s="54"/>
      <c r="H4" s="54"/>
      <c r="I4" s="49">
        <f t="shared" ref="I4:I13" si="4">IF(OR(M4="скрутка",M4="склейка"),Z4*2,Z4)</f>
        <v>0</v>
      </c>
      <c r="J4" s="53">
        <f t="shared" ref="J4:J13" si="5">X4</f>
        <v>0</v>
      </c>
      <c r="K4" s="52" t="str">
        <f t="shared" ref="K4:K13" si="6">IF(ISBLANK(AB4),"",AB4)</f>
        <v/>
      </c>
      <c r="L4" s="52" t="str">
        <f t="shared" ref="L4:L13" si="7">IF(ISBLANK(AC4),"",AC4)</f>
        <v/>
      </c>
      <c r="M4" s="51" t="str">
        <f t="shared" ref="M4:M13" si="8">IF(AA4="","",AA4)</f>
        <v/>
      </c>
      <c r="N4" s="30" t="str">
        <f t="shared" ref="N4:N13" si="9">CONCATENATE(IF(E4&lt;&gt;T4,"НеРавны",),IF(AND(NOT(ISBLANK(R4)),R4&lt;&gt;T4),"Д",),IF(AND(NOT(ISBLANK(S4)),S4&lt;&gt;U4),"Ш",))</f>
        <v/>
      </c>
      <c r="O4" s="22"/>
      <c r="P4" s="18"/>
      <c r="Q4" s="18"/>
      <c r="R4" s="18"/>
      <c r="S4" s="18"/>
      <c r="T4" s="3"/>
      <c r="U4" s="3"/>
      <c r="V4" s="23"/>
      <c r="W4" s="23"/>
      <c r="X4" s="26"/>
      <c r="Y4" s="18"/>
      <c r="Z4" s="18"/>
      <c r="AA4" s="18"/>
      <c r="AB4" s="18"/>
      <c r="AC4" s="18"/>
      <c r="AD4" s="18"/>
      <c r="AE4" s="18"/>
      <c r="BB4" s="30" t="s">
        <v>88</v>
      </c>
      <c r="BC4" s="30">
        <v>1</v>
      </c>
      <c r="BD4" s="30">
        <v>145</v>
      </c>
    </row>
    <row r="5" spans="1:56" x14ac:dyDescent="0.25">
      <c r="A5" s="9" t="str">
        <f t="shared" si="0"/>
        <v>.0</v>
      </c>
      <c r="B5" s="32" t="str">
        <f t="shared" si="1"/>
        <v>↕.</v>
      </c>
      <c r="C5" s="54"/>
      <c r="D5" s="54"/>
      <c r="E5" s="48">
        <f t="shared" si="2"/>
        <v>0</v>
      </c>
      <c r="F5" s="48">
        <f t="shared" si="3"/>
        <v>0</v>
      </c>
      <c r="G5" s="54"/>
      <c r="H5" s="54"/>
      <c r="I5" s="49">
        <f t="shared" si="4"/>
        <v>0</v>
      </c>
      <c r="J5" s="53">
        <f t="shared" si="5"/>
        <v>0</v>
      </c>
      <c r="K5" s="52" t="str">
        <f t="shared" si="6"/>
        <v/>
      </c>
      <c r="L5" s="52" t="str">
        <f t="shared" si="7"/>
        <v/>
      </c>
      <c r="M5" s="51" t="str">
        <f t="shared" si="8"/>
        <v/>
      </c>
      <c r="N5" s="30" t="str">
        <f t="shared" si="9"/>
        <v/>
      </c>
      <c r="O5" s="22"/>
      <c r="P5" s="18"/>
      <c r="Q5" s="18"/>
      <c r="R5" s="18"/>
      <c r="S5" s="18"/>
      <c r="T5" s="3"/>
      <c r="U5" s="3"/>
      <c r="V5" s="23"/>
      <c r="W5" s="23"/>
      <c r="X5" s="26"/>
      <c r="Y5" s="18"/>
      <c r="Z5" s="18"/>
      <c r="AA5" s="18"/>
      <c r="AB5" s="18"/>
      <c r="AC5" s="18"/>
      <c r="AD5" s="18"/>
      <c r="AE5" s="18"/>
      <c r="BB5" s="30" t="s">
        <v>94</v>
      </c>
      <c r="BC5" s="30">
        <v>1</v>
      </c>
      <c r="BD5" s="30">
        <v>156</v>
      </c>
    </row>
    <row r="6" spans="1:56" x14ac:dyDescent="0.25">
      <c r="A6" s="9" t="str">
        <f t="shared" si="0"/>
        <v>.0</v>
      </c>
      <c r="B6" s="32" t="str">
        <f t="shared" si="1"/>
        <v>↕.</v>
      </c>
      <c r="C6" s="54"/>
      <c r="D6" s="54"/>
      <c r="E6" s="48">
        <f t="shared" si="2"/>
        <v>0</v>
      </c>
      <c r="F6" s="48">
        <f t="shared" si="3"/>
        <v>0</v>
      </c>
      <c r="G6" s="54"/>
      <c r="H6" s="54"/>
      <c r="I6" s="49">
        <f t="shared" si="4"/>
        <v>0</v>
      </c>
      <c r="J6" s="53">
        <f t="shared" si="5"/>
        <v>0</v>
      </c>
      <c r="K6" s="52" t="str">
        <f t="shared" si="6"/>
        <v/>
      </c>
      <c r="L6" s="52" t="str">
        <f t="shared" si="7"/>
        <v/>
      </c>
      <c r="M6" s="51" t="str">
        <f t="shared" si="8"/>
        <v/>
      </c>
      <c r="N6" s="30" t="str">
        <f t="shared" si="9"/>
        <v/>
      </c>
      <c r="O6" s="22"/>
      <c r="P6" s="18"/>
      <c r="Q6" s="18"/>
      <c r="R6" s="18"/>
      <c r="S6" s="18"/>
      <c r="T6" s="3"/>
      <c r="U6" s="3"/>
      <c r="V6" s="23"/>
      <c r="W6" s="23"/>
      <c r="X6" s="18"/>
      <c r="Y6" s="18"/>
      <c r="Z6" s="18"/>
      <c r="AA6" s="18"/>
      <c r="AB6" s="18"/>
      <c r="AC6" s="18"/>
      <c r="AD6" s="18"/>
      <c r="AE6" s="18"/>
      <c r="BB6" s="30" t="s">
        <v>89</v>
      </c>
      <c r="BC6" s="30">
        <v>1</v>
      </c>
      <c r="BD6" s="30">
        <v>121</v>
      </c>
    </row>
    <row r="7" spans="1:56" x14ac:dyDescent="0.25">
      <c r="A7" s="9" t="str">
        <f t="shared" si="0"/>
        <v>.0</v>
      </c>
      <c r="B7" s="32" t="str">
        <f t="shared" si="1"/>
        <v>↕.</v>
      </c>
      <c r="C7" s="54"/>
      <c r="D7" s="54"/>
      <c r="E7" s="48">
        <f t="shared" si="2"/>
        <v>0</v>
      </c>
      <c r="F7" s="48">
        <f t="shared" si="3"/>
        <v>0</v>
      </c>
      <c r="G7" s="54"/>
      <c r="H7" s="54"/>
      <c r="I7" s="49">
        <f t="shared" si="4"/>
        <v>0</v>
      </c>
      <c r="J7" s="53">
        <f t="shared" si="5"/>
        <v>0</v>
      </c>
      <c r="K7" s="52" t="str">
        <f t="shared" si="6"/>
        <v/>
      </c>
      <c r="L7" s="52" t="str">
        <f t="shared" si="7"/>
        <v/>
      </c>
      <c r="M7" s="51" t="str">
        <f t="shared" si="8"/>
        <v/>
      </c>
      <c r="N7" s="30" t="str">
        <f t="shared" si="9"/>
        <v/>
      </c>
      <c r="O7" s="22"/>
      <c r="P7" s="18"/>
      <c r="Q7" s="18"/>
      <c r="R7" s="18"/>
      <c r="S7" s="18"/>
      <c r="T7" s="3"/>
      <c r="U7" s="3"/>
      <c r="V7" s="23"/>
      <c r="W7" s="23"/>
      <c r="X7" s="26"/>
      <c r="Y7" s="18"/>
      <c r="Z7" s="18"/>
      <c r="AA7" s="18"/>
      <c r="AB7" s="18"/>
      <c r="AC7" s="18"/>
      <c r="AD7" s="18"/>
      <c r="AE7" s="18"/>
      <c r="BB7" s="30" t="s">
        <v>95</v>
      </c>
      <c r="BC7" s="30">
        <v>1</v>
      </c>
      <c r="BD7" s="30">
        <v>75</v>
      </c>
    </row>
    <row r="8" spans="1:56" x14ac:dyDescent="0.25">
      <c r="A8" s="9" t="str">
        <f t="shared" si="0"/>
        <v>.0</v>
      </c>
      <c r="B8" s="32" t="str">
        <f t="shared" si="1"/>
        <v>↕.</v>
      </c>
      <c r="C8" s="54"/>
      <c r="D8" s="54"/>
      <c r="E8" s="48">
        <f t="shared" si="2"/>
        <v>0</v>
      </c>
      <c r="F8" s="48">
        <f t="shared" si="3"/>
        <v>0</v>
      </c>
      <c r="G8" s="54"/>
      <c r="H8" s="54"/>
      <c r="I8" s="49">
        <f t="shared" si="4"/>
        <v>0</v>
      </c>
      <c r="J8" s="53">
        <f t="shared" si="5"/>
        <v>0</v>
      </c>
      <c r="K8" s="52" t="str">
        <f t="shared" si="6"/>
        <v/>
      </c>
      <c r="L8" s="52" t="str">
        <f t="shared" si="7"/>
        <v/>
      </c>
      <c r="M8" s="51" t="str">
        <f t="shared" si="8"/>
        <v/>
      </c>
      <c r="N8" s="30" t="str">
        <f t="shared" si="9"/>
        <v/>
      </c>
      <c r="O8" s="22"/>
      <c r="P8" s="18"/>
      <c r="Q8" s="18"/>
      <c r="R8" s="18"/>
      <c r="S8" s="18"/>
      <c r="T8" s="3"/>
      <c r="U8" s="3"/>
      <c r="V8" s="23"/>
      <c r="W8" s="23"/>
      <c r="X8" s="18"/>
      <c r="Y8" s="18"/>
      <c r="Z8" s="18"/>
      <c r="AA8" s="18"/>
      <c r="AB8" s="18"/>
      <c r="AC8" s="18"/>
      <c r="AD8" s="18"/>
      <c r="AE8" s="18"/>
      <c r="BB8" s="30" t="s">
        <v>96</v>
      </c>
      <c r="BC8" s="30">
        <v>1</v>
      </c>
      <c r="BD8" s="30">
        <v>153</v>
      </c>
    </row>
    <row r="9" spans="1:56" x14ac:dyDescent="0.25">
      <c r="A9" s="9" t="str">
        <f t="shared" si="0"/>
        <v>.0</v>
      </c>
      <c r="B9" s="32" t="str">
        <f t="shared" si="1"/>
        <v>↕.</v>
      </c>
      <c r="C9" s="54"/>
      <c r="D9" s="54"/>
      <c r="E9" s="48">
        <f t="shared" si="2"/>
        <v>0</v>
      </c>
      <c r="F9" s="48">
        <f t="shared" si="3"/>
        <v>0</v>
      </c>
      <c r="G9" s="54"/>
      <c r="H9" s="54"/>
      <c r="I9" s="49">
        <f t="shared" si="4"/>
        <v>0</v>
      </c>
      <c r="J9" s="53">
        <f t="shared" si="5"/>
        <v>0</v>
      </c>
      <c r="K9" s="52" t="str">
        <f t="shared" si="6"/>
        <v/>
      </c>
      <c r="L9" s="52" t="str">
        <f t="shared" si="7"/>
        <v/>
      </c>
      <c r="M9" s="51" t="str">
        <f t="shared" si="8"/>
        <v/>
      </c>
      <c r="N9" s="30" t="str">
        <f t="shared" si="9"/>
        <v/>
      </c>
      <c r="O9" s="22"/>
      <c r="P9" s="18"/>
      <c r="Q9" s="18"/>
      <c r="R9" s="18"/>
      <c r="S9" s="18"/>
      <c r="T9" s="3"/>
      <c r="U9" s="3"/>
      <c r="V9" s="23"/>
      <c r="W9" s="23"/>
      <c r="X9" s="26"/>
      <c r="Y9" s="18"/>
      <c r="Z9" s="18"/>
      <c r="AA9" s="18"/>
      <c r="AB9" s="18"/>
      <c r="AC9" s="18"/>
      <c r="AD9" s="18"/>
      <c r="AE9" s="18"/>
      <c r="BB9" s="30" t="s">
        <v>93</v>
      </c>
      <c r="BC9" s="30">
        <v>1</v>
      </c>
      <c r="BD9" s="30">
        <v>149</v>
      </c>
    </row>
    <row r="10" spans="1:56" x14ac:dyDescent="0.25">
      <c r="A10" s="9" t="str">
        <f t="shared" si="0"/>
        <v>.0</v>
      </c>
      <c r="B10" s="32" t="str">
        <f t="shared" si="1"/>
        <v>↕.</v>
      </c>
      <c r="C10" s="54"/>
      <c r="D10" s="54"/>
      <c r="E10" s="48">
        <f t="shared" si="2"/>
        <v>0</v>
      </c>
      <c r="F10" s="48">
        <f t="shared" si="3"/>
        <v>0</v>
      </c>
      <c r="G10" s="54"/>
      <c r="H10" s="54"/>
      <c r="I10" s="49">
        <f t="shared" si="4"/>
        <v>0</v>
      </c>
      <c r="J10" s="53">
        <f t="shared" si="5"/>
        <v>0</v>
      </c>
      <c r="K10" s="52" t="str">
        <f t="shared" si="6"/>
        <v/>
      </c>
      <c r="L10" s="52" t="str">
        <f t="shared" si="7"/>
        <v/>
      </c>
      <c r="M10" s="51" t="str">
        <f t="shared" si="8"/>
        <v/>
      </c>
      <c r="N10" s="30" t="str">
        <f t="shared" si="9"/>
        <v/>
      </c>
      <c r="O10" s="22"/>
      <c r="P10" s="18"/>
      <c r="Q10" s="18"/>
      <c r="R10" s="18"/>
      <c r="S10" s="18"/>
      <c r="T10" s="3"/>
      <c r="U10" s="3"/>
      <c r="V10" s="23"/>
      <c r="W10" s="23"/>
      <c r="X10" s="26"/>
      <c r="Y10" s="18"/>
      <c r="Z10" s="18"/>
      <c r="AA10" s="18"/>
      <c r="AB10" s="18"/>
      <c r="AC10" s="18"/>
      <c r="AD10" s="18"/>
      <c r="AE10" s="18"/>
    </row>
    <row r="11" spans="1:56" x14ac:dyDescent="0.25">
      <c r="A11" s="9" t="str">
        <f t="shared" si="0"/>
        <v>.0</v>
      </c>
      <c r="B11" s="32" t="str">
        <f t="shared" si="1"/>
        <v>↕.</v>
      </c>
      <c r="C11" s="54"/>
      <c r="D11" s="54"/>
      <c r="E11" s="48">
        <f t="shared" si="2"/>
        <v>0</v>
      </c>
      <c r="F11" s="48">
        <f t="shared" si="3"/>
        <v>0</v>
      </c>
      <c r="G11" s="54"/>
      <c r="H11" s="54"/>
      <c r="I11" s="49">
        <f t="shared" si="4"/>
        <v>0</v>
      </c>
      <c r="J11" s="53">
        <f t="shared" si="5"/>
        <v>0</v>
      </c>
      <c r="K11" s="52" t="str">
        <f t="shared" si="6"/>
        <v/>
      </c>
      <c r="L11" s="52" t="str">
        <f t="shared" si="7"/>
        <v/>
      </c>
      <c r="M11" s="51" t="str">
        <f t="shared" si="8"/>
        <v/>
      </c>
      <c r="N11" s="30" t="str">
        <f t="shared" si="9"/>
        <v/>
      </c>
      <c r="O11" s="22"/>
      <c r="P11" s="18"/>
      <c r="Q11" s="18"/>
      <c r="R11" s="18"/>
      <c r="S11" s="18"/>
      <c r="T11" s="3"/>
      <c r="U11" s="3"/>
      <c r="V11" s="23"/>
      <c r="W11" s="23"/>
      <c r="X11" s="26"/>
      <c r="Y11" s="18"/>
      <c r="Z11" s="18"/>
      <c r="AA11" s="18"/>
      <c r="AB11" s="18"/>
      <c r="AC11" s="18"/>
      <c r="AD11" s="18"/>
      <c r="AE11" s="18"/>
    </row>
    <row r="12" spans="1:56" x14ac:dyDescent="0.25">
      <c r="A12" s="9" t="str">
        <f t="shared" si="0"/>
        <v>.0</v>
      </c>
      <c r="B12" s="32" t="str">
        <f t="shared" si="1"/>
        <v>↕.</v>
      </c>
      <c r="C12" s="54"/>
      <c r="D12" s="54"/>
      <c r="E12" s="48">
        <f t="shared" si="2"/>
        <v>0</v>
      </c>
      <c r="F12" s="48">
        <f t="shared" si="3"/>
        <v>0</v>
      </c>
      <c r="G12" s="54"/>
      <c r="H12" s="54"/>
      <c r="I12" s="49">
        <f t="shared" si="4"/>
        <v>0</v>
      </c>
      <c r="J12" s="53">
        <f t="shared" si="5"/>
        <v>0</v>
      </c>
      <c r="K12" s="52" t="str">
        <f t="shared" si="6"/>
        <v/>
      </c>
      <c r="L12" s="52" t="str">
        <f t="shared" si="7"/>
        <v/>
      </c>
      <c r="M12" s="51" t="str">
        <f t="shared" si="8"/>
        <v/>
      </c>
      <c r="N12" s="30" t="str">
        <f t="shared" si="9"/>
        <v/>
      </c>
      <c r="O12" s="22"/>
      <c r="P12" s="18"/>
      <c r="Q12" s="18"/>
      <c r="R12" s="18"/>
      <c r="S12" s="18"/>
      <c r="T12" s="3"/>
      <c r="U12" s="3"/>
      <c r="V12" s="23"/>
      <c r="W12" s="23"/>
      <c r="X12" s="26"/>
      <c r="Y12" s="18"/>
      <c r="Z12" s="18"/>
      <c r="AA12" s="18"/>
      <c r="AB12" s="18"/>
      <c r="AC12" s="18"/>
      <c r="AD12" s="18"/>
      <c r="AE12" s="18"/>
    </row>
    <row r="13" spans="1:56" x14ac:dyDescent="0.25">
      <c r="A13" s="9" t="str">
        <f t="shared" si="0"/>
        <v>.0</v>
      </c>
      <c r="B13" s="32" t="str">
        <f t="shared" si="1"/>
        <v>↕.</v>
      </c>
      <c r="C13" s="54"/>
      <c r="D13" s="54"/>
      <c r="E13" s="48">
        <f t="shared" si="2"/>
        <v>0</v>
      </c>
      <c r="F13" s="48">
        <f t="shared" si="3"/>
        <v>0</v>
      </c>
      <c r="G13" s="54"/>
      <c r="H13" s="54"/>
      <c r="I13" s="49">
        <f t="shared" si="4"/>
        <v>0</v>
      </c>
      <c r="J13" s="53">
        <f t="shared" si="5"/>
        <v>0</v>
      </c>
      <c r="K13" s="52" t="str">
        <f t="shared" si="6"/>
        <v/>
      </c>
      <c r="L13" s="52" t="str">
        <f t="shared" si="7"/>
        <v/>
      </c>
      <c r="M13" s="51" t="str">
        <f t="shared" si="8"/>
        <v/>
      </c>
      <c r="N13" s="30" t="str">
        <f t="shared" si="9"/>
        <v/>
      </c>
      <c r="O13" s="22"/>
      <c r="P13" s="18"/>
      <c r="Q13" s="18"/>
      <c r="R13" s="18"/>
      <c r="S13" s="18"/>
      <c r="T13" s="3"/>
      <c r="U13" s="3"/>
      <c r="V13" s="23"/>
      <c r="W13" s="23"/>
      <c r="X13" s="26"/>
      <c r="Y13" s="18"/>
      <c r="Z13" s="18"/>
      <c r="AA13" s="18"/>
      <c r="AB13" s="18"/>
      <c r="AC13" s="18"/>
      <c r="AD13" s="18"/>
      <c r="AE13" s="18"/>
    </row>
    <row r="14" spans="1:56" x14ac:dyDescent="0.25">
      <c r="A14" s="13"/>
      <c r="B14" s="34"/>
      <c r="C14" s="42"/>
      <c r="D14" s="42"/>
      <c r="E14" s="33"/>
      <c r="F14" s="33"/>
      <c r="G14" s="42"/>
      <c r="H14" s="45" t="s">
        <v>15</v>
      </c>
      <c r="I14" s="50">
        <f>SUM(I4:I13)</f>
        <v>0</v>
      </c>
      <c r="J14" s="35"/>
      <c r="K14" s="34"/>
      <c r="L14" s="34"/>
      <c r="M14" s="36"/>
      <c r="O14" s="24"/>
      <c r="V14" s="17"/>
      <c r="W14" s="17"/>
    </row>
    <row r="15" spans="1:56" ht="15" customHeight="1" x14ac:dyDescent="0.25">
      <c r="A15" s="34"/>
      <c r="B15" s="34"/>
      <c r="C15" s="42"/>
      <c r="D15" s="42"/>
      <c r="E15" s="33"/>
      <c r="F15" s="33"/>
      <c r="G15" s="42"/>
      <c r="H15" s="42"/>
      <c r="I15" s="25"/>
      <c r="J15" s="35"/>
      <c r="K15" s="34"/>
      <c r="L15" s="34"/>
      <c r="M15" s="36"/>
      <c r="O15" s="24"/>
      <c r="V15" s="17"/>
      <c r="W15" s="17"/>
    </row>
    <row r="16" spans="1:56" x14ac:dyDescent="0.25">
      <c r="A16" s="2" t="s">
        <v>8</v>
      </c>
      <c r="B16" s="13"/>
      <c r="C16" s="42"/>
      <c r="D16" s="42"/>
      <c r="E16" s="33"/>
      <c r="F16" s="33"/>
      <c r="G16" s="42"/>
      <c r="H16" s="42"/>
      <c r="I16" s="25"/>
      <c r="J16" s="37"/>
      <c r="K16" s="13"/>
      <c r="L16" s="13"/>
      <c r="M16" s="36"/>
      <c r="O16" s="24"/>
      <c r="V16" s="17"/>
      <c r="W16" s="17"/>
    </row>
    <row r="17" spans="1:29" x14ac:dyDescent="0.25">
      <c r="A17" s="30" t="s">
        <v>32</v>
      </c>
      <c r="B17" s="13"/>
      <c r="C17" s="42"/>
      <c r="D17" s="42"/>
      <c r="E17" s="33"/>
      <c r="F17" s="33"/>
      <c r="G17" s="42"/>
      <c r="H17" s="42"/>
      <c r="I17" s="25"/>
      <c r="J17" s="37"/>
      <c r="K17" s="13"/>
      <c r="L17" s="13"/>
      <c r="M17" s="36"/>
      <c r="O17" s="24"/>
      <c r="V17" s="17"/>
      <c r="W17" s="17"/>
    </row>
    <row r="18" spans="1:29" x14ac:dyDescent="0.25">
      <c r="A18" s="13" t="s">
        <v>33</v>
      </c>
    </row>
    <row r="19" spans="1:29" x14ac:dyDescent="0.25">
      <c r="A19" s="13" t="s">
        <v>16</v>
      </c>
    </row>
    <row r="20" spans="1:29" x14ac:dyDescent="0.25">
      <c r="A20" s="13" t="s">
        <v>28</v>
      </c>
    </row>
    <row r="21" spans="1:29" x14ac:dyDescent="0.25">
      <c r="A21" s="13"/>
    </row>
    <row r="22" spans="1:29" ht="18.75" x14ac:dyDescent="0.3">
      <c r="A22" s="1" t="str">
        <f>CONCATENATE(A2, ". Соответствие кромки и ДСП")</f>
        <v>bCad-teh2. Соответствие кромки и ДСП</v>
      </c>
      <c r="N22" s="30" t="s">
        <v>35</v>
      </c>
    </row>
    <row r="23" spans="1:29" x14ac:dyDescent="0.25">
      <c r="A23" s="3" t="s">
        <v>6</v>
      </c>
      <c r="B23" s="4" t="s">
        <v>14</v>
      </c>
      <c r="C23" s="40"/>
      <c r="D23" s="60"/>
      <c r="E23" s="61"/>
      <c r="F23" s="5"/>
      <c r="G23" s="44"/>
      <c r="H23" s="57" t="s">
        <v>31</v>
      </c>
      <c r="I23" s="58" t="s">
        <v>30</v>
      </c>
      <c r="J23" s="3" t="s">
        <v>13</v>
      </c>
      <c r="K23" s="3" t="s">
        <v>52</v>
      </c>
      <c r="L23" s="55"/>
      <c r="M23" s="56"/>
    </row>
    <row r="24" spans="1:29" x14ac:dyDescent="0.25">
      <c r="A24" s="3"/>
      <c r="B24" s="4"/>
      <c r="C24" s="46"/>
      <c r="D24" s="62"/>
      <c r="E24" s="63"/>
      <c r="F24" s="5"/>
      <c r="G24" s="43"/>
      <c r="H24" s="59"/>
      <c r="I24" s="18"/>
      <c r="J24" s="3"/>
      <c r="K24" s="3"/>
      <c r="L24" s="55"/>
      <c r="M24" s="56"/>
    </row>
    <row r="25" spans="1:29" x14ac:dyDescent="0.25">
      <c r="A25" s="3"/>
      <c r="B25" s="4"/>
      <c r="C25" s="46"/>
      <c r="D25" s="62"/>
      <c r="E25" s="63"/>
      <c r="F25" s="5"/>
      <c r="G25" s="43"/>
      <c r="H25" s="59"/>
      <c r="I25" s="18"/>
      <c r="J25" s="80"/>
      <c r="K25" s="3"/>
      <c r="L25" s="55"/>
      <c r="M25" s="56"/>
    </row>
    <row r="26" spans="1:29" ht="18.75" x14ac:dyDescent="0.3">
      <c r="A26" s="1" t="str">
        <f>CONCATENATE(A2, ". Стекло")</f>
        <v>bCad-teh2. Стекло</v>
      </c>
    </row>
    <row r="27" spans="1:29" x14ac:dyDescent="0.25">
      <c r="A27" s="3" t="s">
        <v>6</v>
      </c>
      <c r="B27" s="4" t="s">
        <v>5</v>
      </c>
      <c r="C27" s="39" t="s">
        <v>9</v>
      </c>
      <c r="D27" s="40" t="s">
        <v>11</v>
      </c>
      <c r="E27" s="6" t="s">
        <v>1</v>
      </c>
      <c r="F27" s="7" t="s">
        <v>0</v>
      </c>
      <c r="G27" s="40" t="s">
        <v>10</v>
      </c>
      <c r="H27" s="44" t="s">
        <v>12</v>
      </c>
      <c r="I27" s="8" t="s">
        <v>2</v>
      </c>
      <c r="J27" s="3" t="s">
        <v>3</v>
      </c>
      <c r="K27" s="4"/>
      <c r="L27" s="4"/>
      <c r="M27" s="3" t="s">
        <v>4</v>
      </c>
    </row>
    <row r="28" spans="1:29" x14ac:dyDescent="0.25">
      <c r="A28" s="9"/>
      <c r="B28" s="32"/>
      <c r="C28" s="41"/>
      <c r="D28" s="41"/>
      <c r="E28" s="14"/>
      <c r="F28" s="14"/>
      <c r="G28" s="41"/>
      <c r="H28" s="41"/>
      <c r="I28" s="10"/>
      <c r="J28" s="11"/>
      <c r="K28" s="32"/>
      <c r="L28" s="32"/>
      <c r="M28" s="28"/>
      <c r="O28" s="22"/>
      <c r="P28" s="18"/>
      <c r="Q28" s="18"/>
      <c r="R28" s="18"/>
      <c r="S28" s="18"/>
      <c r="T28" s="3"/>
      <c r="U28" s="3"/>
      <c r="V28" s="23"/>
      <c r="W28" s="23"/>
      <c r="X28" s="18"/>
      <c r="Y28" s="18"/>
      <c r="Z28" s="18"/>
      <c r="AA28" s="18"/>
      <c r="AB28" s="18"/>
      <c r="AC28" s="18"/>
    </row>
    <row r="29" spans="1:29" x14ac:dyDescent="0.25">
      <c r="A29" s="9"/>
      <c r="B29" s="32"/>
      <c r="C29" s="41"/>
      <c r="D29" s="41"/>
      <c r="E29" s="14"/>
      <c r="F29" s="14"/>
      <c r="G29" s="41"/>
      <c r="H29" s="41"/>
      <c r="I29" s="10"/>
      <c r="J29" s="11"/>
      <c r="K29" s="32"/>
      <c r="L29" s="32"/>
      <c r="M29" s="28"/>
      <c r="O29" s="22"/>
      <c r="P29" s="18"/>
      <c r="Q29" s="18"/>
      <c r="R29" s="18"/>
      <c r="S29" s="18"/>
      <c r="T29" s="3"/>
      <c r="U29" s="3"/>
      <c r="V29" s="23"/>
      <c r="W29" s="23"/>
      <c r="X29" s="18"/>
      <c r="Y29" s="18"/>
      <c r="Z29" s="18"/>
      <c r="AA29" s="18"/>
      <c r="AB29" s="18"/>
      <c r="AC29" s="18"/>
    </row>
    <row r="30" spans="1:29" x14ac:dyDescent="0.25">
      <c r="A30" s="9"/>
      <c r="B30" s="32"/>
      <c r="C30" s="41"/>
      <c r="D30" s="41"/>
      <c r="E30" s="14"/>
      <c r="F30" s="14"/>
      <c r="G30" s="41"/>
      <c r="H30" s="41"/>
      <c r="I30" s="10"/>
      <c r="J30" s="11"/>
      <c r="K30" s="32"/>
      <c r="L30" s="32"/>
      <c r="M30" s="28"/>
      <c r="O30" s="22"/>
      <c r="P30" s="18"/>
      <c r="Q30" s="18"/>
      <c r="R30" s="18"/>
      <c r="S30" s="18"/>
      <c r="T30" s="3"/>
      <c r="U30" s="3"/>
      <c r="V30" s="23"/>
      <c r="W30" s="23"/>
      <c r="X30" s="18"/>
      <c r="Y30" s="18"/>
      <c r="Z30" s="18"/>
      <c r="AA30" s="18"/>
      <c r="AB30" s="18"/>
      <c r="AC30" s="18"/>
    </row>
    <row r="31" spans="1:29" x14ac:dyDescent="0.25">
      <c r="A31" s="9"/>
      <c r="B31" s="32"/>
      <c r="C31" s="41"/>
      <c r="D31" s="41"/>
      <c r="E31" s="14"/>
      <c r="F31" s="14"/>
      <c r="G31" s="41"/>
      <c r="H31" s="41"/>
      <c r="I31" s="10"/>
      <c r="J31" s="11"/>
      <c r="K31" s="32"/>
      <c r="L31" s="32"/>
      <c r="M31" s="28"/>
      <c r="O31" s="22"/>
      <c r="P31" s="18"/>
      <c r="Q31" s="18"/>
      <c r="R31" s="18"/>
      <c r="S31" s="18"/>
      <c r="T31" s="3"/>
      <c r="U31" s="3"/>
      <c r="V31" s="23"/>
      <c r="W31" s="23"/>
      <c r="X31" s="18"/>
      <c r="Y31" s="18"/>
      <c r="Z31" s="18"/>
      <c r="AA31" s="18"/>
      <c r="AB31" s="18"/>
      <c r="AC31" s="18"/>
    </row>
    <row r="32" spans="1:29" x14ac:dyDescent="0.25">
      <c r="A32" s="9"/>
      <c r="B32" s="32"/>
      <c r="C32" s="41"/>
      <c r="D32" s="41"/>
      <c r="E32" s="14"/>
      <c r="F32" s="14"/>
      <c r="G32" s="41"/>
      <c r="H32" s="41"/>
      <c r="I32" s="10"/>
      <c r="J32" s="11"/>
      <c r="K32" s="32"/>
      <c r="L32" s="32"/>
      <c r="M32" s="28"/>
      <c r="O32" s="22"/>
      <c r="P32" s="18"/>
      <c r="Q32" s="18"/>
      <c r="R32" s="18"/>
      <c r="S32" s="18"/>
      <c r="T32" s="3"/>
      <c r="U32" s="3"/>
      <c r="V32" s="23"/>
      <c r="W32" s="23"/>
      <c r="X32" s="18"/>
      <c r="Y32" s="18"/>
      <c r="Z32" s="18"/>
      <c r="AA32" s="18"/>
      <c r="AB32" s="18"/>
      <c r="AC32" s="18"/>
    </row>
    <row r="33" spans="1:29" x14ac:dyDescent="0.25">
      <c r="A33" s="13"/>
      <c r="B33" s="9"/>
      <c r="C33" s="41"/>
      <c r="D33" s="41"/>
      <c r="E33" s="14"/>
      <c r="F33" s="14"/>
      <c r="G33" s="41"/>
      <c r="H33" s="45" t="s">
        <v>15</v>
      </c>
      <c r="I33" s="25">
        <f>SUM(I28:I32)</f>
        <v>0</v>
      </c>
      <c r="J33" s="11"/>
      <c r="K33" s="9"/>
      <c r="L33" s="9"/>
      <c r="M33" s="12"/>
      <c r="O33" s="24"/>
      <c r="V33" s="17"/>
      <c r="W33" s="17"/>
    </row>
    <row r="34" spans="1:29" x14ac:dyDescent="0.25">
      <c r="A34" s="16" t="s">
        <v>8</v>
      </c>
      <c r="B34" s="9"/>
      <c r="C34" s="41"/>
      <c r="D34" s="41"/>
      <c r="E34" s="14"/>
      <c r="F34" s="14"/>
      <c r="G34" s="41"/>
      <c r="H34" s="41"/>
      <c r="I34" s="10"/>
      <c r="J34" s="15"/>
      <c r="K34" s="9"/>
      <c r="L34" s="9"/>
      <c r="M34" s="12"/>
    </row>
    <row r="35" spans="1:29" x14ac:dyDescent="0.25">
      <c r="A35" s="13" t="s">
        <v>40</v>
      </c>
      <c r="B35" s="9"/>
      <c r="C35" s="41"/>
      <c r="D35" s="41"/>
      <c r="E35" s="14"/>
      <c r="F35" s="14"/>
      <c r="G35" s="41"/>
      <c r="H35" s="41"/>
      <c r="I35" s="10"/>
      <c r="J35" s="15"/>
      <c r="K35" s="9"/>
      <c r="L35" s="9"/>
      <c r="M35" s="12"/>
    </row>
    <row r="37" spans="1:29" ht="18.75" x14ac:dyDescent="0.3">
      <c r="A37" s="1" t="str">
        <f>CONCATENATE(A2, ". Пластик")</f>
        <v>bCad-teh2. Пластик</v>
      </c>
    </row>
    <row r="38" spans="1:29" x14ac:dyDescent="0.25">
      <c r="A38" s="3" t="s">
        <v>6</v>
      </c>
      <c r="B38" s="4" t="s">
        <v>5</v>
      </c>
      <c r="C38" s="39" t="s">
        <v>9</v>
      </c>
      <c r="D38" s="40" t="s">
        <v>11</v>
      </c>
      <c r="E38" s="6" t="s">
        <v>1</v>
      </c>
      <c r="F38" s="7" t="s">
        <v>0</v>
      </c>
      <c r="G38" s="40" t="s">
        <v>10</v>
      </c>
      <c r="H38" s="44" t="s">
        <v>12</v>
      </c>
      <c r="I38" s="8" t="s">
        <v>2</v>
      </c>
      <c r="J38" s="3" t="s">
        <v>3</v>
      </c>
      <c r="K38" s="4"/>
      <c r="L38" s="4"/>
      <c r="M38" s="3" t="s">
        <v>4</v>
      </c>
    </row>
    <row r="39" spans="1:29" x14ac:dyDescent="0.25">
      <c r="A39" s="9"/>
      <c r="B39" s="32"/>
      <c r="C39" s="41"/>
      <c r="D39" s="41"/>
      <c r="E39" s="14"/>
      <c r="F39" s="14"/>
      <c r="G39" s="41"/>
      <c r="H39" s="41"/>
      <c r="I39" s="10"/>
      <c r="J39" s="11"/>
      <c r="K39" s="32"/>
      <c r="L39" s="32"/>
      <c r="M39" s="28"/>
      <c r="O39" s="22"/>
      <c r="P39" s="18"/>
      <c r="Q39" s="18"/>
      <c r="R39" s="18"/>
      <c r="S39" s="18"/>
      <c r="T39" s="3"/>
      <c r="U39" s="3"/>
      <c r="V39" s="23"/>
      <c r="W39" s="23"/>
      <c r="X39" s="18"/>
      <c r="Y39" s="18"/>
      <c r="Z39" s="18"/>
      <c r="AA39" s="18"/>
      <c r="AB39" s="18"/>
      <c r="AC39" s="18"/>
    </row>
    <row r="40" spans="1:29" x14ac:dyDescent="0.25">
      <c r="A40" s="9"/>
      <c r="B40" s="32"/>
      <c r="C40" s="41"/>
      <c r="D40" s="41"/>
      <c r="E40" s="14"/>
      <c r="F40" s="14"/>
      <c r="G40" s="41"/>
      <c r="H40" s="41"/>
      <c r="I40" s="10"/>
      <c r="J40" s="11"/>
      <c r="K40" s="32"/>
      <c r="L40" s="32"/>
      <c r="M40" s="28"/>
      <c r="O40" s="22"/>
      <c r="P40" s="18"/>
      <c r="Q40" s="18"/>
      <c r="R40" s="18"/>
      <c r="S40" s="18"/>
      <c r="T40" s="3"/>
      <c r="U40" s="3"/>
      <c r="V40" s="23"/>
      <c r="W40" s="23"/>
      <c r="X40" s="18"/>
      <c r="Y40" s="18"/>
      <c r="Z40" s="18"/>
      <c r="AA40" s="18"/>
      <c r="AB40" s="18"/>
      <c r="AC40" s="18"/>
    </row>
    <row r="41" spans="1:29" x14ac:dyDescent="0.25">
      <c r="A41" s="9"/>
      <c r="B41" s="32"/>
      <c r="C41" s="41"/>
      <c r="D41" s="41"/>
      <c r="E41" s="14"/>
      <c r="F41" s="14"/>
      <c r="G41" s="41"/>
      <c r="H41" s="41"/>
      <c r="I41" s="10"/>
      <c r="J41" s="11"/>
      <c r="K41" s="15"/>
      <c r="L41" s="15"/>
      <c r="M41" s="11"/>
      <c r="O41" s="22"/>
      <c r="P41" s="18"/>
      <c r="Q41" s="18"/>
      <c r="R41" s="18"/>
      <c r="S41" s="18"/>
      <c r="T41" s="3"/>
      <c r="U41" s="3"/>
      <c r="V41" s="23"/>
      <c r="W41" s="23"/>
      <c r="X41" s="18"/>
      <c r="Y41" s="18"/>
      <c r="Z41" s="18"/>
      <c r="AA41" s="18"/>
      <c r="AB41" s="18"/>
      <c r="AC41" s="18"/>
    </row>
    <row r="42" spans="1:29" x14ac:dyDescent="0.25">
      <c r="A42" s="9"/>
      <c r="B42" s="32"/>
      <c r="C42" s="41"/>
      <c r="D42" s="41"/>
      <c r="E42" s="14"/>
      <c r="F42" s="14"/>
      <c r="G42" s="41"/>
      <c r="H42" s="41"/>
      <c r="I42" s="10"/>
      <c r="J42" s="11"/>
      <c r="K42" s="15"/>
      <c r="L42" s="15"/>
      <c r="M42" s="11"/>
      <c r="O42" s="22"/>
      <c r="P42" s="18"/>
      <c r="Q42" s="18"/>
      <c r="R42" s="18"/>
      <c r="S42" s="18"/>
      <c r="T42" s="3"/>
      <c r="U42" s="3"/>
      <c r="V42" s="23"/>
      <c r="W42" s="23"/>
      <c r="X42" s="18"/>
      <c r="Y42" s="18"/>
      <c r="Z42" s="18"/>
      <c r="AA42" s="18"/>
      <c r="AB42" s="18"/>
      <c r="AC42" s="18"/>
    </row>
    <row r="43" spans="1:29" x14ac:dyDescent="0.25">
      <c r="A43" s="9"/>
      <c r="B43" s="32"/>
      <c r="C43" s="41"/>
      <c r="D43" s="41"/>
      <c r="E43" s="14"/>
      <c r="F43" s="14"/>
      <c r="G43" s="41"/>
      <c r="H43" s="41"/>
      <c r="I43" s="10"/>
      <c r="J43" s="11"/>
      <c r="K43" s="15"/>
      <c r="L43" s="15"/>
      <c r="M43" s="11"/>
      <c r="O43" s="22"/>
      <c r="P43" s="18"/>
      <c r="Q43" s="18"/>
      <c r="R43" s="18"/>
      <c r="S43" s="18"/>
      <c r="T43" s="3"/>
      <c r="U43" s="3"/>
      <c r="V43" s="23"/>
      <c r="W43" s="23"/>
      <c r="X43" s="18"/>
      <c r="Y43" s="18"/>
      <c r="Z43" s="18"/>
      <c r="AA43" s="18"/>
      <c r="AB43" s="18"/>
      <c r="AC43" s="18"/>
    </row>
    <row r="44" spans="1:29" x14ac:dyDescent="0.25">
      <c r="A44" s="9"/>
      <c r="B44" s="32"/>
      <c r="C44" s="41"/>
      <c r="D44" s="41"/>
      <c r="E44" s="14"/>
      <c r="F44" s="14"/>
      <c r="G44" s="41"/>
      <c r="H44" s="41"/>
      <c r="I44" s="10"/>
      <c r="J44" s="11"/>
      <c r="K44" s="15"/>
      <c r="L44" s="15"/>
      <c r="M44" s="11"/>
      <c r="O44" s="22"/>
      <c r="P44" s="18"/>
      <c r="Q44" s="18"/>
      <c r="R44" s="18"/>
      <c r="S44" s="18"/>
      <c r="T44" s="3"/>
      <c r="U44" s="3"/>
      <c r="V44" s="23"/>
      <c r="W44" s="23"/>
      <c r="X44" s="18"/>
      <c r="Y44" s="18"/>
      <c r="Z44" s="18"/>
      <c r="AA44" s="18"/>
      <c r="AB44" s="18"/>
      <c r="AC44" s="18"/>
    </row>
    <row r="45" spans="1:29" x14ac:dyDescent="0.25">
      <c r="A45" s="9"/>
      <c r="B45" s="32"/>
      <c r="C45" s="41"/>
      <c r="D45" s="41"/>
      <c r="E45" s="14"/>
      <c r="F45" s="14"/>
      <c r="G45" s="41"/>
      <c r="H45" s="41"/>
      <c r="I45" s="10"/>
      <c r="J45" s="11"/>
      <c r="K45" s="15"/>
      <c r="L45" s="15"/>
      <c r="M45" s="11"/>
      <c r="O45" s="22"/>
      <c r="P45" s="18"/>
      <c r="Q45" s="18"/>
      <c r="R45" s="18"/>
      <c r="S45" s="18"/>
      <c r="T45" s="3"/>
      <c r="U45" s="3"/>
      <c r="V45" s="23"/>
      <c r="W45" s="23"/>
      <c r="X45" s="18"/>
      <c r="Y45" s="18"/>
      <c r="Z45" s="18"/>
      <c r="AA45" s="18"/>
      <c r="AB45" s="18"/>
      <c r="AC45" s="18"/>
    </row>
    <row r="46" spans="1:29" x14ac:dyDescent="0.25">
      <c r="A46" s="9"/>
      <c r="B46" s="32"/>
      <c r="C46" s="41"/>
      <c r="D46" s="41"/>
      <c r="E46" s="14"/>
      <c r="F46" s="14"/>
      <c r="G46" s="41"/>
      <c r="H46" s="41"/>
      <c r="I46" s="10"/>
      <c r="J46" s="11"/>
      <c r="K46" s="15"/>
      <c r="L46" s="15"/>
      <c r="M46" s="11"/>
      <c r="O46" s="22"/>
      <c r="P46" s="18"/>
      <c r="Q46" s="18"/>
      <c r="R46" s="18"/>
      <c r="S46" s="18"/>
      <c r="T46" s="3"/>
      <c r="U46" s="3"/>
      <c r="V46" s="23"/>
      <c r="W46" s="23"/>
      <c r="X46" s="18"/>
      <c r="Y46" s="18"/>
      <c r="Z46" s="18"/>
      <c r="AA46" s="18"/>
      <c r="AB46" s="18"/>
      <c r="AC46" s="18"/>
    </row>
    <row r="47" spans="1:29" x14ac:dyDescent="0.25">
      <c r="A47" s="9"/>
      <c r="B47" s="32"/>
      <c r="C47" s="41"/>
      <c r="D47" s="41"/>
      <c r="E47" s="14"/>
      <c r="F47" s="14"/>
      <c r="G47" s="41"/>
      <c r="H47" s="41"/>
      <c r="I47" s="10"/>
      <c r="J47" s="11"/>
      <c r="K47" s="15"/>
      <c r="L47" s="15"/>
      <c r="M47" s="11"/>
      <c r="O47" s="22"/>
      <c r="P47" s="18"/>
      <c r="Q47" s="18"/>
      <c r="R47" s="18"/>
      <c r="S47" s="18"/>
      <c r="T47" s="3"/>
      <c r="U47" s="3"/>
      <c r="V47" s="23"/>
      <c r="W47" s="23"/>
      <c r="X47" s="18"/>
      <c r="Y47" s="18"/>
      <c r="Z47" s="18"/>
      <c r="AA47" s="18"/>
      <c r="AB47" s="18"/>
      <c r="AC47" s="18"/>
    </row>
    <row r="48" spans="1:29" x14ac:dyDescent="0.25">
      <c r="A48" s="9"/>
      <c r="B48" s="32"/>
      <c r="C48" s="41"/>
      <c r="D48" s="41"/>
      <c r="E48" s="14"/>
      <c r="F48" s="14"/>
      <c r="G48" s="41"/>
      <c r="H48" s="41"/>
      <c r="I48" s="10"/>
      <c r="J48" s="11"/>
      <c r="K48" s="15"/>
      <c r="L48" s="15"/>
      <c r="M48" s="11"/>
      <c r="O48" s="22"/>
      <c r="P48" s="18"/>
      <c r="Q48" s="18"/>
      <c r="R48" s="18"/>
      <c r="S48" s="18"/>
      <c r="T48" s="3"/>
      <c r="U48" s="3"/>
      <c r="V48" s="23"/>
      <c r="W48" s="23"/>
      <c r="X48" s="18"/>
      <c r="Y48" s="18"/>
      <c r="Z48" s="18"/>
      <c r="AA48" s="18"/>
      <c r="AB48" s="18"/>
      <c r="AC48" s="18"/>
    </row>
    <row r="49" spans="1:57" x14ac:dyDescent="0.25">
      <c r="A49" s="13"/>
      <c r="B49" s="9"/>
      <c r="C49" s="41"/>
      <c r="D49" s="41"/>
      <c r="E49" s="14"/>
      <c r="F49" s="14"/>
      <c r="G49" s="41"/>
      <c r="H49" s="45" t="s">
        <v>15</v>
      </c>
      <c r="I49" s="25">
        <f>SUM(I39:I48)</f>
        <v>0</v>
      </c>
      <c r="J49" s="11"/>
      <c r="K49" s="9"/>
      <c r="L49" s="9"/>
      <c r="M49" s="12"/>
    </row>
    <row r="50" spans="1:57" x14ac:dyDescent="0.25">
      <c r="A50" s="16" t="s">
        <v>8</v>
      </c>
      <c r="B50" s="9"/>
      <c r="C50" s="41"/>
      <c r="D50" s="41"/>
      <c r="E50" s="14"/>
      <c r="F50" s="14"/>
      <c r="G50" s="41"/>
      <c r="H50" s="41"/>
      <c r="I50" s="10"/>
      <c r="J50" s="15"/>
      <c r="K50" s="9"/>
      <c r="L50" s="9"/>
      <c r="M50" s="12"/>
    </row>
    <row r="51" spans="1:57" x14ac:dyDescent="0.25">
      <c r="A51" s="13" t="s">
        <v>40</v>
      </c>
      <c r="B51" s="9"/>
      <c r="C51" s="41"/>
      <c r="D51" s="41"/>
      <c r="E51" s="14"/>
      <c r="F51" s="14"/>
      <c r="G51" s="41"/>
      <c r="H51" s="41"/>
      <c r="I51" s="10"/>
      <c r="J51" s="15"/>
      <c r="K51" s="9"/>
      <c r="L51" s="9"/>
      <c r="M51" s="12"/>
    </row>
    <row r="56" spans="1:57" ht="18.75" x14ac:dyDescent="0.3">
      <c r="A56" s="1" t="s">
        <v>29</v>
      </c>
    </row>
    <row r="57" spans="1:57" x14ac:dyDescent="0.25">
      <c r="A57" s="30" t="s">
        <v>37</v>
      </c>
    </row>
    <row r="58" spans="1:57" x14ac:dyDescent="0.25">
      <c r="M58" s="30"/>
      <c r="T58" s="30"/>
      <c r="U58" s="30"/>
    </row>
    <row r="59" spans="1:57" x14ac:dyDescent="0.25">
      <c r="M59" s="30"/>
      <c r="T59" s="30"/>
      <c r="U59" s="30"/>
    </row>
    <row r="60" spans="1:57" x14ac:dyDescent="0.25">
      <c r="M60" s="30"/>
      <c r="T60" s="30"/>
      <c r="U60" s="30"/>
    </row>
    <row r="61" spans="1:57" x14ac:dyDescent="0.25">
      <c r="A61"/>
      <c r="B61"/>
      <c r="C61"/>
      <c r="D61"/>
      <c r="E61"/>
      <c r="F61"/>
      <c r="G61"/>
      <c r="H61"/>
      <c r="I61"/>
      <c r="J61"/>
      <c r="K61"/>
      <c r="L61"/>
      <c r="M61"/>
      <c r="N61"/>
      <c r="O61"/>
      <c r="P61"/>
      <c r="Q61"/>
      <c r="R61"/>
      <c r="S61"/>
      <c r="T61"/>
      <c r="U61"/>
      <c r="V61"/>
      <c r="W61"/>
      <c r="X61"/>
      <c r="Y61"/>
      <c r="Z61"/>
      <c r="AA61"/>
      <c r="AB61"/>
      <c r="AC61"/>
      <c r="AD61"/>
      <c r="AE61"/>
      <c r="AF61"/>
      <c r="AG61"/>
      <c r="AH61"/>
      <c r="AI61"/>
      <c r="AJ61"/>
      <c r="AK61"/>
      <c r="AL61"/>
      <c r="AM61"/>
      <c r="AN61"/>
      <c r="AO61"/>
      <c r="AP61"/>
      <c r="AQ61"/>
    </row>
    <row r="63" spans="1:57" x14ac:dyDescent="0.25">
      <c r="A63"/>
      <c r="B63"/>
      <c r="C63"/>
      <c r="D63"/>
      <c r="E63"/>
      <c r="F63"/>
      <c r="G63"/>
      <c r="H63"/>
      <c r="I63"/>
      <c r="J63"/>
      <c r="K63"/>
      <c r="L63"/>
      <c r="M63"/>
      <c r="N63"/>
      <c r="O63"/>
      <c r="P63"/>
      <c r="Q63"/>
      <c r="R63"/>
      <c r="S63"/>
      <c r="T63"/>
      <c r="U63"/>
      <c r="V63"/>
      <c r="W63"/>
      <c r="X63"/>
      <c r="Y63"/>
      <c r="Z63"/>
      <c r="AA63"/>
      <c r="AB63"/>
      <c r="AC63"/>
      <c r="AD63"/>
      <c r="AE63"/>
      <c r="AF63"/>
      <c r="AG63"/>
      <c r="AH63"/>
      <c r="AI63"/>
      <c r="AJ63"/>
      <c r="AK63"/>
      <c r="AL63"/>
      <c r="AM63"/>
      <c r="AN63"/>
      <c r="AO63"/>
      <c r="AP63"/>
      <c r="AQ63"/>
      <c r="AR63"/>
      <c r="AS63"/>
      <c r="AT63"/>
      <c r="AU63"/>
      <c r="AV63"/>
      <c r="AW63"/>
      <c r="AX63"/>
      <c r="AY63"/>
      <c r="AZ63"/>
      <c r="BA63"/>
      <c r="BB63"/>
      <c r="BC63"/>
      <c r="BD63"/>
      <c r="BE63"/>
    </row>
    <row r="64" spans="1:57" x14ac:dyDescent="0.25">
      <c r="A64"/>
      <c r="B64"/>
      <c r="C64"/>
      <c r="D64"/>
      <c r="E64"/>
      <c r="F64"/>
      <c r="G64"/>
      <c r="H64"/>
      <c r="I64"/>
      <c r="J64"/>
      <c r="K64"/>
      <c r="L64"/>
      <c r="M64"/>
      <c r="N64"/>
      <c r="O64"/>
      <c r="P64"/>
      <c r="Q64"/>
      <c r="R64"/>
      <c r="S64"/>
      <c r="T64"/>
      <c r="U64"/>
      <c r="V64"/>
      <c r="W64"/>
      <c r="X64"/>
      <c r="Y64"/>
      <c r="Z64"/>
      <c r="AA64"/>
      <c r="AB64"/>
      <c r="AC64"/>
      <c r="AD64"/>
      <c r="AE64"/>
      <c r="AF64"/>
      <c r="AG64"/>
      <c r="AH64"/>
      <c r="AI64"/>
      <c r="AJ64"/>
      <c r="AK64"/>
      <c r="AL64"/>
      <c r="AM64"/>
      <c r="AN64"/>
      <c r="AO64"/>
      <c r="AP64"/>
      <c r="AQ64"/>
      <c r="AR64"/>
      <c r="AS64"/>
      <c r="AT64"/>
      <c r="AU64"/>
      <c r="AV64"/>
      <c r="AW64"/>
      <c r="AX64"/>
      <c r="AY64"/>
      <c r="AZ64"/>
      <c r="BA64"/>
      <c r="BB64"/>
      <c r="BC64"/>
      <c r="BD64"/>
      <c r="BE64"/>
    </row>
    <row r="65" spans="1:81" x14ac:dyDescent="0.25">
      <c r="A65"/>
      <c r="B65"/>
      <c r="C65"/>
      <c r="D65"/>
      <c r="E65"/>
      <c r="F65"/>
      <c r="G65"/>
      <c r="H65"/>
      <c r="I65"/>
      <c r="J65"/>
      <c r="K65"/>
      <c r="L65"/>
      <c r="M65"/>
      <c r="N65"/>
      <c r="O65"/>
      <c r="P65"/>
      <c r="Q65"/>
      <c r="R65"/>
      <c r="S65"/>
      <c r="T65"/>
      <c r="U65"/>
      <c r="V65"/>
      <c r="W65"/>
      <c r="X65"/>
      <c r="Y65"/>
      <c r="Z65"/>
      <c r="AA65"/>
      <c r="AB65"/>
      <c r="AC65"/>
      <c r="AD65"/>
      <c r="AE65"/>
      <c r="AF65"/>
      <c r="AG65"/>
      <c r="AH65"/>
      <c r="AI65"/>
      <c r="AJ65"/>
      <c r="AK65"/>
      <c r="AL65"/>
      <c r="AM65"/>
      <c r="AN65"/>
      <c r="AO65"/>
      <c r="AP65"/>
      <c r="AQ65"/>
      <c r="AR65"/>
      <c r="AS65"/>
      <c r="AT65"/>
      <c r="AU65"/>
      <c r="AV65"/>
      <c r="AW65"/>
      <c r="AX65"/>
      <c r="AY65"/>
      <c r="AZ65"/>
      <c r="BA65"/>
      <c r="BB65"/>
      <c r="BC65"/>
      <c r="BD65"/>
      <c r="BE65"/>
    </row>
    <row r="66" spans="1:81" x14ac:dyDescent="0.25">
      <c r="A66"/>
      <c r="B66"/>
      <c r="C66"/>
      <c r="D66"/>
      <c r="E66"/>
      <c r="F66"/>
      <c r="G66"/>
      <c r="H66"/>
      <c r="I66"/>
      <c r="J66"/>
      <c r="K66"/>
      <c r="L66"/>
      <c r="M66"/>
      <c r="N66"/>
      <c r="O66"/>
      <c r="P66"/>
      <c r="Q66"/>
      <c r="R66"/>
      <c r="S66"/>
      <c r="T66"/>
      <c r="U66"/>
      <c r="V66"/>
      <c r="W66"/>
      <c r="X66"/>
      <c r="Y66"/>
      <c r="Z66"/>
      <c r="AA66"/>
      <c r="AB66"/>
      <c r="AC66"/>
      <c r="AD66"/>
      <c r="AE66"/>
      <c r="AF66"/>
      <c r="AG66"/>
      <c r="AH66"/>
      <c r="AI66"/>
      <c r="AJ66"/>
      <c r="AK66"/>
      <c r="AL66"/>
      <c r="AM66"/>
      <c r="AN66"/>
      <c r="AO66"/>
      <c r="AP66"/>
      <c r="AQ66"/>
      <c r="AR66"/>
      <c r="AS66"/>
      <c r="AT66"/>
      <c r="AU66"/>
      <c r="AV66"/>
      <c r="AW66"/>
      <c r="AX66"/>
      <c r="AY66"/>
      <c r="AZ66"/>
      <c r="BA66"/>
      <c r="BB66"/>
      <c r="BC66"/>
      <c r="BD66"/>
      <c r="BE66"/>
    </row>
    <row r="67" spans="1:81" x14ac:dyDescent="0.25">
      <c r="A67"/>
      <c r="B67"/>
      <c r="C67"/>
      <c r="D67"/>
      <c r="E67"/>
      <c r="F67"/>
      <c r="G67"/>
      <c r="H67"/>
      <c r="I67"/>
      <c r="J67"/>
      <c r="K67"/>
      <c r="L67"/>
      <c r="M67"/>
      <c r="N67"/>
      <c r="O67"/>
      <c r="P67"/>
      <c r="Q67"/>
      <c r="R67"/>
      <c r="S67"/>
      <c r="T67"/>
      <c r="U67"/>
      <c r="V67"/>
      <c r="W67"/>
      <c r="X67"/>
      <c r="Y67"/>
      <c r="Z67"/>
      <c r="AA67"/>
      <c r="AB67"/>
      <c r="AC67"/>
      <c r="AD67"/>
      <c r="AE67"/>
      <c r="AF67"/>
      <c r="AG67"/>
      <c r="AH67"/>
      <c r="AI67"/>
      <c r="AJ67"/>
      <c r="AK67"/>
      <c r="AL67"/>
      <c r="AM67"/>
      <c r="AN67"/>
      <c r="AO67"/>
      <c r="AP67"/>
      <c r="AQ67"/>
      <c r="AR67"/>
      <c r="AS67"/>
      <c r="AT67"/>
      <c r="AU67"/>
      <c r="AV67"/>
      <c r="AW67"/>
      <c r="AX67"/>
      <c r="AY67"/>
      <c r="AZ67"/>
      <c r="BA67"/>
      <c r="BB67"/>
      <c r="BC67"/>
      <c r="BD67"/>
      <c r="BE67"/>
    </row>
    <row r="68" spans="1:81" x14ac:dyDescent="0.25">
      <c r="A68"/>
      <c r="B68"/>
      <c r="C68"/>
      <c r="D68"/>
      <c r="E68"/>
      <c r="F68"/>
      <c r="G68"/>
      <c r="H68"/>
      <c r="I68"/>
      <c r="J68"/>
      <c r="K68"/>
      <c r="L68"/>
      <c r="M68"/>
      <c r="N68"/>
      <c r="O68"/>
      <c r="P68"/>
      <c r="Q68"/>
      <c r="R68"/>
      <c r="S68"/>
      <c r="T68"/>
      <c r="U68"/>
      <c r="V68"/>
      <c r="W68"/>
      <c r="X68"/>
      <c r="Y68"/>
      <c r="Z68"/>
      <c r="AA68"/>
      <c r="AB68"/>
      <c r="AC68"/>
      <c r="AD68"/>
      <c r="AE68"/>
      <c r="AF68"/>
      <c r="AG68"/>
      <c r="AH68"/>
      <c r="AI68"/>
      <c r="AJ68"/>
      <c r="AK68"/>
      <c r="AL68"/>
      <c r="AM68"/>
      <c r="AN68"/>
      <c r="AO68"/>
      <c r="AP68"/>
      <c r="AQ68"/>
      <c r="AR68"/>
      <c r="AS68"/>
      <c r="AT68"/>
      <c r="AU68"/>
      <c r="AV68"/>
      <c r="AW68"/>
      <c r="AX68"/>
      <c r="AY68"/>
      <c r="AZ68"/>
      <c r="BA68"/>
      <c r="BB68"/>
      <c r="BC68"/>
      <c r="BD68"/>
      <c r="BE68"/>
      <c r="BF68"/>
      <c r="BG68"/>
      <c r="BH68"/>
      <c r="BI68"/>
      <c r="BJ68"/>
      <c r="BK68"/>
      <c r="BL68"/>
      <c r="BM68"/>
      <c r="BN68"/>
      <c r="BO68"/>
      <c r="BP68"/>
      <c r="BQ68"/>
      <c r="BR68"/>
      <c r="BS68"/>
      <c r="BT68"/>
      <c r="BU68"/>
      <c r="BV68"/>
      <c r="BW68"/>
      <c r="BX68"/>
      <c r="BY68"/>
      <c r="BZ68"/>
      <c r="CA68"/>
      <c r="CB68"/>
      <c r="CC68"/>
    </row>
    <row r="69" spans="1:81" x14ac:dyDescent="0.25">
      <c r="A69"/>
      <c r="B69"/>
      <c r="C69"/>
      <c r="D69"/>
      <c r="E69"/>
      <c r="F69"/>
      <c r="G69"/>
      <c r="H69"/>
      <c r="I69"/>
      <c r="J69"/>
      <c r="K69"/>
      <c r="L69"/>
      <c r="M69"/>
      <c r="N69"/>
      <c r="O69"/>
      <c r="P69"/>
      <c r="Q69"/>
      <c r="R69"/>
      <c r="S69"/>
      <c r="T69"/>
      <c r="U69"/>
      <c r="V69"/>
      <c r="W69"/>
      <c r="X69"/>
      <c r="Y69"/>
      <c r="Z69"/>
      <c r="AA69"/>
      <c r="AB69"/>
      <c r="AC69"/>
      <c r="AD69"/>
      <c r="AE69"/>
      <c r="AF69"/>
      <c r="AG69"/>
      <c r="AH69"/>
      <c r="AI69"/>
      <c r="AJ69"/>
      <c r="AK69"/>
      <c r="AL69"/>
      <c r="AM69"/>
      <c r="AN69"/>
      <c r="AO69"/>
      <c r="AP69"/>
      <c r="AQ69"/>
      <c r="AR69"/>
      <c r="AS69"/>
      <c r="AT69"/>
      <c r="AU69"/>
      <c r="AV69"/>
      <c r="AW69"/>
      <c r="AX69"/>
      <c r="AY69"/>
      <c r="AZ69"/>
      <c r="BA69"/>
      <c r="BB69"/>
      <c r="BC69"/>
      <c r="BD69"/>
      <c r="BE69"/>
      <c r="BF69"/>
      <c r="BG69"/>
      <c r="BH69"/>
      <c r="BI69"/>
      <c r="BJ69"/>
      <c r="BK69"/>
      <c r="BL69"/>
      <c r="BM69"/>
      <c r="BN69"/>
      <c r="BO69"/>
      <c r="BP69"/>
      <c r="BQ69"/>
      <c r="BR69"/>
      <c r="BS69"/>
      <c r="BT69"/>
      <c r="BU69"/>
      <c r="BV69"/>
      <c r="BW69"/>
      <c r="BX69"/>
      <c r="BY69"/>
      <c r="BZ69"/>
      <c r="CA69"/>
      <c r="CB69"/>
      <c r="CC69"/>
    </row>
    <row r="70" spans="1:81" x14ac:dyDescent="0.25">
      <c r="A70"/>
      <c r="B70"/>
      <c r="C70"/>
      <c r="D70"/>
      <c r="E70"/>
      <c r="F70"/>
      <c r="G70"/>
      <c r="H70"/>
      <c r="I70"/>
      <c r="J70"/>
      <c r="K70"/>
      <c r="L70"/>
      <c r="M70"/>
      <c r="N70"/>
      <c r="O70"/>
      <c r="P70"/>
      <c r="Q70"/>
      <c r="R70"/>
      <c r="S70"/>
      <c r="T70"/>
      <c r="U70"/>
      <c r="V70"/>
      <c r="W70"/>
      <c r="X70"/>
      <c r="Y70"/>
      <c r="Z70"/>
      <c r="AA70"/>
      <c r="AB70"/>
      <c r="AC70"/>
      <c r="AD70"/>
      <c r="AE70"/>
      <c r="AF70"/>
      <c r="AG70"/>
      <c r="AH70"/>
      <c r="AI70"/>
      <c r="AJ70"/>
      <c r="AK70"/>
      <c r="AL70"/>
      <c r="AM70"/>
      <c r="AN70"/>
      <c r="AO70"/>
      <c r="AP70"/>
      <c r="AQ70"/>
      <c r="AR70"/>
      <c r="AS70"/>
      <c r="AT70"/>
      <c r="AU70"/>
      <c r="AV70"/>
      <c r="AW70"/>
      <c r="AX70"/>
      <c r="AY70"/>
      <c r="AZ70"/>
      <c r="BA70"/>
      <c r="BB70"/>
      <c r="BC70"/>
      <c r="BD70"/>
      <c r="BE70"/>
      <c r="BF70"/>
      <c r="BG70"/>
      <c r="BH70"/>
      <c r="BI70"/>
      <c r="BJ70"/>
      <c r="BK70"/>
      <c r="BL70"/>
      <c r="BM70"/>
      <c r="BN70"/>
      <c r="BO70"/>
      <c r="BP70"/>
      <c r="BQ70"/>
      <c r="BR70"/>
      <c r="BS70"/>
      <c r="BT70"/>
      <c r="BU70"/>
      <c r="BV70"/>
      <c r="BW70"/>
      <c r="BX70"/>
      <c r="BY70"/>
      <c r="BZ70"/>
      <c r="CA70"/>
      <c r="CB70"/>
      <c r="CC70"/>
    </row>
    <row r="71" spans="1:81" x14ac:dyDescent="0.25">
      <c r="A71"/>
      <c r="B71"/>
      <c r="C71"/>
      <c r="D71"/>
      <c r="E71"/>
      <c r="F71"/>
      <c r="G71"/>
      <c r="H71"/>
      <c r="I71"/>
      <c r="J71"/>
      <c r="K71"/>
      <c r="L71"/>
      <c r="M71"/>
      <c r="N71"/>
      <c r="O71"/>
      <c r="P71"/>
      <c r="Q71"/>
      <c r="R71"/>
      <c r="S71"/>
      <c r="T71"/>
      <c r="U71"/>
      <c r="V71"/>
      <c r="W71"/>
      <c r="X71"/>
      <c r="Y71"/>
      <c r="Z71"/>
      <c r="AA71"/>
      <c r="AB71"/>
      <c r="AC71"/>
      <c r="AD71"/>
      <c r="AE71"/>
      <c r="AF71"/>
      <c r="AG71"/>
      <c r="AH71"/>
      <c r="AI71"/>
      <c r="AJ71"/>
      <c r="AK71"/>
      <c r="AL71"/>
      <c r="AM71"/>
      <c r="AN71"/>
      <c r="AO71"/>
      <c r="AP71"/>
      <c r="AQ71"/>
      <c r="AR71"/>
      <c r="AS71"/>
      <c r="AT71"/>
      <c r="AU71"/>
      <c r="AV71"/>
      <c r="AW71"/>
      <c r="AX71"/>
      <c r="AY71"/>
      <c r="AZ71"/>
      <c r="BA71"/>
      <c r="BB71"/>
      <c r="BC71"/>
      <c r="BD71"/>
      <c r="BE71"/>
      <c r="BF71"/>
      <c r="BG71"/>
      <c r="BH71"/>
      <c r="BI71"/>
      <c r="BJ71"/>
      <c r="BK71"/>
      <c r="BL71"/>
      <c r="BM71"/>
      <c r="BN71"/>
      <c r="BO71"/>
      <c r="BP71"/>
      <c r="BQ71"/>
      <c r="BR71"/>
      <c r="BS71"/>
      <c r="BT71"/>
      <c r="BU71"/>
      <c r="BV71"/>
      <c r="BW71"/>
      <c r="BX71"/>
      <c r="BY71"/>
      <c r="BZ71"/>
      <c r="CA71"/>
      <c r="CB71"/>
      <c r="CC71"/>
    </row>
    <row r="72" spans="1:81" x14ac:dyDescent="0.25">
      <c r="A72"/>
      <c r="B72"/>
      <c r="C72"/>
      <c r="D72"/>
      <c r="E72"/>
      <c r="F72"/>
      <c r="G72"/>
      <c r="H72"/>
      <c r="I72"/>
      <c r="J72"/>
      <c r="K72"/>
      <c r="L72"/>
      <c r="M72"/>
      <c r="N72"/>
      <c r="O72"/>
      <c r="P72"/>
      <c r="Q72"/>
      <c r="R72"/>
      <c r="S72"/>
      <c r="T72"/>
      <c r="U72"/>
      <c r="V72"/>
      <c r="W72"/>
      <c r="X72"/>
      <c r="Y72"/>
      <c r="Z72"/>
      <c r="AA72"/>
      <c r="AB72"/>
      <c r="AC72"/>
      <c r="AD72"/>
      <c r="AE72"/>
      <c r="AF72"/>
      <c r="AG72"/>
      <c r="AH72"/>
      <c r="AI72"/>
      <c r="AJ72"/>
      <c r="AK72"/>
      <c r="AL72"/>
      <c r="AM72"/>
      <c r="AN72"/>
      <c r="AO72"/>
      <c r="AP72"/>
      <c r="AQ72"/>
      <c r="AR72"/>
      <c r="AS72"/>
      <c r="AT72"/>
      <c r="AU72"/>
      <c r="AV72"/>
      <c r="AW72"/>
      <c r="AX72"/>
      <c r="AY72"/>
      <c r="AZ72"/>
      <c r="BA72"/>
      <c r="BB72"/>
      <c r="BC72"/>
      <c r="BD72"/>
      <c r="BE72"/>
      <c r="BF72"/>
      <c r="BG72"/>
      <c r="BH72"/>
      <c r="BI72"/>
      <c r="BJ72"/>
      <c r="BK72"/>
      <c r="BL72"/>
      <c r="BM72"/>
      <c r="BN72"/>
      <c r="BO72"/>
      <c r="BP72"/>
      <c r="BQ72"/>
      <c r="BR72"/>
      <c r="BS72"/>
      <c r="BT72"/>
      <c r="BU72"/>
      <c r="BV72"/>
      <c r="BW72"/>
      <c r="BX72"/>
      <c r="BY72"/>
      <c r="BZ72"/>
      <c r="CA72"/>
      <c r="CB72"/>
      <c r="CC72"/>
    </row>
    <row r="73" spans="1:81" x14ac:dyDescent="0.25">
      <c r="A73"/>
      <c r="B73"/>
      <c r="C73"/>
      <c r="D73"/>
      <c r="E73"/>
      <c r="F73"/>
      <c r="G73"/>
      <c r="H73"/>
      <c r="I73"/>
      <c r="J73"/>
      <c r="K73"/>
      <c r="L73"/>
      <c r="M73"/>
      <c r="N73"/>
      <c r="O73"/>
      <c r="P73"/>
      <c r="Q73"/>
      <c r="R73"/>
      <c r="S73"/>
      <c r="T73"/>
      <c r="U73"/>
      <c r="V73"/>
      <c r="W73"/>
      <c r="X73"/>
      <c r="Y73"/>
      <c r="Z73"/>
      <c r="AA73"/>
      <c r="AB73"/>
      <c r="AC73"/>
      <c r="AD73"/>
      <c r="AE73"/>
      <c r="AF73"/>
      <c r="AG73"/>
      <c r="AH73"/>
      <c r="AI73"/>
      <c r="AJ73"/>
      <c r="AK73"/>
      <c r="AL73"/>
      <c r="AM73"/>
      <c r="AN73"/>
      <c r="AO73"/>
      <c r="AP73"/>
      <c r="AQ73"/>
      <c r="AR73"/>
      <c r="AS73"/>
      <c r="AT73"/>
      <c r="AU73"/>
      <c r="AV73"/>
      <c r="AW73"/>
      <c r="AX73"/>
      <c r="AY73"/>
      <c r="AZ73"/>
      <c r="BA73"/>
      <c r="BB73"/>
      <c r="BC73"/>
      <c r="BD73"/>
      <c r="BE73"/>
      <c r="BF73"/>
      <c r="BG73"/>
      <c r="BH73"/>
      <c r="BI73"/>
      <c r="BJ73"/>
      <c r="BK73"/>
      <c r="BL73"/>
      <c r="BM73"/>
      <c r="BN73"/>
      <c r="BO73"/>
      <c r="BP73"/>
      <c r="BQ73"/>
      <c r="BR73"/>
      <c r="BS73"/>
      <c r="BT73"/>
      <c r="BU73"/>
      <c r="BV73"/>
      <c r="BW73"/>
      <c r="BX73"/>
      <c r="BY73"/>
      <c r="BZ73"/>
      <c r="CA73"/>
      <c r="CB73"/>
      <c r="CC73"/>
    </row>
    <row r="74" spans="1:81" x14ac:dyDescent="0.25">
      <c r="A74"/>
      <c r="B74"/>
      <c r="C74"/>
      <c r="D74"/>
      <c r="E74"/>
      <c r="F74"/>
      <c r="G74"/>
      <c r="H74"/>
      <c r="I74"/>
      <c r="J74"/>
      <c r="K74"/>
      <c r="L74"/>
      <c r="M74"/>
      <c r="N74"/>
      <c r="O74"/>
      <c r="P74"/>
      <c r="Q74"/>
      <c r="R74"/>
      <c r="S74"/>
      <c r="T74"/>
      <c r="U74"/>
      <c r="V74"/>
      <c r="W74"/>
      <c r="X74"/>
      <c r="Y74"/>
      <c r="Z74"/>
      <c r="AA74"/>
      <c r="AB74"/>
      <c r="AC74"/>
      <c r="AD74"/>
      <c r="AE74"/>
      <c r="AF74"/>
      <c r="AG74"/>
      <c r="AH74"/>
      <c r="AI74"/>
      <c r="AJ74"/>
      <c r="AK74"/>
      <c r="AL74"/>
      <c r="AM74"/>
      <c r="AN74"/>
      <c r="AO74"/>
      <c r="AP74"/>
      <c r="AQ74"/>
      <c r="AR74"/>
      <c r="AS74"/>
      <c r="AT74"/>
      <c r="AU74"/>
      <c r="AV74"/>
      <c r="AW74"/>
      <c r="AX74"/>
      <c r="AY74"/>
      <c r="AZ74"/>
      <c r="BA74"/>
      <c r="BB74"/>
      <c r="BC74"/>
      <c r="BD74"/>
      <c r="BE74"/>
      <c r="BF74"/>
      <c r="BG74"/>
      <c r="BH74"/>
      <c r="BI74"/>
      <c r="BJ74"/>
      <c r="BK74"/>
      <c r="BL74"/>
      <c r="BM74"/>
      <c r="BN74"/>
      <c r="BO74"/>
      <c r="BP74"/>
      <c r="BQ74"/>
      <c r="BR74"/>
      <c r="BS74"/>
      <c r="BT74"/>
      <c r="BU74"/>
      <c r="BV74"/>
      <c r="BW74"/>
      <c r="BX74"/>
      <c r="BY74"/>
      <c r="BZ74"/>
      <c r="CA74"/>
      <c r="CB74"/>
      <c r="CC74"/>
    </row>
    <row r="75" spans="1:81" x14ac:dyDescent="0.25">
      <c r="A75"/>
      <c r="B75"/>
      <c r="C75"/>
      <c r="D75"/>
      <c r="E75"/>
      <c r="F75"/>
      <c r="G75"/>
      <c r="H75"/>
      <c r="I75"/>
      <c r="J75"/>
      <c r="K75"/>
      <c r="L75"/>
      <c r="M75"/>
      <c r="N75"/>
      <c r="O75"/>
      <c r="P75"/>
      <c r="Q75"/>
      <c r="R75"/>
      <c r="S75"/>
      <c r="T75"/>
      <c r="U75"/>
      <c r="V75"/>
      <c r="W75"/>
      <c r="X75"/>
      <c r="Y75"/>
      <c r="Z75"/>
      <c r="AA75"/>
      <c r="AB75"/>
      <c r="AC75"/>
      <c r="AD75"/>
      <c r="AE75"/>
      <c r="AF75"/>
      <c r="AG75"/>
      <c r="AH75"/>
      <c r="AI75"/>
      <c r="AJ75"/>
      <c r="AK75"/>
      <c r="AL75"/>
      <c r="AM75"/>
      <c r="AN75"/>
      <c r="AO75"/>
      <c r="AP75"/>
      <c r="AQ75"/>
      <c r="AR75"/>
      <c r="AS75"/>
      <c r="AT75"/>
      <c r="AU75"/>
      <c r="AV75"/>
      <c r="AW75"/>
      <c r="AX75"/>
      <c r="AY75"/>
      <c r="AZ75"/>
      <c r="BA75"/>
      <c r="BB75"/>
      <c r="BC75"/>
      <c r="BD75"/>
      <c r="BE75"/>
      <c r="BF75"/>
      <c r="BG75"/>
      <c r="BH75"/>
      <c r="BI75"/>
      <c r="BJ75"/>
      <c r="BK75"/>
      <c r="BL75"/>
      <c r="BM75"/>
      <c r="BN75"/>
      <c r="BO75"/>
      <c r="BP75"/>
      <c r="BQ75"/>
      <c r="BR75"/>
      <c r="BS75"/>
      <c r="BT75"/>
      <c r="BU75"/>
      <c r="BV75"/>
      <c r="BW75"/>
      <c r="BX75"/>
      <c r="BY75"/>
      <c r="BZ75"/>
      <c r="CA75"/>
      <c r="CB75"/>
      <c r="CC75"/>
    </row>
    <row r="76" spans="1:81" x14ac:dyDescent="0.25">
      <c r="A76"/>
      <c r="B76"/>
      <c r="C76"/>
      <c r="D76"/>
      <c r="E76"/>
      <c r="F76"/>
      <c r="G76"/>
      <c r="H76"/>
      <c r="I76"/>
      <c r="J76"/>
      <c r="K76"/>
      <c r="L76"/>
      <c r="M76"/>
      <c r="N76"/>
      <c r="O76"/>
      <c r="P76"/>
      <c r="Q76"/>
      <c r="R76"/>
      <c r="S76"/>
      <c r="T76"/>
      <c r="U76"/>
      <c r="V76"/>
      <c r="W76"/>
      <c r="X76"/>
      <c r="Y76"/>
      <c r="Z76"/>
      <c r="AA76"/>
      <c r="AB76"/>
      <c r="AC76"/>
      <c r="AD76"/>
      <c r="AE76"/>
      <c r="AF76"/>
      <c r="AG76"/>
      <c r="AH76"/>
      <c r="AI76"/>
      <c r="AJ76"/>
      <c r="AK76"/>
      <c r="AL76"/>
      <c r="AM76"/>
      <c r="AN76"/>
      <c r="AO76"/>
      <c r="AP76"/>
      <c r="AQ76"/>
      <c r="AR76"/>
      <c r="AS76"/>
      <c r="AT76"/>
      <c r="AU76"/>
      <c r="AV76"/>
      <c r="AW76"/>
      <c r="AX76"/>
      <c r="AY76"/>
      <c r="AZ76"/>
      <c r="BA76"/>
      <c r="BB76"/>
      <c r="BC76"/>
      <c r="BD76"/>
      <c r="BE76"/>
      <c r="BF76"/>
      <c r="BG76"/>
      <c r="BH76"/>
      <c r="BI76"/>
      <c r="BJ76"/>
      <c r="BK76"/>
      <c r="BL76"/>
      <c r="BM76"/>
      <c r="BN76"/>
      <c r="BO76"/>
      <c r="BP76"/>
      <c r="BQ76"/>
      <c r="BR76"/>
      <c r="BS76"/>
      <c r="BT76"/>
      <c r="BU76"/>
      <c r="BV76"/>
      <c r="BW76"/>
      <c r="BX76"/>
      <c r="BY76"/>
      <c r="BZ76"/>
      <c r="CA76"/>
      <c r="CB76"/>
      <c r="CC76"/>
    </row>
    <row r="77" spans="1:81" x14ac:dyDescent="0.25">
      <c r="A77"/>
      <c r="B77"/>
      <c r="C77"/>
      <c r="D77"/>
      <c r="E77"/>
      <c r="F77"/>
      <c r="G77"/>
      <c r="H77"/>
      <c r="I77"/>
      <c r="J77"/>
      <c r="K77"/>
      <c r="L77"/>
      <c r="M77"/>
      <c r="N77"/>
      <c r="O77"/>
      <c r="P77"/>
      <c r="Q77"/>
      <c r="R77"/>
      <c r="S77"/>
      <c r="T77"/>
      <c r="U77"/>
      <c r="V77"/>
      <c r="W77"/>
      <c r="X77"/>
      <c r="Y77"/>
      <c r="Z77"/>
      <c r="AA77"/>
      <c r="AB77"/>
      <c r="AC77"/>
      <c r="AD77"/>
      <c r="AE77"/>
      <c r="AF77"/>
      <c r="AG77"/>
      <c r="AH77"/>
      <c r="AI77"/>
      <c r="AJ77"/>
      <c r="AK77"/>
      <c r="AL77"/>
      <c r="AM77"/>
      <c r="AN77"/>
      <c r="AO77"/>
      <c r="AP77"/>
      <c r="AQ77"/>
      <c r="AR77"/>
      <c r="AS77"/>
      <c r="AT77"/>
      <c r="AU77"/>
      <c r="AV77"/>
      <c r="AW77"/>
      <c r="AX77"/>
      <c r="AY77"/>
      <c r="AZ77"/>
      <c r="BA77"/>
      <c r="BB77"/>
      <c r="BC77"/>
      <c r="BD77"/>
      <c r="BE77"/>
      <c r="BF77"/>
      <c r="BG77"/>
      <c r="BH77"/>
      <c r="BI77"/>
      <c r="BJ77"/>
      <c r="BK77"/>
      <c r="BL77"/>
      <c r="BM77"/>
      <c r="BN77"/>
      <c r="BO77"/>
      <c r="BP77"/>
      <c r="BQ77"/>
      <c r="BR77"/>
      <c r="BS77"/>
      <c r="BT77"/>
      <c r="BU77"/>
      <c r="BV77"/>
      <c r="BW77"/>
      <c r="BX77"/>
      <c r="BY77"/>
      <c r="BZ77"/>
      <c r="CA77"/>
      <c r="CB77"/>
      <c r="CC77"/>
    </row>
    <row r="78" spans="1:81" x14ac:dyDescent="0.25">
      <c r="A78"/>
      <c r="B78"/>
      <c r="C78"/>
      <c r="D78"/>
      <c r="E78"/>
      <c r="F78"/>
      <c r="G78"/>
      <c r="H78"/>
      <c r="I78"/>
      <c r="J78"/>
      <c r="K78"/>
      <c r="L78"/>
      <c r="M78"/>
      <c r="N78"/>
      <c r="O78"/>
      <c r="P78"/>
      <c r="Q78"/>
      <c r="R78"/>
      <c r="S78"/>
      <c r="T78"/>
      <c r="U78"/>
      <c r="V78"/>
      <c r="W78"/>
      <c r="X78"/>
      <c r="Y78"/>
      <c r="Z78"/>
      <c r="AA78"/>
      <c r="AB78"/>
      <c r="AC78"/>
      <c r="AD78"/>
      <c r="AE78"/>
      <c r="AF78"/>
      <c r="AG78"/>
      <c r="AH78"/>
      <c r="AI78"/>
      <c r="AJ78"/>
      <c r="AK78"/>
      <c r="AL78"/>
      <c r="AM78"/>
      <c r="AN78"/>
      <c r="AO78"/>
      <c r="AP78"/>
      <c r="AQ78"/>
      <c r="AR78"/>
      <c r="AS78"/>
      <c r="AT78"/>
      <c r="AU78"/>
      <c r="AV78"/>
      <c r="AW78"/>
      <c r="AX78"/>
      <c r="AY78"/>
      <c r="AZ78"/>
      <c r="BA78"/>
      <c r="BB78"/>
      <c r="BC78"/>
      <c r="BD78"/>
      <c r="BE78"/>
      <c r="BF78"/>
      <c r="BG78"/>
      <c r="BH78"/>
      <c r="BI78"/>
      <c r="BJ78"/>
      <c r="BK78"/>
      <c r="BL78"/>
      <c r="BM78"/>
      <c r="BN78"/>
      <c r="BO78"/>
      <c r="BP78"/>
      <c r="BQ78"/>
      <c r="BR78"/>
      <c r="BS78"/>
      <c r="BT78"/>
      <c r="BU78"/>
      <c r="BV78"/>
      <c r="BW78"/>
      <c r="BX78"/>
      <c r="BY78"/>
      <c r="BZ78"/>
      <c r="CA78"/>
      <c r="CB78"/>
      <c r="CC78"/>
    </row>
    <row r="79" spans="1:81" x14ac:dyDescent="0.25">
      <c r="A79"/>
      <c r="B79"/>
      <c r="C79"/>
      <c r="D79"/>
      <c r="E79"/>
      <c r="F79"/>
      <c r="G79"/>
      <c r="H79"/>
      <c r="I79"/>
      <c r="J79"/>
      <c r="K79"/>
      <c r="L79"/>
      <c r="M79"/>
      <c r="N79"/>
      <c r="O79"/>
      <c r="P79"/>
      <c r="Q79"/>
      <c r="R79"/>
      <c r="S79"/>
      <c r="T79"/>
      <c r="U79"/>
      <c r="V79"/>
      <c r="W79"/>
      <c r="X79"/>
      <c r="Y79"/>
      <c r="Z79"/>
      <c r="AA79"/>
      <c r="AB79"/>
      <c r="AC79"/>
      <c r="AD79"/>
      <c r="AE79"/>
      <c r="AF79"/>
      <c r="AG79"/>
      <c r="AH79"/>
      <c r="AI79"/>
      <c r="AJ79"/>
      <c r="AK79"/>
      <c r="AL79"/>
      <c r="AM79"/>
      <c r="AN79"/>
      <c r="AO79"/>
      <c r="AP79"/>
      <c r="AQ79"/>
      <c r="AR79"/>
      <c r="AS79"/>
      <c r="AT79"/>
      <c r="AU79"/>
      <c r="AV79"/>
      <c r="AW79"/>
      <c r="AX79"/>
      <c r="AY79"/>
      <c r="AZ79"/>
      <c r="BA79"/>
      <c r="BB79"/>
      <c r="BC79"/>
      <c r="BD79"/>
      <c r="BE79"/>
      <c r="BF79"/>
      <c r="BG79"/>
      <c r="BH79"/>
      <c r="BI79"/>
      <c r="BJ79"/>
      <c r="BK79"/>
      <c r="BL79"/>
      <c r="BM79"/>
      <c r="BN79"/>
      <c r="BO79"/>
      <c r="BP79"/>
      <c r="BQ79"/>
      <c r="BR79"/>
      <c r="BS79"/>
      <c r="BT79"/>
      <c r="BU79"/>
      <c r="BV79"/>
      <c r="BW79"/>
      <c r="BX79"/>
      <c r="BY79"/>
      <c r="BZ79"/>
      <c r="CA79"/>
      <c r="CB79"/>
      <c r="CC79"/>
    </row>
    <row r="80" spans="1:81" x14ac:dyDescent="0.25">
      <c r="A80"/>
      <c r="B80"/>
      <c r="C80"/>
      <c r="D80"/>
      <c r="E80"/>
      <c r="F80"/>
      <c r="G80"/>
      <c r="H80"/>
      <c r="I80"/>
      <c r="J80"/>
      <c r="K80"/>
      <c r="L80"/>
      <c r="M80"/>
      <c r="N80"/>
      <c r="O80"/>
      <c r="P80"/>
      <c r="Q80"/>
      <c r="R80"/>
      <c r="S80"/>
      <c r="T80"/>
      <c r="U80"/>
      <c r="V80"/>
      <c r="W80"/>
      <c r="X80"/>
      <c r="Y80"/>
      <c r="Z80"/>
      <c r="AA80"/>
      <c r="AB80"/>
      <c r="AC80"/>
      <c r="AD80"/>
      <c r="AE80"/>
      <c r="AF80"/>
      <c r="AG80"/>
      <c r="AH80"/>
      <c r="AI80"/>
      <c r="AJ80"/>
      <c r="AK80"/>
      <c r="AL80"/>
      <c r="AM80"/>
      <c r="AN80"/>
      <c r="AO80"/>
      <c r="AP80"/>
      <c r="AQ80"/>
      <c r="AR80"/>
      <c r="AS80"/>
      <c r="AT80"/>
      <c r="AU80"/>
      <c r="AV80"/>
      <c r="AW80"/>
      <c r="AX80"/>
      <c r="AY80"/>
      <c r="AZ80"/>
      <c r="BA80"/>
      <c r="BB80"/>
      <c r="BC80"/>
      <c r="BD80"/>
      <c r="BE80"/>
      <c r="BF80"/>
      <c r="BG80"/>
      <c r="BH80"/>
      <c r="BI80"/>
      <c r="BJ80"/>
      <c r="BK80"/>
      <c r="BL80"/>
      <c r="BM80"/>
      <c r="BN80"/>
      <c r="BO80"/>
      <c r="BP80"/>
      <c r="BQ80"/>
      <c r="BR80"/>
      <c r="BS80"/>
      <c r="BT80"/>
      <c r="BU80"/>
      <c r="BV80"/>
      <c r="BW80"/>
      <c r="BX80"/>
      <c r="BY80"/>
      <c r="BZ80"/>
      <c r="CA80"/>
      <c r="CB80"/>
      <c r="CC80"/>
    </row>
    <row r="81" spans="1:81" x14ac:dyDescent="0.25">
      <c r="A81"/>
      <c r="B81"/>
      <c r="C81"/>
      <c r="D81"/>
      <c r="E81"/>
      <c r="F81"/>
      <c r="G81"/>
      <c r="H81"/>
      <c r="I81"/>
      <c r="J81"/>
      <c r="K81"/>
      <c r="L81"/>
      <c r="M81"/>
      <c r="N81"/>
      <c r="O81"/>
      <c r="P81"/>
      <c r="Q81"/>
      <c r="R81"/>
      <c r="S81"/>
      <c r="T81"/>
      <c r="U81"/>
      <c r="V81"/>
      <c r="W81"/>
      <c r="X81"/>
      <c r="Y81"/>
      <c r="Z81"/>
      <c r="AA81"/>
      <c r="AB81"/>
      <c r="AC81"/>
      <c r="AD81"/>
      <c r="AE81"/>
      <c r="AF81"/>
      <c r="AG81"/>
      <c r="AH81"/>
      <c r="AI81"/>
      <c r="AJ81"/>
      <c r="AK81"/>
      <c r="AL81"/>
      <c r="AM81"/>
      <c r="AN81"/>
      <c r="AO81"/>
      <c r="AP81"/>
      <c r="AQ81"/>
      <c r="AR81"/>
      <c r="AS81"/>
      <c r="AT81"/>
      <c r="AU81"/>
      <c r="AV81"/>
      <c r="AW81"/>
      <c r="AX81"/>
      <c r="AY81"/>
      <c r="AZ81"/>
      <c r="BA81"/>
      <c r="BB81"/>
      <c r="BC81"/>
      <c r="BD81"/>
      <c r="BE81"/>
      <c r="BF81"/>
      <c r="BG81"/>
      <c r="BH81"/>
      <c r="BI81"/>
      <c r="BJ81"/>
      <c r="BK81"/>
      <c r="BL81"/>
      <c r="BM81"/>
      <c r="BN81"/>
      <c r="BO81"/>
      <c r="BP81"/>
      <c r="BQ81"/>
      <c r="BR81"/>
      <c r="BS81"/>
      <c r="BT81"/>
      <c r="BU81"/>
      <c r="BV81"/>
      <c r="BW81"/>
      <c r="BX81"/>
      <c r="BY81"/>
      <c r="BZ81"/>
      <c r="CA81"/>
      <c r="CB81"/>
      <c r="CC81"/>
    </row>
    <row r="82" spans="1:81" x14ac:dyDescent="0.25">
      <c r="A82"/>
      <c r="B82"/>
      <c r="C82"/>
      <c r="D82"/>
      <c r="E82"/>
      <c r="F82"/>
      <c r="G82"/>
      <c r="H82"/>
      <c r="I82"/>
      <c r="J82"/>
      <c r="K82"/>
      <c r="L82"/>
      <c r="M82"/>
      <c r="N82"/>
      <c r="O82"/>
      <c r="P82"/>
      <c r="Q82"/>
      <c r="R82"/>
      <c r="S82"/>
      <c r="T82"/>
      <c r="U82"/>
      <c r="V82"/>
      <c r="W82"/>
      <c r="X82"/>
      <c r="Y82"/>
      <c r="Z82"/>
      <c r="AA82"/>
      <c r="AB82"/>
      <c r="AC82"/>
      <c r="AD82"/>
      <c r="AE82"/>
      <c r="AF82"/>
      <c r="AG82"/>
      <c r="AH82"/>
      <c r="AI82"/>
      <c r="AJ82"/>
      <c r="AK82"/>
      <c r="AL82"/>
      <c r="AM82"/>
      <c r="AN82"/>
      <c r="AO82"/>
      <c r="AP82"/>
      <c r="AQ82"/>
      <c r="AR82"/>
      <c r="AS82"/>
      <c r="AT82"/>
      <c r="AU82"/>
      <c r="AV82"/>
      <c r="AW82"/>
      <c r="AX82"/>
      <c r="AY82"/>
      <c r="AZ82"/>
      <c r="BA82"/>
      <c r="BB82"/>
      <c r="BC82"/>
      <c r="BD82"/>
      <c r="BE82"/>
      <c r="BF82"/>
      <c r="BG82"/>
      <c r="BH82"/>
      <c r="BI82"/>
      <c r="BJ82"/>
      <c r="BK82"/>
      <c r="BL82"/>
      <c r="BM82"/>
      <c r="BN82"/>
      <c r="BO82"/>
      <c r="BP82"/>
      <c r="BQ82"/>
      <c r="BR82"/>
      <c r="BS82"/>
      <c r="BT82"/>
      <c r="BU82"/>
      <c r="BV82"/>
      <c r="BW82"/>
      <c r="BX82"/>
      <c r="BY82"/>
      <c r="BZ82"/>
      <c r="CA82"/>
      <c r="CB82"/>
      <c r="CC82"/>
    </row>
    <row r="83" spans="1:81" x14ac:dyDescent="0.25">
      <c r="A83"/>
      <c r="B83"/>
      <c r="C83"/>
      <c r="D83"/>
      <c r="E83"/>
      <c r="F83"/>
      <c r="G83"/>
      <c r="H83"/>
      <c r="I83"/>
      <c r="J83"/>
      <c r="K83"/>
      <c r="L83"/>
      <c r="M83"/>
      <c r="N83"/>
      <c r="O83"/>
      <c r="P83"/>
      <c r="Q83"/>
      <c r="R83"/>
      <c r="S83"/>
      <c r="T83"/>
      <c r="U83"/>
      <c r="V83"/>
      <c r="W83"/>
      <c r="X83"/>
      <c r="Y83"/>
      <c r="Z83"/>
      <c r="AA83"/>
      <c r="AB83"/>
      <c r="AC83"/>
      <c r="AD83"/>
      <c r="AE83"/>
      <c r="AF83"/>
      <c r="AG83"/>
      <c r="AH83"/>
      <c r="AI83"/>
      <c r="AJ83"/>
      <c r="AK83"/>
      <c r="AL83"/>
      <c r="AM83"/>
      <c r="AN83"/>
      <c r="AO83"/>
      <c r="AP83"/>
      <c r="AQ83"/>
      <c r="AR83"/>
      <c r="AS83"/>
      <c r="AT83"/>
      <c r="AU83"/>
      <c r="AV83"/>
      <c r="AW83"/>
      <c r="AX83"/>
      <c r="AY83"/>
      <c r="AZ83"/>
      <c r="BA83"/>
      <c r="BB83"/>
      <c r="BC83"/>
      <c r="BD83"/>
      <c r="BE83"/>
      <c r="BF83"/>
      <c r="BG83"/>
      <c r="BH83"/>
      <c r="BI83"/>
      <c r="BJ83"/>
      <c r="BK83"/>
      <c r="BL83"/>
      <c r="BM83"/>
      <c r="BN83"/>
      <c r="BO83"/>
      <c r="BP83"/>
      <c r="BQ83"/>
      <c r="BR83"/>
      <c r="BS83"/>
      <c r="BT83"/>
      <c r="BU83"/>
      <c r="BV83"/>
      <c r="BW83"/>
      <c r="BX83"/>
      <c r="BY83"/>
      <c r="BZ83"/>
      <c r="CA83"/>
      <c r="CB83"/>
      <c r="CC83"/>
    </row>
    <row r="84" spans="1:81" x14ac:dyDescent="0.25">
      <c r="A84"/>
      <c r="B84"/>
      <c r="C84"/>
      <c r="D84"/>
      <c r="E84"/>
      <c r="F84"/>
      <c r="G84"/>
      <c r="H84"/>
      <c r="I84"/>
      <c r="J84"/>
      <c r="K84"/>
      <c r="L84"/>
      <c r="M84"/>
      <c r="N84"/>
      <c r="O84"/>
      <c r="P84"/>
      <c r="Q84"/>
      <c r="R84"/>
      <c r="S84"/>
      <c r="T84"/>
      <c r="U84"/>
      <c r="V84"/>
      <c r="W84"/>
      <c r="X84"/>
      <c r="Y84"/>
      <c r="Z84"/>
      <c r="AA84"/>
      <c r="AB84"/>
      <c r="AC84"/>
      <c r="AD84"/>
      <c r="AE84"/>
      <c r="AF84"/>
      <c r="AG84"/>
      <c r="AH84"/>
      <c r="AI84"/>
      <c r="AJ84"/>
      <c r="AK84"/>
      <c r="AL84"/>
      <c r="AM84"/>
      <c r="AN84"/>
      <c r="AO84"/>
      <c r="AP84"/>
      <c r="AQ84"/>
      <c r="AR84"/>
      <c r="AS84"/>
      <c r="AT84"/>
      <c r="AU84"/>
      <c r="AV84"/>
      <c r="AW84"/>
      <c r="AX84"/>
      <c r="AY84"/>
      <c r="AZ84"/>
      <c r="BA84"/>
      <c r="BB84"/>
      <c r="BC84"/>
      <c r="BD84"/>
      <c r="BE84"/>
      <c r="BF84"/>
      <c r="BG84"/>
      <c r="BH84"/>
      <c r="BI84"/>
      <c r="BJ84"/>
      <c r="BK84"/>
      <c r="BL84"/>
      <c r="BM84"/>
      <c r="BN84"/>
      <c r="BO84"/>
      <c r="BP84"/>
      <c r="BQ84"/>
      <c r="BR84"/>
      <c r="BS84"/>
      <c r="BT84"/>
      <c r="BU84"/>
      <c r="BV84"/>
      <c r="BW84"/>
      <c r="BX84"/>
      <c r="BY84"/>
      <c r="BZ84"/>
      <c r="CA84"/>
      <c r="CB84"/>
      <c r="CC84"/>
    </row>
    <row r="85" spans="1:81" x14ac:dyDescent="0.25">
      <c r="A85"/>
      <c r="B85"/>
      <c r="C85"/>
      <c r="D85"/>
      <c r="E85"/>
      <c r="F85"/>
      <c r="G85"/>
      <c r="H85"/>
      <c r="I85"/>
      <c r="J85"/>
      <c r="K85"/>
      <c r="L85"/>
      <c r="M85"/>
      <c r="N85"/>
      <c r="O85"/>
      <c r="P85"/>
      <c r="Q85"/>
      <c r="R85"/>
      <c r="S85"/>
      <c r="T85"/>
      <c r="U85"/>
      <c r="V85"/>
      <c r="W85"/>
      <c r="X85"/>
      <c r="Y85"/>
      <c r="Z85"/>
      <c r="AA85"/>
      <c r="AB85"/>
      <c r="AC85"/>
      <c r="AD85"/>
      <c r="AE85"/>
      <c r="AF85"/>
      <c r="AG85"/>
      <c r="AH85"/>
      <c r="AI85"/>
      <c r="AJ85"/>
      <c r="AK85"/>
      <c r="AL85"/>
      <c r="AM85"/>
      <c r="AN85"/>
      <c r="AO85"/>
      <c r="AP85"/>
      <c r="AQ85"/>
      <c r="AR85"/>
      <c r="AS85"/>
      <c r="AT85"/>
      <c r="AU85"/>
      <c r="AV85"/>
      <c r="AW85"/>
      <c r="AX85"/>
      <c r="AY85"/>
      <c r="AZ85"/>
      <c r="BA85"/>
      <c r="BB85"/>
      <c r="BC85"/>
      <c r="BD85"/>
      <c r="BE85"/>
      <c r="BF85"/>
      <c r="BG85"/>
      <c r="BH85"/>
      <c r="BI85"/>
      <c r="BJ85"/>
      <c r="BK85"/>
      <c r="BL85"/>
      <c r="BM85"/>
      <c r="BN85"/>
      <c r="BO85"/>
      <c r="BP85"/>
      <c r="BQ85"/>
      <c r="BR85"/>
      <c r="BS85"/>
      <c r="BT85"/>
      <c r="BU85"/>
      <c r="BV85"/>
      <c r="BW85"/>
      <c r="BX85"/>
      <c r="BY85"/>
      <c r="BZ85"/>
      <c r="CA85"/>
      <c r="CB85"/>
      <c r="CC85"/>
    </row>
    <row r="86" spans="1:81" x14ac:dyDescent="0.25">
      <c r="A86"/>
      <c r="B86"/>
      <c r="C86"/>
      <c r="D86"/>
      <c r="E86"/>
      <c r="F86"/>
      <c r="G86"/>
      <c r="H86"/>
      <c r="I86"/>
      <c r="J86"/>
      <c r="K86"/>
      <c r="L86"/>
      <c r="M86"/>
      <c r="N86"/>
      <c r="O86"/>
      <c r="P86"/>
      <c r="Q86"/>
      <c r="R86"/>
      <c r="S86"/>
      <c r="T86"/>
      <c r="U86"/>
      <c r="V86"/>
      <c r="W86"/>
      <c r="X86"/>
      <c r="Y86"/>
      <c r="Z86"/>
      <c r="AA86"/>
      <c r="AB86"/>
      <c r="AC86"/>
      <c r="AD86"/>
      <c r="AE86"/>
      <c r="AF86"/>
      <c r="AG86"/>
      <c r="AH86"/>
      <c r="AI86"/>
      <c r="AJ86"/>
      <c r="AK86"/>
      <c r="AL86"/>
      <c r="AM86"/>
      <c r="AN86"/>
      <c r="AO86"/>
      <c r="AP86"/>
      <c r="AQ86"/>
      <c r="AR86"/>
      <c r="AS86"/>
      <c r="AT86"/>
      <c r="AU86"/>
      <c r="AV86"/>
      <c r="AW86"/>
      <c r="AX86"/>
      <c r="AY86"/>
      <c r="AZ86"/>
      <c r="BA86"/>
      <c r="BB86"/>
      <c r="BC86"/>
      <c r="BD86"/>
      <c r="BE86"/>
      <c r="BF86"/>
      <c r="BG86"/>
      <c r="BH86"/>
      <c r="BI86"/>
      <c r="BJ86"/>
      <c r="BK86"/>
      <c r="BL86"/>
      <c r="BM86"/>
      <c r="BN86"/>
      <c r="BO86"/>
      <c r="BP86"/>
      <c r="BQ86"/>
      <c r="BR86"/>
      <c r="BS86"/>
      <c r="BT86"/>
      <c r="BU86"/>
      <c r="BV86"/>
      <c r="BW86"/>
      <c r="BX86"/>
      <c r="BY86"/>
      <c r="BZ86"/>
      <c r="CA86"/>
      <c r="CB86"/>
      <c r="CC86"/>
    </row>
    <row r="87" spans="1:81" x14ac:dyDescent="0.25">
      <c r="A87"/>
      <c r="B87"/>
      <c r="C87"/>
      <c r="D87"/>
      <c r="E87"/>
      <c r="F87"/>
      <c r="G87"/>
      <c r="H87"/>
      <c r="I87"/>
      <c r="J87"/>
      <c r="K87"/>
      <c r="L87"/>
      <c r="M87"/>
      <c r="N87"/>
      <c r="O87"/>
      <c r="P87"/>
      <c r="Q87"/>
      <c r="R87"/>
      <c r="S87"/>
      <c r="T87"/>
      <c r="U87"/>
      <c r="V87"/>
      <c r="W87"/>
      <c r="X87"/>
      <c r="Y87"/>
      <c r="Z87"/>
      <c r="AA87"/>
      <c r="AB87"/>
      <c r="AC87"/>
      <c r="AD87"/>
      <c r="AE87"/>
      <c r="AF87"/>
      <c r="AG87"/>
      <c r="AH87"/>
      <c r="AI87"/>
      <c r="AJ87"/>
      <c r="AK87"/>
      <c r="AL87"/>
      <c r="AM87"/>
      <c r="AN87"/>
      <c r="AO87"/>
      <c r="AP87"/>
      <c r="AQ87"/>
      <c r="AR87"/>
      <c r="AS87"/>
      <c r="AT87"/>
      <c r="AU87"/>
      <c r="AV87"/>
      <c r="AW87"/>
      <c r="AX87"/>
      <c r="AY87"/>
      <c r="AZ87"/>
      <c r="BA87"/>
      <c r="BB87"/>
      <c r="BC87"/>
      <c r="BD87"/>
      <c r="BE87"/>
      <c r="BF87"/>
      <c r="BG87"/>
      <c r="BH87"/>
      <c r="BI87"/>
      <c r="BJ87"/>
      <c r="BK87"/>
      <c r="BL87"/>
      <c r="BM87"/>
      <c r="BN87"/>
      <c r="BO87"/>
      <c r="BP87"/>
      <c r="BQ87"/>
      <c r="BR87"/>
      <c r="BS87"/>
      <c r="BT87"/>
      <c r="BU87"/>
      <c r="BV87"/>
      <c r="BW87"/>
      <c r="BX87"/>
      <c r="BY87"/>
      <c r="BZ87"/>
      <c r="CA87"/>
      <c r="CB87"/>
      <c r="CC87"/>
    </row>
    <row r="88" spans="1:81" x14ac:dyDescent="0.25">
      <c r="A88"/>
      <c r="B88"/>
      <c r="C88"/>
      <c r="D88"/>
      <c r="E88"/>
      <c r="F88"/>
      <c r="G88"/>
      <c r="H88"/>
      <c r="I88"/>
      <c r="J88"/>
      <c r="K88"/>
      <c r="L88"/>
      <c r="M88"/>
      <c r="N88"/>
      <c r="O88"/>
      <c r="P88"/>
      <c r="Q88"/>
      <c r="R88"/>
      <c r="S88"/>
      <c r="T88"/>
      <c r="U88"/>
      <c r="V88"/>
      <c r="W88"/>
      <c r="X88"/>
      <c r="Y88"/>
      <c r="Z88"/>
      <c r="AA88"/>
      <c r="AB88"/>
      <c r="AC88"/>
      <c r="AD88"/>
      <c r="AE88"/>
      <c r="AF88"/>
      <c r="AG88"/>
      <c r="AH88"/>
      <c r="AI88"/>
      <c r="AJ88"/>
      <c r="AK88"/>
      <c r="AL88"/>
      <c r="AM88"/>
      <c r="AN88"/>
      <c r="AO88"/>
      <c r="AP88"/>
      <c r="AQ88"/>
      <c r="AR88"/>
      <c r="AS88"/>
      <c r="AT88"/>
      <c r="AU88"/>
      <c r="AV88"/>
      <c r="AW88"/>
      <c r="AX88"/>
      <c r="AY88"/>
      <c r="AZ88"/>
      <c r="BA88"/>
      <c r="BB88"/>
      <c r="BC88"/>
      <c r="BD88"/>
      <c r="BE88"/>
      <c r="BF88"/>
      <c r="BG88"/>
      <c r="BH88"/>
      <c r="BI88"/>
      <c r="BJ88"/>
      <c r="BK88"/>
      <c r="BL88"/>
      <c r="BM88"/>
      <c r="BN88"/>
      <c r="BO88"/>
      <c r="BP88"/>
      <c r="BQ88"/>
      <c r="BR88"/>
      <c r="BS88"/>
      <c r="BT88"/>
      <c r="BU88"/>
      <c r="BV88"/>
      <c r="BW88"/>
      <c r="BX88"/>
      <c r="BY88"/>
      <c r="BZ88"/>
      <c r="CA88"/>
      <c r="CB88"/>
      <c r="CC88"/>
    </row>
    <row r="89" spans="1:81" x14ac:dyDescent="0.25">
      <c r="A89"/>
      <c r="B89"/>
      <c r="C89"/>
      <c r="D89"/>
      <c r="E89"/>
      <c r="F89"/>
      <c r="G89"/>
      <c r="H89"/>
      <c r="I89"/>
      <c r="J89"/>
      <c r="K89"/>
      <c r="L89"/>
      <c r="M89"/>
      <c r="N89"/>
      <c r="O89"/>
      <c r="P89"/>
      <c r="Q89"/>
      <c r="R89"/>
      <c r="S89"/>
      <c r="T89"/>
      <c r="U89"/>
      <c r="V89"/>
      <c r="W89"/>
      <c r="X89"/>
      <c r="Y89"/>
      <c r="Z89"/>
      <c r="AA89"/>
      <c r="AB89"/>
      <c r="AC89"/>
      <c r="AD89"/>
      <c r="AE89"/>
      <c r="AF89"/>
      <c r="AG89"/>
      <c r="AH89"/>
      <c r="AI89"/>
      <c r="AJ89"/>
      <c r="AK89"/>
      <c r="AL89"/>
      <c r="AM89"/>
      <c r="AN89"/>
      <c r="AO89"/>
      <c r="AP89"/>
      <c r="AQ89"/>
      <c r="AR89"/>
      <c r="AS89"/>
      <c r="AT89"/>
      <c r="AU89"/>
      <c r="AV89"/>
      <c r="AW89"/>
      <c r="AX89"/>
      <c r="AY89"/>
      <c r="AZ89"/>
      <c r="BA89"/>
      <c r="BB89"/>
      <c r="BC89"/>
      <c r="BD89"/>
      <c r="BE89"/>
      <c r="BF89"/>
      <c r="BG89"/>
      <c r="BH89"/>
      <c r="BI89"/>
      <c r="BJ89"/>
      <c r="BK89"/>
      <c r="BL89"/>
      <c r="BM89"/>
      <c r="BN89"/>
      <c r="BO89"/>
      <c r="BP89"/>
      <c r="BQ89"/>
      <c r="BR89"/>
      <c r="BS89"/>
      <c r="BT89"/>
      <c r="BU89"/>
      <c r="BV89"/>
      <c r="BW89"/>
      <c r="BX89"/>
      <c r="BY89"/>
      <c r="BZ89"/>
      <c r="CA89"/>
      <c r="CB89"/>
      <c r="CC89"/>
    </row>
    <row r="90" spans="1:81" x14ac:dyDescent="0.25">
      <c r="A90"/>
      <c r="B90"/>
      <c r="C90"/>
      <c r="D90"/>
      <c r="E90"/>
      <c r="F90"/>
      <c r="G90"/>
      <c r="H90"/>
      <c r="I90"/>
      <c r="J90"/>
      <c r="K90"/>
      <c r="L90"/>
      <c r="M90"/>
      <c r="N90"/>
      <c r="O90"/>
      <c r="P90"/>
      <c r="Q90"/>
      <c r="R90"/>
      <c r="S90"/>
      <c r="T90"/>
      <c r="U90"/>
      <c r="V90"/>
      <c r="W90"/>
      <c r="X90"/>
      <c r="Y90"/>
      <c r="Z90"/>
      <c r="AA90"/>
      <c r="AB90"/>
      <c r="AC90"/>
      <c r="AD90"/>
      <c r="AE90"/>
      <c r="AF90"/>
      <c r="AG90"/>
      <c r="AH90"/>
      <c r="AI90"/>
      <c r="AJ90"/>
      <c r="AK90"/>
      <c r="AL90"/>
      <c r="AM90"/>
      <c r="AN90"/>
      <c r="AO90"/>
      <c r="AP90"/>
      <c r="AQ90"/>
      <c r="AR90"/>
      <c r="AS90"/>
      <c r="AT90"/>
      <c r="AU90"/>
      <c r="AV90"/>
      <c r="AW90"/>
      <c r="AX90"/>
      <c r="AY90"/>
      <c r="AZ90"/>
      <c r="BA90"/>
      <c r="BB90"/>
      <c r="BC90"/>
      <c r="BD90"/>
      <c r="BE90"/>
      <c r="BF90"/>
      <c r="BG90"/>
      <c r="BH90"/>
      <c r="BI90"/>
      <c r="BJ90"/>
      <c r="BK90"/>
      <c r="BL90"/>
      <c r="BM90"/>
      <c r="BN90"/>
      <c r="BO90"/>
      <c r="BP90"/>
      <c r="BQ90"/>
      <c r="BR90"/>
      <c r="BS90"/>
      <c r="BT90"/>
      <c r="BU90"/>
      <c r="BV90"/>
      <c r="BW90"/>
      <c r="BX90"/>
      <c r="BY90"/>
      <c r="BZ90"/>
      <c r="CA90"/>
      <c r="CB90"/>
      <c r="CC90"/>
    </row>
    <row r="91" spans="1:81" x14ac:dyDescent="0.25">
      <c r="A91"/>
      <c r="B91"/>
      <c r="C91"/>
      <c r="D91"/>
      <c r="E91"/>
      <c r="F91"/>
      <c r="G91"/>
      <c r="H91"/>
      <c r="I91"/>
      <c r="J91"/>
      <c r="K91"/>
      <c r="L91"/>
      <c r="M91"/>
      <c r="N91"/>
      <c r="O91"/>
      <c r="P91"/>
      <c r="Q91"/>
      <c r="R91"/>
      <c r="S91"/>
      <c r="T91"/>
      <c r="U91"/>
      <c r="V91"/>
      <c r="W91"/>
      <c r="X91"/>
      <c r="Y91"/>
      <c r="Z91"/>
      <c r="AA91"/>
      <c r="AB91"/>
      <c r="AC91"/>
      <c r="AD91"/>
      <c r="AE91"/>
      <c r="AF91"/>
      <c r="AG91"/>
      <c r="AH91"/>
      <c r="AI91"/>
      <c r="AJ91"/>
      <c r="AK91"/>
      <c r="AL91"/>
      <c r="AM91"/>
      <c r="AN91"/>
      <c r="AO91"/>
      <c r="AP91"/>
      <c r="AQ91"/>
      <c r="AR91"/>
      <c r="AS91"/>
      <c r="AT91"/>
      <c r="AU91"/>
      <c r="AV91"/>
      <c r="AW91"/>
      <c r="AX91"/>
      <c r="AY91"/>
      <c r="AZ91"/>
      <c r="BA91"/>
      <c r="BB91"/>
      <c r="BC91"/>
      <c r="BD91"/>
      <c r="BE91"/>
      <c r="BF91"/>
      <c r="BG91"/>
      <c r="BH91"/>
      <c r="BI91"/>
      <c r="BJ91"/>
      <c r="BK91"/>
      <c r="BL91"/>
      <c r="BM91"/>
      <c r="BN91"/>
      <c r="BO91"/>
      <c r="BP91"/>
      <c r="BQ91"/>
      <c r="BR91"/>
      <c r="BS91"/>
      <c r="BT91"/>
      <c r="BU91"/>
      <c r="BV91"/>
      <c r="BW91"/>
      <c r="BX91"/>
      <c r="BY91"/>
      <c r="BZ91"/>
      <c r="CA91"/>
      <c r="CB91"/>
      <c r="CC91"/>
    </row>
    <row r="92" spans="1:81" x14ac:dyDescent="0.25">
      <c r="A92"/>
      <c r="B92"/>
      <c r="C92"/>
      <c r="D92"/>
      <c r="E92"/>
      <c r="F92"/>
      <c r="G92"/>
      <c r="H92"/>
      <c r="I92"/>
      <c r="J92"/>
      <c r="K92"/>
      <c r="L92"/>
      <c r="M92"/>
      <c r="N92"/>
      <c r="O92"/>
      <c r="P92"/>
      <c r="Q92"/>
      <c r="R92"/>
      <c r="S92"/>
      <c r="T92"/>
      <c r="U92"/>
      <c r="V92"/>
      <c r="W92"/>
      <c r="X92"/>
      <c r="Y92"/>
      <c r="Z92"/>
      <c r="AA92"/>
      <c r="AB92"/>
      <c r="AC92"/>
      <c r="AD92"/>
      <c r="AE92"/>
      <c r="AF92"/>
      <c r="AG92"/>
      <c r="AH92"/>
      <c r="AI92"/>
      <c r="AJ92"/>
      <c r="AK92"/>
      <c r="AL92"/>
      <c r="AM92"/>
      <c r="AN92"/>
      <c r="AO92"/>
      <c r="AP92"/>
      <c r="AQ92"/>
      <c r="AR92"/>
      <c r="AS92"/>
      <c r="AT92"/>
      <c r="AU92"/>
      <c r="AV92"/>
      <c r="AW92"/>
      <c r="AX92"/>
      <c r="AY92"/>
      <c r="AZ92"/>
      <c r="BA92"/>
      <c r="BB92"/>
      <c r="BC92"/>
      <c r="BD92"/>
      <c r="BE92"/>
      <c r="BF92"/>
      <c r="BG92"/>
      <c r="BH92"/>
      <c r="BI92"/>
      <c r="BJ92"/>
      <c r="BK92"/>
      <c r="BL92"/>
      <c r="BM92"/>
      <c r="BN92"/>
      <c r="BO92"/>
      <c r="BP92"/>
      <c r="BQ92"/>
      <c r="BR92"/>
      <c r="BS92"/>
      <c r="BT92"/>
      <c r="BU92"/>
      <c r="BV92"/>
      <c r="BW92"/>
      <c r="BX92"/>
      <c r="BY92"/>
      <c r="BZ92"/>
      <c r="CA92"/>
      <c r="CB92"/>
      <c r="CC92"/>
    </row>
    <row r="93" spans="1:81" x14ac:dyDescent="0.25">
      <c r="A93"/>
      <c r="B93"/>
      <c r="C93"/>
      <c r="D93"/>
      <c r="E93"/>
      <c r="F93"/>
      <c r="G93"/>
      <c r="H93"/>
      <c r="I93"/>
      <c r="J93"/>
      <c r="K93"/>
      <c r="L93"/>
      <c r="M93"/>
      <c r="N93"/>
      <c r="O93"/>
      <c r="P93"/>
      <c r="Q93"/>
      <c r="R93"/>
      <c r="S93"/>
      <c r="T93"/>
      <c r="U93"/>
      <c r="V93"/>
      <c r="W93"/>
      <c r="X93"/>
      <c r="Y93"/>
      <c r="Z93"/>
      <c r="AA93"/>
      <c r="AB93"/>
      <c r="AC93"/>
      <c r="AD93"/>
      <c r="AE93"/>
      <c r="AF93"/>
      <c r="AG93"/>
      <c r="AH93"/>
      <c r="AI93"/>
      <c r="AJ93"/>
      <c r="AK93"/>
      <c r="AL93"/>
      <c r="AM93"/>
      <c r="AN93"/>
      <c r="AO93"/>
      <c r="AP93"/>
      <c r="AQ93"/>
      <c r="AR93"/>
      <c r="AS93"/>
      <c r="AT93"/>
      <c r="AU93"/>
      <c r="AV93"/>
      <c r="AW93"/>
      <c r="AX93"/>
      <c r="AY93"/>
      <c r="AZ93"/>
      <c r="BA93"/>
      <c r="BB93"/>
      <c r="BC93"/>
      <c r="BD93"/>
      <c r="BE93"/>
      <c r="BF93"/>
      <c r="BG93"/>
      <c r="BH93"/>
      <c r="BI93"/>
      <c r="BJ93"/>
      <c r="BK93"/>
      <c r="BL93"/>
      <c r="BM93"/>
      <c r="BN93"/>
      <c r="BO93"/>
      <c r="BP93"/>
      <c r="BQ93"/>
      <c r="BR93"/>
      <c r="BS93"/>
      <c r="BT93"/>
      <c r="BU93"/>
      <c r="BV93"/>
      <c r="BW93"/>
      <c r="BX93"/>
      <c r="BY93"/>
      <c r="BZ93"/>
      <c r="CA93"/>
      <c r="CB93"/>
      <c r="CC93"/>
    </row>
    <row r="94" spans="1:81" x14ac:dyDescent="0.25">
      <c r="A94"/>
      <c r="B94"/>
      <c r="C94"/>
      <c r="D94"/>
      <c r="E94"/>
      <c r="F94"/>
      <c r="G94"/>
      <c r="H94"/>
      <c r="I94"/>
      <c r="J94"/>
      <c r="K94"/>
      <c r="L94"/>
      <c r="M94"/>
      <c r="N94"/>
      <c r="O94"/>
      <c r="P94"/>
      <c r="Q94"/>
      <c r="R94"/>
      <c r="S94"/>
      <c r="T94"/>
      <c r="U94"/>
      <c r="V94"/>
      <c r="W94"/>
      <c r="X94"/>
      <c r="Y94"/>
      <c r="Z94"/>
      <c r="AA94"/>
      <c r="AB94"/>
      <c r="AC94"/>
      <c r="AD94"/>
      <c r="AE94"/>
      <c r="AF94"/>
      <c r="AG94"/>
      <c r="AH94"/>
      <c r="AI94"/>
      <c r="AJ94"/>
      <c r="AK94"/>
      <c r="AL94"/>
      <c r="AM94"/>
      <c r="AN94"/>
      <c r="AO94"/>
      <c r="AP94"/>
      <c r="AQ94"/>
      <c r="AR94"/>
      <c r="AS94"/>
      <c r="AT94"/>
      <c r="AU94"/>
      <c r="AV94"/>
      <c r="AW94"/>
      <c r="AX94"/>
      <c r="AY94"/>
      <c r="AZ94"/>
      <c r="BA94"/>
      <c r="BB94"/>
      <c r="BC94"/>
      <c r="BD94"/>
      <c r="BE94"/>
      <c r="BF94"/>
      <c r="BG94"/>
      <c r="BH94"/>
      <c r="BI94"/>
      <c r="BJ94"/>
      <c r="BK94"/>
      <c r="BL94"/>
      <c r="BM94"/>
      <c r="BN94"/>
      <c r="BO94"/>
      <c r="BP94"/>
      <c r="BQ94"/>
      <c r="BR94"/>
      <c r="BS94"/>
      <c r="BT94"/>
      <c r="BU94"/>
      <c r="BV94"/>
      <c r="BW94"/>
      <c r="BX94"/>
      <c r="BY94"/>
      <c r="BZ94"/>
      <c r="CA94"/>
      <c r="CB94"/>
      <c r="CC94"/>
    </row>
    <row r="95" spans="1:81" x14ac:dyDescent="0.25">
      <c r="A95"/>
      <c r="B95"/>
      <c r="C95"/>
      <c r="D95"/>
      <c r="E95"/>
      <c r="F95"/>
      <c r="G95"/>
      <c r="H95"/>
      <c r="I95"/>
      <c r="J95"/>
      <c r="K95"/>
      <c r="L95"/>
      <c r="M95"/>
      <c r="N95"/>
      <c r="O95"/>
      <c r="P95"/>
      <c r="Q95"/>
      <c r="R95"/>
      <c r="S95"/>
      <c r="T95"/>
      <c r="U95"/>
      <c r="V95"/>
      <c r="W95"/>
      <c r="X95"/>
      <c r="Y95"/>
      <c r="Z95"/>
      <c r="AA95"/>
      <c r="AB95"/>
      <c r="AC95"/>
      <c r="AD95"/>
      <c r="AE95"/>
      <c r="AF95"/>
      <c r="AG95"/>
      <c r="AH95"/>
      <c r="AI95"/>
      <c r="AJ95"/>
      <c r="AK95"/>
      <c r="AL95"/>
      <c r="AM95"/>
      <c r="AN95"/>
      <c r="AO95"/>
      <c r="AP95"/>
      <c r="AQ95"/>
      <c r="AR95"/>
      <c r="AS95"/>
      <c r="AT95"/>
      <c r="AU95"/>
      <c r="AV95"/>
      <c r="AW95"/>
      <c r="AX95"/>
      <c r="AY95"/>
      <c r="AZ95"/>
      <c r="BA95"/>
      <c r="BB95"/>
      <c r="BC95"/>
      <c r="BD95"/>
      <c r="BE95"/>
      <c r="BF95"/>
      <c r="BG95"/>
      <c r="BH95"/>
      <c r="BI95"/>
      <c r="BJ95"/>
      <c r="BK95"/>
      <c r="BL95"/>
      <c r="BM95"/>
      <c r="BN95"/>
      <c r="BO95"/>
      <c r="BP95"/>
      <c r="BQ95"/>
      <c r="BR95"/>
      <c r="BS95"/>
      <c r="BT95"/>
      <c r="BU95"/>
      <c r="BV95"/>
      <c r="BW95"/>
      <c r="BX95"/>
      <c r="BY95"/>
      <c r="BZ95"/>
      <c r="CA95"/>
      <c r="CB95"/>
      <c r="CC95"/>
    </row>
    <row r="96" spans="1:81" x14ac:dyDescent="0.25">
      <c r="A96"/>
      <c r="B96"/>
      <c r="C96"/>
      <c r="D96"/>
      <c r="E96"/>
      <c r="F96"/>
      <c r="G96"/>
      <c r="H96"/>
      <c r="I96"/>
      <c r="J96"/>
      <c r="K96"/>
      <c r="L96"/>
      <c r="M96"/>
      <c r="N96"/>
      <c r="O96"/>
      <c r="P96"/>
      <c r="Q96"/>
      <c r="R96"/>
      <c r="S96"/>
      <c r="T96"/>
      <c r="U96"/>
      <c r="V96"/>
      <c r="W96"/>
      <c r="X96"/>
      <c r="Y96"/>
      <c r="Z96"/>
      <c r="AA96"/>
      <c r="AB96"/>
      <c r="AC96"/>
      <c r="AD96"/>
      <c r="AE96"/>
      <c r="AF96"/>
      <c r="AG96"/>
      <c r="AH96"/>
      <c r="AI96"/>
      <c r="AJ96"/>
      <c r="AK96"/>
      <c r="AL96"/>
      <c r="AM96"/>
      <c r="AN96"/>
      <c r="AO96"/>
      <c r="AP96"/>
      <c r="AQ96"/>
      <c r="AR96"/>
      <c r="AS96"/>
      <c r="AT96"/>
      <c r="AU96"/>
      <c r="AV96"/>
      <c r="AW96"/>
      <c r="AX96"/>
      <c r="AY96"/>
      <c r="AZ96"/>
      <c r="BA96"/>
      <c r="BB96"/>
      <c r="BC96"/>
      <c r="BD96"/>
      <c r="BE96"/>
      <c r="BF96"/>
      <c r="BG96"/>
      <c r="BH96"/>
      <c r="BI96"/>
      <c r="BJ96"/>
      <c r="BK96"/>
      <c r="BL96"/>
      <c r="BM96"/>
      <c r="BN96"/>
      <c r="BO96"/>
      <c r="BP96"/>
      <c r="BQ96"/>
      <c r="BR96"/>
      <c r="BS96"/>
      <c r="BT96"/>
      <c r="BU96"/>
      <c r="BV96"/>
      <c r="BW96"/>
      <c r="BX96"/>
      <c r="BY96"/>
      <c r="BZ96"/>
      <c r="CA96"/>
      <c r="CB96"/>
      <c r="CC96"/>
    </row>
    <row r="97" spans="1:81" x14ac:dyDescent="0.25">
      <c r="A97"/>
      <c r="B97"/>
      <c r="C97"/>
      <c r="D97"/>
      <c r="E97"/>
      <c r="F97"/>
      <c r="G97"/>
      <c r="H97"/>
      <c r="I97"/>
      <c r="J97"/>
      <c r="K97"/>
      <c r="L97"/>
      <c r="M97"/>
      <c r="N97"/>
      <c r="O97"/>
      <c r="P97"/>
      <c r="Q97"/>
      <c r="R97"/>
      <c r="S97"/>
      <c r="T97"/>
      <c r="U97"/>
      <c r="V97"/>
      <c r="W97"/>
      <c r="X97"/>
      <c r="Y97"/>
      <c r="Z97"/>
      <c r="AA97"/>
      <c r="AB97"/>
      <c r="AC97"/>
      <c r="AD97"/>
      <c r="AE97"/>
      <c r="AF97"/>
      <c r="AG97"/>
      <c r="AH97"/>
      <c r="AI97"/>
      <c r="AJ97"/>
      <c r="AK97"/>
      <c r="AL97"/>
      <c r="AM97"/>
      <c r="AN97"/>
      <c r="AO97"/>
      <c r="AP97"/>
      <c r="AQ97"/>
      <c r="AR97"/>
      <c r="AS97"/>
      <c r="AT97"/>
      <c r="AU97"/>
      <c r="AV97"/>
      <c r="AW97"/>
      <c r="AX97"/>
      <c r="AY97"/>
      <c r="AZ97"/>
      <c r="BA97"/>
      <c r="BB97"/>
      <c r="BC97"/>
      <c r="BD97"/>
      <c r="BE97"/>
      <c r="BF97"/>
      <c r="BG97"/>
      <c r="BH97"/>
      <c r="BI97"/>
      <c r="BJ97"/>
      <c r="BK97"/>
      <c r="BL97"/>
      <c r="BM97"/>
      <c r="BN97"/>
      <c r="BO97"/>
      <c r="BP97"/>
      <c r="BQ97"/>
      <c r="BR97"/>
      <c r="BS97"/>
      <c r="BT97"/>
      <c r="BU97"/>
      <c r="BV97"/>
      <c r="BW97"/>
      <c r="BX97"/>
      <c r="BY97"/>
      <c r="BZ97"/>
      <c r="CA97"/>
      <c r="CB97"/>
      <c r="CC97"/>
    </row>
    <row r="98" spans="1:81" x14ac:dyDescent="0.25">
      <c r="A98"/>
      <c r="B98"/>
      <c r="C98"/>
      <c r="D98"/>
      <c r="E98"/>
      <c r="F98"/>
      <c r="G98"/>
      <c r="H98"/>
      <c r="I98"/>
      <c r="J98"/>
      <c r="K98"/>
      <c r="L98"/>
      <c r="M98"/>
      <c r="N98"/>
      <c r="O98"/>
      <c r="P98"/>
      <c r="Q98"/>
      <c r="R98"/>
      <c r="S98"/>
      <c r="T98"/>
      <c r="U98"/>
      <c r="V98"/>
      <c r="W98"/>
      <c r="X98"/>
      <c r="Y98"/>
      <c r="Z98"/>
      <c r="AA98"/>
      <c r="AB98"/>
      <c r="AC98"/>
      <c r="AD98"/>
      <c r="AE98"/>
      <c r="AF98"/>
      <c r="AG98"/>
      <c r="AH98"/>
      <c r="AI98"/>
      <c r="AJ98"/>
      <c r="AK98"/>
      <c r="AL98"/>
      <c r="AM98"/>
      <c r="AN98"/>
      <c r="AO98"/>
      <c r="AP98"/>
      <c r="AQ98"/>
      <c r="AR98"/>
      <c r="AS98"/>
      <c r="AT98"/>
      <c r="AU98"/>
      <c r="AV98"/>
      <c r="AW98"/>
      <c r="AX98"/>
      <c r="AY98"/>
      <c r="AZ98"/>
      <c r="BA98"/>
      <c r="BB98"/>
      <c r="BC98"/>
      <c r="BD98"/>
      <c r="BE98"/>
      <c r="BF98"/>
      <c r="BG98"/>
      <c r="BH98"/>
      <c r="BI98"/>
      <c r="BJ98"/>
      <c r="BK98"/>
      <c r="BL98"/>
      <c r="BM98"/>
      <c r="BN98"/>
      <c r="BO98"/>
      <c r="BP98"/>
      <c r="BQ98"/>
      <c r="BR98"/>
      <c r="BS98"/>
      <c r="BT98"/>
      <c r="BU98"/>
      <c r="BV98"/>
      <c r="BW98"/>
      <c r="BX98"/>
      <c r="BY98"/>
      <c r="BZ98"/>
      <c r="CA98"/>
      <c r="CB98"/>
      <c r="CC98"/>
    </row>
    <row r="99" spans="1:81" x14ac:dyDescent="0.25">
      <c r="A99"/>
      <c r="B99"/>
      <c r="C99"/>
      <c r="D99"/>
      <c r="E99"/>
      <c r="F99"/>
      <c r="G99"/>
      <c r="H99"/>
      <c r="I99"/>
      <c r="J99"/>
      <c r="K99"/>
      <c r="L99"/>
      <c r="M99"/>
      <c r="N99"/>
      <c r="O99"/>
      <c r="P99"/>
      <c r="Q99"/>
      <c r="R99"/>
      <c r="S99"/>
      <c r="T99"/>
      <c r="U99"/>
      <c r="V99"/>
      <c r="W99"/>
      <c r="X99"/>
      <c r="Y99"/>
      <c r="Z99"/>
      <c r="AA99"/>
      <c r="AB99"/>
      <c r="AC99"/>
      <c r="AD99"/>
      <c r="AE99"/>
      <c r="AF99"/>
      <c r="AG99"/>
      <c r="AH99"/>
      <c r="AI99"/>
      <c r="AJ99"/>
      <c r="AK99"/>
      <c r="AL99"/>
      <c r="AM99"/>
      <c r="AN99"/>
      <c r="AO99"/>
      <c r="AP99"/>
      <c r="AQ99"/>
      <c r="AR99"/>
      <c r="AS99"/>
      <c r="AT99"/>
      <c r="AU99"/>
      <c r="AV99"/>
      <c r="AW99"/>
      <c r="AX99"/>
      <c r="AY99"/>
      <c r="AZ99"/>
      <c r="BA99"/>
      <c r="BB99"/>
      <c r="BC99"/>
      <c r="BD99"/>
      <c r="BE99"/>
      <c r="BF99"/>
      <c r="BG99"/>
      <c r="BH99"/>
      <c r="BI99"/>
      <c r="BJ99"/>
      <c r="BK99"/>
      <c r="BL99"/>
      <c r="BM99"/>
      <c r="BN99"/>
      <c r="BO99"/>
      <c r="BP99"/>
      <c r="BQ99"/>
      <c r="BR99"/>
      <c r="BS99"/>
      <c r="BT99"/>
      <c r="BU99"/>
      <c r="BV99"/>
      <c r="BW99"/>
      <c r="BX99"/>
      <c r="BY99"/>
      <c r="BZ99"/>
      <c r="CA99"/>
      <c r="CB99"/>
      <c r="CC99"/>
    </row>
    <row r="100" spans="1:81" x14ac:dyDescent="0.25">
      <c r="A100"/>
      <c r="B100"/>
      <c r="C100"/>
      <c r="D100"/>
      <c r="E100"/>
      <c r="F100"/>
      <c r="G100"/>
      <c r="H100"/>
      <c r="I100"/>
      <c r="J100"/>
      <c r="K100"/>
      <c r="L100"/>
      <c r="M100"/>
      <c r="N100"/>
      <c r="O100"/>
      <c r="P100"/>
      <c r="Q100"/>
      <c r="R100"/>
      <c r="S100"/>
      <c r="T100"/>
      <c r="U100"/>
      <c r="V100"/>
      <c r="W100"/>
      <c r="X100"/>
      <c r="Y100"/>
      <c r="Z100"/>
      <c r="AA100"/>
      <c r="AB100"/>
      <c r="AC100"/>
      <c r="AD100"/>
      <c r="AE100"/>
      <c r="AF100"/>
      <c r="AG100"/>
      <c r="AH100"/>
      <c r="AI100"/>
      <c r="AJ100"/>
      <c r="AK100"/>
      <c r="AL100"/>
      <c r="AM100"/>
      <c r="AN100"/>
      <c r="AO100"/>
      <c r="AP100"/>
      <c r="AQ100"/>
      <c r="AR100"/>
      <c r="AS100"/>
      <c r="AT100"/>
      <c r="AU100"/>
      <c r="AV100"/>
      <c r="AW100"/>
      <c r="AX100"/>
      <c r="AY100"/>
      <c r="AZ100"/>
      <c r="BA100"/>
      <c r="BB100"/>
      <c r="BC100"/>
      <c r="BD100"/>
      <c r="BE100"/>
      <c r="BF100"/>
      <c r="BG100"/>
      <c r="BH100"/>
      <c r="BI100"/>
      <c r="BJ100"/>
      <c r="BK100"/>
      <c r="BL100"/>
      <c r="BM100"/>
      <c r="BN100"/>
      <c r="BO100"/>
      <c r="BP100"/>
      <c r="BQ100"/>
      <c r="BR100"/>
      <c r="BS100"/>
      <c r="BT100"/>
      <c r="BU100"/>
      <c r="BV100"/>
      <c r="BW100"/>
      <c r="BX100"/>
      <c r="BY100"/>
      <c r="BZ100"/>
      <c r="CA100"/>
      <c r="CB100"/>
      <c r="CC100"/>
    </row>
    <row r="101" spans="1:81" x14ac:dyDescent="0.25">
      <c r="A101"/>
      <c r="B101"/>
      <c r="C101"/>
      <c r="D101"/>
      <c r="E101"/>
      <c r="F101"/>
      <c r="G101"/>
      <c r="H101"/>
      <c r="I101"/>
      <c r="J101"/>
      <c r="K101"/>
      <c r="L101"/>
      <c r="M101"/>
      <c r="N101"/>
      <c r="O101"/>
      <c r="P101"/>
      <c r="Q101"/>
      <c r="R101"/>
      <c r="S101"/>
      <c r="T101"/>
      <c r="U101"/>
      <c r="V101"/>
      <c r="W101"/>
      <c r="X101"/>
      <c r="Y101"/>
      <c r="Z101"/>
      <c r="AA101"/>
      <c r="AB101"/>
      <c r="AC101"/>
      <c r="AD101"/>
      <c r="AE101"/>
      <c r="AF101"/>
      <c r="AG101"/>
      <c r="AH101"/>
      <c r="AI101"/>
      <c r="AJ101"/>
      <c r="AK101"/>
      <c r="AL101"/>
      <c r="AM101"/>
      <c r="AN101"/>
      <c r="AO101"/>
      <c r="AP101"/>
      <c r="AQ101"/>
      <c r="AR101"/>
      <c r="AS101"/>
      <c r="AT101"/>
      <c r="AU101"/>
      <c r="AV101"/>
      <c r="AW101"/>
      <c r="AX101"/>
      <c r="AY101"/>
      <c r="AZ101"/>
      <c r="BA101"/>
      <c r="BB101"/>
      <c r="BC101"/>
      <c r="BD101"/>
      <c r="BE101"/>
      <c r="BF101"/>
      <c r="BG101"/>
      <c r="BH101"/>
      <c r="BI101"/>
      <c r="BJ101"/>
      <c r="BK101"/>
      <c r="BL101"/>
      <c r="BM101"/>
      <c r="BN101"/>
      <c r="BO101"/>
      <c r="BP101"/>
      <c r="BQ101"/>
      <c r="BR101"/>
      <c r="BS101"/>
      <c r="BT101"/>
      <c r="BU101"/>
      <c r="BV101"/>
      <c r="BW101"/>
      <c r="BX101"/>
      <c r="BY101"/>
      <c r="BZ101"/>
      <c r="CA101"/>
      <c r="CB101"/>
      <c r="CC101"/>
    </row>
    <row r="102" spans="1:81" x14ac:dyDescent="0.25">
      <c r="A102"/>
      <c r="B102"/>
      <c r="C102"/>
      <c r="D102"/>
      <c r="E102"/>
      <c r="F102"/>
      <c r="G102"/>
      <c r="H102"/>
      <c r="I102"/>
      <c r="J102"/>
      <c r="K102"/>
      <c r="L102"/>
      <c r="M102"/>
      <c r="N102"/>
      <c r="O102"/>
      <c r="P102"/>
      <c r="Q102"/>
      <c r="R102"/>
      <c r="S102"/>
      <c r="T102"/>
      <c r="U102"/>
      <c r="V102"/>
      <c r="W102"/>
      <c r="X102"/>
      <c r="Y102"/>
      <c r="Z102"/>
      <c r="AA102"/>
      <c r="AB102"/>
      <c r="AC102"/>
      <c r="AD102"/>
      <c r="AE102"/>
      <c r="AF102"/>
      <c r="AG102"/>
      <c r="AH102"/>
      <c r="AI102"/>
      <c r="AJ102"/>
      <c r="AK102"/>
      <c r="AL102"/>
      <c r="AM102"/>
      <c r="AN102"/>
      <c r="AO102"/>
      <c r="AP102"/>
      <c r="AQ102"/>
      <c r="AR102"/>
      <c r="AS102"/>
      <c r="AT102"/>
      <c r="AU102"/>
      <c r="AV102"/>
      <c r="AW102"/>
      <c r="AX102"/>
      <c r="AY102"/>
      <c r="AZ102"/>
      <c r="BA102"/>
      <c r="BB102"/>
      <c r="BC102"/>
      <c r="BD102"/>
      <c r="BE102"/>
      <c r="BF102"/>
      <c r="BG102"/>
      <c r="BH102"/>
      <c r="BI102"/>
      <c r="BJ102"/>
      <c r="BK102"/>
      <c r="BL102"/>
      <c r="BM102"/>
      <c r="BN102"/>
      <c r="BO102"/>
      <c r="BP102"/>
      <c r="BQ102"/>
      <c r="BR102"/>
      <c r="BS102"/>
      <c r="BT102"/>
      <c r="BU102"/>
      <c r="BV102"/>
      <c r="BW102"/>
      <c r="BX102"/>
      <c r="BY102"/>
      <c r="BZ102"/>
      <c r="CA102"/>
      <c r="CB102"/>
      <c r="CC102"/>
    </row>
    <row r="103" spans="1:81" x14ac:dyDescent="0.25">
      <c r="A103"/>
      <c r="B103"/>
      <c r="C103"/>
      <c r="D103"/>
      <c r="E103"/>
      <c r="F103"/>
      <c r="G103"/>
      <c r="H103"/>
      <c r="I103"/>
      <c r="J103"/>
      <c r="K103"/>
      <c r="L103"/>
      <c r="M103"/>
      <c r="N103"/>
      <c r="O103"/>
      <c r="P103"/>
      <c r="Q103"/>
      <c r="R103"/>
      <c r="S103"/>
      <c r="T103"/>
      <c r="U103"/>
      <c r="V103"/>
      <c r="W103"/>
      <c r="X103"/>
      <c r="Y103"/>
      <c r="Z103"/>
      <c r="AA103"/>
      <c r="AB103"/>
      <c r="AC103"/>
      <c r="AD103"/>
      <c r="AE103"/>
      <c r="AF103"/>
      <c r="AG103"/>
      <c r="AH103"/>
      <c r="AI103"/>
      <c r="AJ103"/>
      <c r="AK103"/>
      <c r="AL103"/>
      <c r="AM103"/>
      <c r="AN103"/>
      <c r="AO103"/>
      <c r="AP103"/>
      <c r="AQ103"/>
      <c r="AR103"/>
      <c r="AS103"/>
      <c r="AT103"/>
      <c r="AU103"/>
      <c r="AV103"/>
      <c r="AW103"/>
      <c r="AX103"/>
      <c r="AY103"/>
      <c r="AZ103"/>
      <c r="BA103"/>
      <c r="BB103"/>
      <c r="BC103"/>
      <c r="BD103"/>
      <c r="BE103"/>
      <c r="BF103"/>
      <c r="BG103"/>
      <c r="BH103"/>
      <c r="BI103"/>
      <c r="BJ103"/>
      <c r="BK103"/>
      <c r="BL103"/>
      <c r="BM103"/>
      <c r="BN103"/>
      <c r="BO103"/>
      <c r="BP103"/>
      <c r="BQ103"/>
      <c r="BR103"/>
      <c r="BS103"/>
      <c r="BT103"/>
      <c r="BU103"/>
      <c r="BV103"/>
      <c r="BW103"/>
      <c r="BX103"/>
      <c r="BY103"/>
      <c r="BZ103"/>
      <c r="CA103"/>
      <c r="CB103"/>
      <c r="CC103"/>
    </row>
    <row r="104" spans="1:81" x14ac:dyDescent="0.25">
      <c r="A104"/>
      <c r="B104"/>
      <c r="C104"/>
      <c r="D104"/>
      <c r="E104"/>
      <c r="F104"/>
      <c r="G104"/>
      <c r="H104"/>
      <c r="I104"/>
      <c r="J104"/>
      <c r="K104"/>
      <c r="L104"/>
      <c r="M104"/>
      <c r="N104"/>
      <c r="O104"/>
      <c r="P104"/>
      <c r="Q104"/>
      <c r="R104"/>
      <c r="S104"/>
      <c r="T104"/>
      <c r="U104"/>
      <c r="V104"/>
      <c r="W104"/>
      <c r="X104"/>
      <c r="Y104"/>
      <c r="Z104"/>
      <c r="AA104"/>
      <c r="AB104"/>
      <c r="AC104"/>
      <c r="AD104"/>
      <c r="AE104"/>
      <c r="AF104"/>
      <c r="AG104"/>
      <c r="AH104"/>
      <c r="AI104"/>
      <c r="AJ104"/>
      <c r="AK104"/>
      <c r="AL104"/>
      <c r="AM104"/>
      <c r="AN104"/>
      <c r="AO104"/>
      <c r="AP104"/>
      <c r="AQ104"/>
      <c r="AR104"/>
      <c r="AS104"/>
      <c r="AT104"/>
      <c r="AU104"/>
      <c r="AV104"/>
      <c r="AW104"/>
      <c r="AX104"/>
      <c r="AY104"/>
      <c r="AZ104"/>
      <c r="BA104"/>
      <c r="BB104"/>
      <c r="BC104"/>
      <c r="BD104"/>
      <c r="BE104"/>
      <c r="BF104"/>
      <c r="BG104"/>
      <c r="BH104"/>
      <c r="BI104"/>
      <c r="BJ104"/>
      <c r="BK104"/>
      <c r="BL104"/>
      <c r="BM104"/>
      <c r="BN104"/>
      <c r="BO104"/>
      <c r="BP104"/>
      <c r="BQ104"/>
      <c r="BR104"/>
      <c r="BS104"/>
      <c r="BT104"/>
      <c r="BU104"/>
      <c r="BV104"/>
      <c r="BW104"/>
      <c r="BX104"/>
      <c r="BY104"/>
      <c r="BZ104"/>
      <c r="CA104"/>
      <c r="CB104"/>
      <c r="CC104"/>
    </row>
    <row r="105" spans="1:81" x14ac:dyDescent="0.25">
      <c r="A105"/>
      <c r="B105"/>
      <c r="C105"/>
      <c r="D105"/>
      <c r="E105"/>
      <c r="F105"/>
      <c r="G105"/>
      <c r="H105"/>
      <c r="I105"/>
      <c r="J105"/>
      <c r="K105"/>
      <c r="L105"/>
      <c r="M105"/>
      <c r="N105"/>
      <c r="O105"/>
      <c r="P105"/>
      <c r="Q105"/>
      <c r="R105"/>
      <c r="S105"/>
      <c r="T105"/>
      <c r="U105"/>
      <c r="V105"/>
      <c r="W105"/>
      <c r="X105"/>
      <c r="Y105"/>
      <c r="Z105"/>
      <c r="AA105"/>
      <c r="AB105"/>
      <c r="AC105"/>
      <c r="AD105"/>
      <c r="AE105"/>
      <c r="AF105"/>
      <c r="AG105"/>
      <c r="AH105"/>
      <c r="AI105"/>
      <c r="AJ105"/>
      <c r="AK105"/>
      <c r="AL105"/>
      <c r="AM105"/>
      <c r="AN105"/>
      <c r="AO105"/>
      <c r="AP105"/>
      <c r="AQ105"/>
      <c r="AR105"/>
      <c r="AS105"/>
      <c r="AT105"/>
      <c r="AU105"/>
      <c r="AV105"/>
      <c r="AW105"/>
      <c r="AX105"/>
      <c r="AY105"/>
      <c r="AZ105"/>
      <c r="BA105"/>
      <c r="BB105"/>
      <c r="BC105"/>
      <c r="BD105"/>
      <c r="BE105"/>
      <c r="BF105"/>
      <c r="BG105"/>
      <c r="BH105"/>
      <c r="BI105"/>
      <c r="BJ105"/>
      <c r="BK105"/>
      <c r="BL105"/>
      <c r="BM105"/>
      <c r="BN105"/>
      <c r="BO105"/>
      <c r="BP105"/>
      <c r="BQ105"/>
      <c r="BR105"/>
      <c r="BS105"/>
      <c r="BT105"/>
      <c r="BU105"/>
      <c r="BV105"/>
      <c r="BW105"/>
      <c r="BX105"/>
      <c r="BY105"/>
      <c r="BZ105"/>
      <c r="CA105"/>
      <c r="CB105"/>
      <c r="CC105"/>
    </row>
    <row r="106" spans="1:81" x14ac:dyDescent="0.25">
      <c r="A106"/>
      <c r="B106"/>
      <c r="C106"/>
      <c r="D106"/>
      <c r="E106"/>
      <c r="F106"/>
      <c r="G106"/>
      <c r="H106"/>
      <c r="I106"/>
      <c r="J106"/>
      <c r="K106"/>
      <c r="L106"/>
      <c r="M106"/>
      <c r="N106"/>
      <c r="O106"/>
      <c r="P106"/>
      <c r="Q106"/>
      <c r="R106"/>
      <c r="S106"/>
      <c r="T106"/>
      <c r="U106"/>
      <c r="V106"/>
      <c r="W106"/>
      <c r="X106"/>
      <c r="Y106"/>
      <c r="Z106"/>
      <c r="AA106"/>
      <c r="AB106"/>
      <c r="AC106"/>
      <c r="AD106"/>
      <c r="AE106"/>
      <c r="AF106"/>
      <c r="AG106"/>
      <c r="AH106"/>
      <c r="AI106"/>
      <c r="AJ106"/>
      <c r="AK106"/>
      <c r="AL106"/>
      <c r="AM106"/>
      <c r="AN106"/>
      <c r="AO106"/>
      <c r="AP106"/>
      <c r="AQ106"/>
      <c r="AR106"/>
      <c r="AS106"/>
      <c r="AT106"/>
      <c r="AU106"/>
      <c r="AV106"/>
      <c r="AW106"/>
      <c r="AX106"/>
      <c r="AY106"/>
      <c r="AZ106"/>
      <c r="BA106"/>
      <c r="BB106"/>
      <c r="BC106"/>
      <c r="BD106"/>
      <c r="BE106"/>
      <c r="BF106"/>
      <c r="BG106"/>
      <c r="BH106"/>
      <c r="BI106"/>
      <c r="BJ106"/>
      <c r="BK106"/>
      <c r="BL106"/>
      <c r="BM106"/>
      <c r="BN106"/>
      <c r="BO106"/>
      <c r="BP106"/>
      <c r="BQ106"/>
      <c r="BR106"/>
      <c r="BS106"/>
      <c r="BT106"/>
      <c r="BU106"/>
      <c r="BV106"/>
      <c r="BW106"/>
      <c r="BX106"/>
      <c r="BY106"/>
      <c r="BZ106"/>
      <c r="CA106"/>
      <c r="CB106"/>
      <c r="CC106"/>
    </row>
    <row r="107" spans="1:81" x14ac:dyDescent="0.25">
      <c r="A107"/>
      <c r="B107"/>
      <c r="C107"/>
      <c r="D107"/>
      <c r="E107"/>
      <c r="F107"/>
      <c r="G107"/>
      <c r="H107"/>
      <c r="I107"/>
      <c r="J107"/>
      <c r="K107"/>
      <c r="L107"/>
      <c r="M107"/>
      <c r="N107"/>
      <c r="O107"/>
      <c r="P107"/>
      <c r="Q107"/>
      <c r="R107"/>
      <c r="S107"/>
      <c r="T107"/>
      <c r="U107"/>
      <c r="V107"/>
      <c r="W107"/>
      <c r="X107"/>
      <c r="Y107"/>
      <c r="Z107"/>
      <c r="AA107"/>
      <c r="AB107"/>
      <c r="AC107"/>
      <c r="AD107"/>
      <c r="AE107"/>
      <c r="AF107"/>
      <c r="AG107"/>
      <c r="AH107"/>
      <c r="AI107"/>
      <c r="AJ107"/>
      <c r="AK107"/>
      <c r="AL107"/>
      <c r="AM107"/>
      <c r="AN107"/>
      <c r="AO107"/>
      <c r="AP107"/>
      <c r="AQ107"/>
      <c r="AR107"/>
      <c r="AS107"/>
      <c r="AT107"/>
      <c r="AU107"/>
      <c r="AV107"/>
      <c r="AW107"/>
      <c r="AX107"/>
      <c r="AY107"/>
      <c r="AZ107"/>
      <c r="BA107"/>
      <c r="BB107"/>
      <c r="BC107"/>
      <c r="BD107"/>
      <c r="BE107"/>
      <c r="BF107"/>
      <c r="BG107"/>
      <c r="BH107"/>
      <c r="BI107"/>
      <c r="BJ107"/>
      <c r="BK107"/>
      <c r="BL107"/>
      <c r="BM107"/>
      <c r="BN107"/>
      <c r="BO107"/>
      <c r="BP107"/>
      <c r="BQ107"/>
      <c r="BR107"/>
      <c r="BS107"/>
      <c r="BT107"/>
      <c r="BU107"/>
      <c r="BV107"/>
      <c r="BW107"/>
      <c r="BX107"/>
      <c r="BY107"/>
      <c r="BZ107"/>
      <c r="CA107"/>
      <c r="CB107"/>
      <c r="CC107"/>
    </row>
    <row r="108" spans="1:81" x14ac:dyDescent="0.25">
      <c r="A108"/>
      <c r="B108"/>
      <c r="C108"/>
      <c r="D108"/>
      <c r="E108"/>
      <c r="F108"/>
      <c r="G108"/>
      <c r="H108"/>
      <c r="I108"/>
      <c r="J108"/>
      <c r="K108"/>
      <c r="L108"/>
      <c r="M108"/>
      <c r="N108"/>
      <c r="O108"/>
      <c r="P108"/>
      <c r="Q108"/>
      <c r="R108"/>
      <c r="S108"/>
      <c r="T108"/>
      <c r="U108"/>
      <c r="V108"/>
      <c r="W108"/>
      <c r="X108"/>
      <c r="Y108"/>
      <c r="Z108"/>
      <c r="AA108"/>
      <c r="AB108"/>
      <c r="AC108"/>
      <c r="AD108"/>
      <c r="AE108"/>
      <c r="AF108"/>
      <c r="AG108"/>
      <c r="AH108"/>
      <c r="AI108"/>
      <c r="AJ108"/>
      <c r="AK108"/>
      <c r="AL108"/>
      <c r="AM108"/>
      <c r="AN108"/>
      <c r="AO108"/>
      <c r="AP108"/>
      <c r="AQ108"/>
      <c r="AR108"/>
      <c r="AS108"/>
      <c r="AT108"/>
      <c r="AU108"/>
      <c r="AV108"/>
      <c r="AW108"/>
      <c r="AX108"/>
      <c r="AY108"/>
      <c r="AZ108"/>
      <c r="BA108"/>
      <c r="BB108"/>
      <c r="BC108"/>
      <c r="BD108"/>
      <c r="BE108"/>
      <c r="BF108"/>
      <c r="BG108"/>
      <c r="BH108"/>
      <c r="BI108"/>
      <c r="BJ108"/>
      <c r="BK108"/>
      <c r="BL108"/>
      <c r="BM108"/>
      <c r="BN108"/>
      <c r="BO108"/>
      <c r="BP108"/>
      <c r="BQ108"/>
      <c r="BR108"/>
      <c r="BS108"/>
      <c r="BT108"/>
      <c r="BU108"/>
      <c r="BV108"/>
      <c r="BW108"/>
      <c r="BX108"/>
      <c r="BY108"/>
      <c r="BZ108"/>
      <c r="CA108"/>
      <c r="CB108"/>
      <c r="CC108"/>
    </row>
    <row r="109" spans="1:81" x14ac:dyDescent="0.25">
      <c r="A109"/>
      <c r="B109"/>
      <c r="C109"/>
      <c r="D109"/>
      <c r="E109"/>
      <c r="F109"/>
      <c r="G109"/>
      <c r="H109"/>
      <c r="I109"/>
      <c r="J109"/>
      <c r="K109"/>
      <c r="L109"/>
      <c r="M109"/>
      <c r="N109"/>
      <c r="O109"/>
      <c r="P109"/>
      <c r="Q109"/>
      <c r="R109"/>
      <c r="S109"/>
      <c r="T109"/>
      <c r="U109"/>
      <c r="V109"/>
      <c r="W109"/>
      <c r="X109"/>
      <c r="Y109"/>
      <c r="Z109"/>
      <c r="AA109"/>
      <c r="AB109"/>
      <c r="AC109"/>
      <c r="AD109"/>
      <c r="AE109"/>
      <c r="AF109"/>
      <c r="AG109"/>
      <c r="AH109"/>
      <c r="AI109"/>
      <c r="AJ109"/>
      <c r="AK109"/>
      <c r="AL109"/>
      <c r="AM109"/>
      <c r="AN109"/>
      <c r="AO109"/>
      <c r="AP109"/>
      <c r="AQ109"/>
      <c r="AR109"/>
      <c r="AS109"/>
      <c r="AT109"/>
      <c r="AU109"/>
      <c r="AV109"/>
      <c r="AW109"/>
      <c r="AX109"/>
      <c r="AY109"/>
      <c r="AZ109"/>
      <c r="BA109"/>
      <c r="BB109"/>
      <c r="BC109"/>
      <c r="BD109"/>
      <c r="BE109"/>
      <c r="BF109"/>
      <c r="BG109"/>
      <c r="BH109"/>
      <c r="BI109"/>
      <c r="BJ109"/>
      <c r="BK109"/>
      <c r="BL109"/>
      <c r="BM109"/>
      <c r="BN109"/>
      <c r="BO109"/>
      <c r="BP109"/>
      <c r="BQ109"/>
      <c r="BR109"/>
      <c r="BS109"/>
      <c r="BT109"/>
      <c r="BU109"/>
      <c r="BV109"/>
      <c r="BW109"/>
      <c r="BX109"/>
      <c r="BY109"/>
      <c r="BZ109"/>
      <c r="CA109"/>
      <c r="CB109"/>
      <c r="CC109"/>
    </row>
    <row r="110" spans="1:81" x14ac:dyDescent="0.25">
      <c r="A110"/>
      <c r="B110"/>
      <c r="C110"/>
      <c r="D110"/>
      <c r="E110"/>
      <c r="F110"/>
      <c r="G110"/>
      <c r="H110"/>
      <c r="I110"/>
      <c r="J110"/>
      <c r="K110"/>
      <c r="L110"/>
      <c r="M110"/>
      <c r="N110"/>
      <c r="O110"/>
      <c r="P110"/>
      <c r="Q110"/>
      <c r="R110"/>
      <c r="S110"/>
      <c r="T110"/>
      <c r="U110"/>
      <c r="V110"/>
      <c r="W110"/>
      <c r="X110"/>
      <c r="Y110"/>
      <c r="Z110"/>
      <c r="AA110"/>
      <c r="AB110"/>
      <c r="AC110"/>
      <c r="AD110"/>
      <c r="AE110"/>
      <c r="AF110"/>
      <c r="AG110"/>
      <c r="AH110"/>
      <c r="AI110"/>
      <c r="AJ110"/>
      <c r="AK110"/>
      <c r="AL110"/>
      <c r="AM110"/>
      <c r="AN110"/>
      <c r="AO110"/>
      <c r="AP110"/>
      <c r="AQ110"/>
      <c r="AR110"/>
      <c r="AS110"/>
      <c r="AT110"/>
      <c r="AU110"/>
      <c r="AV110"/>
      <c r="AW110"/>
      <c r="AX110"/>
      <c r="AY110"/>
      <c r="AZ110"/>
      <c r="BA110"/>
      <c r="BB110"/>
      <c r="BC110"/>
      <c r="BD110"/>
      <c r="BE110"/>
      <c r="BF110"/>
      <c r="BG110"/>
      <c r="BH110"/>
      <c r="BI110"/>
      <c r="BJ110"/>
      <c r="BK110"/>
      <c r="BL110"/>
      <c r="BM110"/>
      <c r="BN110"/>
      <c r="BO110"/>
      <c r="BP110"/>
      <c r="BQ110"/>
      <c r="BR110"/>
      <c r="BS110"/>
      <c r="BT110"/>
      <c r="BU110"/>
      <c r="BV110"/>
      <c r="BW110"/>
      <c r="BX110"/>
      <c r="BY110"/>
      <c r="BZ110"/>
      <c r="CA110"/>
      <c r="CB110"/>
      <c r="CC110"/>
    </row>
    <row r="111" spans="1:81" x14ac:dyDescent="0.25">
      <c r="A111"/>
      <c r="B111"/>
      <c r="C111"/>
      <c r="D111"/>
      <c r="E111"/>
      <c r="F111"/>
      <c r="G111"/>
      <c r="H111"/>
      <c r="I111"/>
      <c r="J111"/>
      <c r="K111"/>
      <c r="L111"/>
      <c r="M111"/>
      <c r="N111"/>
      <c r="O111"/>
      <c r="P111"/>
      <c r="Q111"/>
      <c r="R111"/>
      <c r="S111"/>
      <c r="T111"/>
      <c r="U111"/>
      <c r="V111"/>
      <c r="W111"/>
      <c r="X111"/>
      <c r="Y111"/>
      <c r="Z111"/>
      <c r="AA111"/>
      <c r="AB111"/>
      <c r="AC111"/>
      <c r="AD111"/>
      <c r="AE111"/>
      <c r="AF111"/>
      <c r="AG111"/>
      <c r="AH111"/>
      <c r="AI111"/>
      <c r="AJ111"/>
      <c r="AK111"/>
      <c r="AL111"/>
      <c r="AM111"/>
      <c r="AN111"/>
      <c r="AO111"/>
      <c r="AP111"/>
      <c r="AQ111"/>
      <c r="AR111"/>
      <c r="AS111"/>
      <c r="AT111"/>
      <c r="AU111"/>
      <c r="AV111"/>
      <c r="AW111"/>
      <c r="AX111"/>
      <c r="AY111"/>
      <c r="AZ111"/>
      <c r="BA111"/>
      <c r="BB111"/>
      <c r="BC111"/>
      <c r="BD111"/>
      <c r="BE111"/>
      <c r="BF111"/>
      <c r="BG111"/>
      <c r="BH111"/>
      <c r="BI111"/>
      <c r="BJ111"/>
      <c r="BK111"/>
      <c r="BL111"/>
      <c r="BM111"/>
      <c r="BN111"/>
      <c r="BO111"/>
      <c r="BP111"/>
      <c r="BQ111"/>
      <c r="BR111"/>
      <c r="BS111"/>
      <c r="BT111"/>
      <c r="BU111"/>
      <c r="BV111"/>
      <c r="BW111"/>
      <c r="BX111"/>
      <c r="BY111"/>
      <c r="BZ111"/>
      <c r="CA111"/>
      <c r="CB111"/>
      <c r="CC111"/>
    </row>
    <row r="112" spans="1:81" x14ac:dyDescent="0.25">
      <c r="A112"/>
      <c r="B112"/>
      <c r="C112"/>
      <c r="D112"/>
      <c r="E112"/>
      <c r="F112"/>
      <c r="G112"/>
      <c r="H112"/>
      <c r="I112"/>
      <c r="J112"/>
      <c r="K112"/>
      <c r="L112"/>
      <c r="M112"/>
      <c r="N112"/>
      <c r="O112"/>
      <c r="P112"/>
      <c r="Q112"/>
      <c r="R112"/>
      <c r="S112"/>
      <c r="T112"/>
      <c r="U112"/>
      <c r="V112"/>
      <c r="W112"/>
      <c r="X112"/>
      <c r="Y112"/>
      <c r="Z112"/>
      <c r="AA112"/>
      <c r="AB112"/>
      <c r="AC112"/>
      <c r="AD112"/>
      <c r="AE112"/>
      <c r="AF112"/>
      <c r="AG112"/>
      <c r="AH112"/>
      <c r="AI112"/>
      <c r="AJ112"/>
      <c r="AK112"/>
      <c r="AL112"/>
      <c r="AM112"/>
      <c r="AN112"/>
      <c r="AO112"/>
      <c r="AP112"/>
      <c r="AQ112"/>
      <c r="AR112"/>
      <c r="AS112"/>
      <c r="AT112"/>
      <c r="AU112"/>
      <c r="AV112"/>
      <c r="AW112"/>
      <c r="AX112"/>
      <c r="AY112"/>
      <c r="AZ112"/>
      <c r="BA112"/>
      <c r="BB112"/>
      <c r="BC112"/>
      <c r="BD112"/>
      <c r="BE112"/>
      <c r="BF112"/>
      <c r="BG112"/>
      <c r="BH112"/>
      <c r="BI112"/>
      <c r="BJ112"/>
      <c r="BK112"/>
      <c r="BL112"/>
      <c r="BM112"/>
      <c r="BN112"/>
      <c r="BO112"/>
      <c r="BP112"/>
      <c r="BQ112"/>
      <c r="BR112"/>
      <c r="BS112"/>
      <c r="BT112"/>
      <c r="BU112"/>
      <c r="BV112"/>
      <c r="BW112"/>
      <c r="BX112"/>
      <c r="BY112"/>
      <c r="BZ112"/>
      <c r="CA112"/>
      <c r="CB112"/>
      <c r="CC112"/>
    </row>
    <row r="113" spans="1:81" x14ac:dyDescent="0.25">
      <c r="A113"/>
      <c r="B113"/>
      <c r="C113"/>
      <c r="D113"/>
      <c r="E113"/>
      <c r="F113"/>
      <c r="G113"/>
      <c r="H113"/>
      <c r="I113"/>
      <c r="J113"/>
      <c r="K113"/>
      <c r="L113"/>
      <c r="M113"/>
      <c r="N113"/>
      <c r="O113"/>
      <c r="P113"/>
      <c r="Q113"/>
      <c r="R113"/>
      <c r="S113"/>
      <c r="T113"/>
      <c r="U113"/>
      <c r="V113"/>
      <c r="W113"/>
      <c r="X113"/>
      <c r="Y113"/>
      <c r="Z113"/>
      <c r="AA113"/>
      <c r="AB113"/>
      <c r="AC113"/>
      <c r="AD113"/>
      <c r="AE113"/>
      <c r="AF113"/>
      <c r="AG113"/>
      <c r="AH113"/>
      <c r="AI113"/>
      <c r="AJ113"/>
      <c r="AK113"/>
      <c r="AL113"/>
      <c r="AM113"/>
      <c r="AN113"/>
      <c r="AO113"/>
      <c r="AP113"/>
      <c r="AQ113"/>
      <c r="AR113"/>
      <c r="AS113"/>
      <c r="AT113"/>
      <c r="AU113"/>
      <c r="AV113"/>
      <c r="AW113"/>
      <c r="AX113"/>
      <c r="AY113"/>
      <c r="AZ113"/>
      <c r="BA113"/>
      <c r="BB113"/>
      <c r="BC113"/>
      <c r="BD113"/>
      <c r="BE113"/>
      <c r="BF113"/>
      <c r="BG113"/>
      <c r="BH113"/>
      <c r="BI113"/>
      <c r="BJ113"/>
      <c r="BK113"/>
      <c r="BL113"/>
      <c r="BM113"/>
      <c r="BN113"/>
      <c r="BO113"/>
      <c r="BP113"/>
      <c r="BQ113"/>
      <c r="BR113"/>
      <c r="BS113"/>
      <c r="BT113"/>
      <c r="BU113"/>
      <c r="BV113"/>
      <c r="BW113"/>
      <c r="BX113"/>
      <c r="BY113"/>
      <c r="BZ113"/>
      <c r="CA113"/>
      <c r="CB113"/>
      <c r="CC113"/>
    </row>
    <row r="114" spans="1:81" x14ac:dyDescent="0.25">
      <c r="A114"/>
      <c r="B114"/>
      <c r="C114"/>
      <c r="D114"/>
      <c r="E114"/>
      <c r="F114"/>
      <c r="G114"/>
      <c r="H114"/>
      <c r="I114"/>
      <c r="J114"/>
      <c r="K114"/>
      <c r="L114"/>
      <c r="M114"/>
      <c r="N114"/>
      <c r="O114"/>
      <c r="P114"/>
      <c r="Q114"/>
      <c r="R114"/>
      <c r="S114"/>
      <c r="T114"/>
      <c r="U114"/>
      <c r="V114"/>
      <c r="W114"/>
      <c r="X114"/>
      <c r="Y114"/>
      <c r="Z114"/>
      <c r="AA114"/>
      <c r="AB114"/>
      <c r="AC114"/>
      <c r="AD114"/>
      <c r="AE114"/>
      <c r="AF114"/>
      <c r="AG114"/>
      <c r="AH114"/>
      <c r="AI114"/>
      <c r="AJ114"/>
      <c r="AK114"/>
      <c r="AL114"/>
      <c r="AM114"/>
      <c r="AN114"/>
      <c r="AO114"/>
      <c r="AP114"/>
      <c r="AQ114"/>
      <c r="AR114"/>
      <c r="AS114"/>
      <c r="AT114"/>
      <c r="AU114"/>
      <c r="AV114"/>
      <c r="AW114"/>
      <c r="AX114"/>
      <c r="AY114"/>
      <c r="AZ114"/>
      <c r="BA114"/>
      <c r="BB114"/>
      <c r="BC114"/>
      <c r="BD114"/>
      <c r="BE114"/>
      <c r="BF114"/>
      <c r="BG114"/>
      <c r="BH114"/>
      <c r="BI114"/>
      <c r="BJ114"/>
      <c r="BK114"/>
      <c r="BL114"/>
      <c r="BM114"/>
      <c r="BN114"/>
      <c r="BO114"/>
      <c r="BP114"/>
      <c r="BQ114"/>
      <c r="BR114"/>
      <c r="BS114"/>
      <c r="BT114"/>
      <c r="BU114"/>
      <c r="BV114"/>
      <c r="BW114"/>
      <c r="BX114"/>
      <c r="BY114"/>
      <c r="BZ114"/>
      <c r="CA114"/>
      <c r="CB114"/>
      <c r="CC114"/>
    </row>
    <row r="115" spans="1:81" x14ac:dyDescent="0.25">
      <c r="A115"/>
      <c r="B115"/>
      <c r="C115"/>
      <c r="D115"/>
      <c r="E115"/>
      <c r="F115"/>
      <c r="G115"/>
      <c r="H115"/>
      <c r="I115"/>
      <c r="J115"/>
      <c r="K115"/>
      <c r="L115"/>
      <c r="M115"/>
      <c r="N115"/>
      <c r="O115"/>
      <c r="P115"/>
      <c r="Q115"/>
      <c r="R115"/>
      <c r="S115"/>
      <c r="T115"/>
      <c r="U115"/>
      <c r="V115"/>
      <c r="W115"/>
      <c r="X115"/>
      <c r="Y115"/>
      <c r="Z115"/>
      <c r="AA115"/>
      <c r="AB115"/>
      <c r="AC115"/>
      <c r="AD115"/>
      <c r="AE115"/>
      <c r="AF115"/>
      <c r="AG115"/>
      <c r="AH115"/>
      <c r="AI115"/>
      <c r="AJ115"/>
      <c r="AK115"/>
      <c r="AL115"/>
      <c r="AM115"/>
      <c r="AN115"/>
      <c r="AO115"/>
      <c r="AP115"/>
      <c r="AQ115"/>
      <c r="AR115"/>
      <c r="AS115"/>
      <c r="AT115"/>
      <c r="AU115"/>
      <c r="AV115"/>
      <c r="AW115"/>
      <c r="AX115"/>
      <c r="AY115"/>
      <c r="AZ115"/>
      <c r="BA115"/>
      <c r="BB115"/>
      <c r="BC115"/>
      <c r="BD115"/>
      <c r="BE115"/>
      <c r="BF115"/>
      <c r="BG115"/>
      <c r="BH115"/>
      <c r="BI115"/>
      <c r="BJ115"/>
      <c r="BK115"/>
      <c r="BL115"/>
      <c r="BM115"/>
      <c r="BN115"/>
      <c r="BO115"/>
      <c r="BP115"/>
      <c r="BQ115"/>
      <c r="BR115"/>
      <c r="BS115"/>
      <c r="BT115"/>
      <c r="BU115"/>
      <c r="BV115"/>
      <c r="BW115"/>
      <c r="BX115"/>
      <c r="BY115"/>
      <c r="BZ115"/>
      <c r="CA115"/>
      <c r="CB115"/>
      <c r="CC115"/>
    </row>
    <row r="116" spans="1:81" x14ac:dyDescent="0.25">
      <c r="A116"/>
      <c r="B116"/>
      <c r="C116"/>
      <c r="D116"/>
      <c r="E116"/>
      <c r="F116"/>
      <c r="G116"/>
      <c r="H116"/>
      <c r="I116"/>
      <c r="J116"/>
      <c r="K116"/>
      <c r="L116"/>
      <c r="M116"/>
      <c r="N116"/>
      <c r="O116"/>
      <c r="P116"/>
      <c r="Q116"/>
      <c r="R116"/>
      <c r="S116"/>
      <c r="T116"/>
      <c r="U116"/>
      <c r="V116"/>
      <c r="W116"/>
      <c r="X116"/>
      <c r="Y116"/>
      <c r="Z116"/>
      <c r="AA116"/>
      <c r="AB116"/>
      <c r="AC116"/>
      <c r="AD116"/>
      <c r="AE116"/>
      <c r="AF116"/>
      <c r="AG116"/>
      <c r="AH116"/>
      <c r="AI116"/>
      <c r="AJ116"/>
      <c r="AK116"/>
      <c r="AL116"/>
      <c r="AM116"/>
      <c r="AN116"/>
      <c r="AO116"/>
      <c r="AP116"/>
      <c r="AQ116"/>
      <c r="AR116"/>
      <c r="AS116"/>
      <c r="AT116"/>
      <c r="AU116"/>
      <c r="AV116"/>
      <c r="AW116"/>
      <c r="AX116"/>
      <c r="AY116"/>
      <c r="AZ116"/>
      <c r="BA116"/>
      <c r="BB116"/>
      <c r="BC116"/>
      <c r="BD116"/>
      <c r="BE116"/>
      <c r="BF116"/>
      <c r="BG116"/>
      <c r="BH116"/>
      <c r="BI116"/>
      <c r="BJ116"/>
      <c r="BK116"/>
      <c r="BL116"/>
      <c r="BM116"/>
      <c r="BN116"/>
      <c r="BO116"/>
      <c r="BP116"/>
      <c r="BQ116"/>
      <c r="BR116"/>
      <c r="BS116"/>
      <c r="BT116"/>
      <c r="BU116"/>
      <c r="BV116"/>
      <c r="BW116"/>
      <c r="BX116"/>
      <c r="BY116"/>
      <c r="BZ116"/>
      <c r="CA116"/>
      <c r="CB116"/>
      <c r="CC116"/>
    </row>
    <row r="117" spans="1:81" x14ac:dyDescent="0.25">
      <c r="A117"/>
      <c r="B117"/>
      <c r="C117"/>
      <c r="D117"/>
      <c r="E117"/>
      <c r="F117"/>
      <c r="G117"/>
      <c r="H117"/>
      <c r="I117"/>
      <c r="J117"/>
      <c r="K117"/>
      <c r="L117"/>
      <c r="M117"/>
      <c r="N117"/>
      <c r="O117"/>
      <c r="P117"/>
      <c r="Q117"/>
      <c r="R117"/>
      <c r="S117"/>
      <c r="T117"/>
      <c r="U117"/>
      <c r="V117"/>
      <c r="W117"/>
      <c r="X117"/>
      <c r="Y117"/>
      <c r="Z117"/>
      <c r="AA117"/>
      <c r="AB117"/>
      <c r="AC117"/>
      <c r="AD117"/>
      <c r="AE117"/>
      <c r="AF117"/>
      <c r="AG117"/>
      <c r="AH117"/>
      <c r="AI117"/>
      <c r="AJ117"/>
      <c r="AK117"/>
      <c r="AL117"/>
      <c r="AM117"/>
      <c r="AN117"/>
      <c r="AO117"/>
      <c r="AP117"/>
      <c r="AQ117"/>
      <c r="AR117"/>
      <c r="AS117"/>
      <c r="AT117"/>
      <c r="AU117"/>
      <c r="AV117"/>
      <c r="AW117"/>
      <c r="AX117"/>
      <c r="AY117"/>
      <c r="AZ117"/>
      <c r="BA117"/>
      <c r="BB117"/>
      <c r="BC117"/>
      <c r="BD117"/>
      <c r="BE117"/>
      <c r="BF117"/>
      <c r="BG117"/>
      <c r="BH117"/>
      <c r="BI117"/>
      <c r="BJ117"/>
      <c r="BK117"/>
      <c r="BL117"/>
      <c r="BM117"/>
      <c r="BN117"/>
      <c r="BO117"/>
      <c r="BP117"/>
      <c r="BQ117"/>
      <c r="BR117"/>
      <c r="BS117"/>
      <c r="BT117"/>
      <c r="BU117"/>
      <c r="BV117"/>
      <c r="BW117"/>
      <c r="BX117"/>
      <c r="BY117"/>
      <c r="BZ117"/>
      <c r="CA117"/>
      <c r="CB117"/>
      <c r="CC117"/>
    </row>
    <row r="118" spans="1:81" x14ac:dyDescent="0.25">
      <c r="A118"/>
      <c r="B118"/>
      <c r="C118"/>
      <c r="D118"/>
      <c r="E118"/>
      <c r="F118"/>
      <c r="G118"/>
      <c r="H118"/>
      <c r="I118"/>
      <c r="J118"/>
      <c r="K118"/>
      <c r="L118"/>
      <c r="M118"/>
      <c r="N118"/>
      <c r="O118"/>
      <c r="P118"/>
      <c r="Q118"/>
      <c r="R118"/>
      <c r="S118"/>
      <c r="T118"/>
      <c r="U118"/>
      <c r="V118"/>
      <c r="W118"/>
      <c r="X118"/>
      <c r="Y118"/>
      <c r="Z118"/>
      <c r="AA118"/>
      <c r="AB118"/>
      <c r="AC118"/>
      <c r="AD118"/>
      <c r="AE118"/>
      <c r="AF118"/>
      <c r="AG118"/>
      <c r="AH118"/>
      <c r="AI118"/>
      <c r="AJ118"/>
      <c r="AK118"/>
      <c r="AL118"/>
      <c r="AM118"/>
      <c r="AN118"/>
      <c r="AO118"/>
      <c r="AP118"/>
      <c r="AQ118"/>
      <c r="AR118"/>
      <c r="AS118"/>
      <c r="AT118"/>
      <c r="AU118"/>
      <c r="AV118"/>
      <c r="AW118"/>
      <c r="AX118"/>
      <c r="AY118"/>
      <c r="AZ118"/>
      <c r="BA118"/>
      <c r="BB118"/>
      <c r="BC118"/>
      <c r="BD118"/>
      <c r="BE118"/>
      <c r="BF118"/>
      <c r="BG118"/>
      <c r="BH118"/>
      <c r="BI118"/>
      <c r="BJ118"/>
      <c r="BK118"/>
      <c r="BL118"/>
      <c r="BM118"/>
      <c r="BN118"/>
      <c r="BO118"/>
      <c r="BP118"/>
      <c r="BQ118"/>
      <c r="BR118"/>
      <c r="BS118"/>
      <c r="BT118"/>
      <c r="BU118"/>
      <c r="BV118"/>
      <c r="BW118"/>
      <c r="BX118"/>
      <c r="BY118"/>
      <c r="BZ118"/>
      <c r="CA118"/>
      <c r="CB118"/>
      <c r="CC118"/>
    </row>
    <row r="119" spans="1:81" x14ac:dyDescent="0.25">
      <c r="A119"/>
      <c r="B119"/>
      <c r="C119"/>
      <c r="D119"/>
      <c r="E119"/>
      <c r="F119"/>
      <c r="G119"/>
      <c r="H119"/>
      <c r="I119"/>
      <c r="J119"/>
      <c r="K119"/>
      <c r="L119"/>
      <c r="M119"/>
      <c r="N119"/>
      <c r="O119"/>
      <c r="P119"/>
      <c r="Q119"/>
      <c r="R119"/>
      <c r="S119"/>
      <c r="T119"/>
      <c r="U119"/>
      <c r="V119"/>
      <c r="W119"/>
      <c r="X119"/>
      <c r="Y119"/>
      <c r="Z119"/>
      <c r="AA119"/>
      <c r="AB119"/>
      <c r="AC119"/>
      <c r="AD119"/>
      <c r="AE119"/>
      <c r="AF119"/>
      <c r="AG119"/>
      <c r="AH119"/>
      <c r="AI119"/>
      <c r="AJ119"/>
      <c r="AK119"/>
      <c r="AL119"/>
      <c r="AM119"/>
      <c r="AN119"/>
      <c r="AO119"/>
      <c r="AP119"/>
      <c r="AQ119"/>
      <c r="AR119"/>
      <c r="AS119"/>
      <c r="AT119"/>
      <c r="AU119"/>
      <c r="AV119"/>
      <c r="AW119"/>
      <c r="AX119"/>
      <c r="AY119"/>
      <c r="AZ119"/>
      <c r="BA119"/>
      <c r="BB119"/>
      <c r="BC119"/>
      <c r="BD119"/>
      <c r="BE119"/>
      <c r="BF119"/>
      <c r="BG119"/>
      <c r="BH119"/>
      <c r="BI119"/>
      <c r="BJ119"/>
      <c r="BK119"/>
      <c r="BL119"/>
      <c r="BM119"/>
      <c r="BN119"/>
      <c r="BO119"/>
      <c r="BP119"/>
      <c r="BQ119"/>
      <c r="BR119"/>
      <c r="BS119"/>
      <c r="BT119"/>
      <c r="BU119"/>
      <c r="BV119"/>
      <c r="BW119"/>
      <c r="BX119"/>
      <c r="BY119"/>
      <c r="BZ119"/>
      <c r="CA119"/>
      <c r="CB119"/>
      <c r="CC119"/>
    </row>
    <row r="120" spans="1:81" x14ac:dyDescent="0.25">
      <c r="A120"/>
      <c r="B120"/>
      <c r="C120"/>
      <c r="D120"/>
      <c r="E120"/>
      <c r="F120"/>
      <c r="G120"/>
      <c r="H120"/>
      <c r="I120"/>
      <c r="J120"/>
      <c r="K120"/>
      <c r="L120"/>
      <c r="M120"/>
      <c r="N120"/>
      <c r="O120"/>
      <c r="P120"/>
      <c r="Q120"/>
      <c r="R120"/>
      <c r="S120"/>
      <c r="T120"/>
      <c r="U120"/>
      <c r="V120"/>
      <c r="W120"/>
      <c r="X120"/>
      <c r="Y120"/>
      <c r="Z120"/>
      <c r="AA120"/>
      <c r="AB120"/>
      <c r="AC120"/>
      <c r="AD120"/>
      <c r="AE120"/>
      <c r="AF120"/>
      <c r="AG120"/>
      <c r="AH120"/>
      <c r="AI120"/>
      <c r="AJ120"/>
      <c r="AK120"/>
      <c r="AL120"/>
      <c r="AM120"/>
      <c r="AN120"/>
      <c r="AO120"/>
      <c r="AP120"/>
      <c r="AQ120"/>
      <c r="AR120"/>
      <c r="AS120"/>
      <c r="AT120"/>
      <c r="AU120"/>
      <c r="AV120"/>
      <c r="AW120"/>
      <c r="AX120"/>
      <c r="AY120"/>
      <c r="AZ120"/>
      <c r="BA120"/>
      <c r="BB120"/>
      <c r="BC120"/>
      <c r="BD120"/>
      <c r="BE120"/>
      <c r="BF120"/>
      <c r="BG120"/>
      <c r="BH120"/>
      <c r="BI120"/>
      <c r="BJ120"/>
      <c r="BK120"/>
      <c r="BL120"/>
      <c r="BM120"/>
      <c r="BN120"/>
      <c r="BO120"/>
      <c r="BP120"/>
      <c r="BQ120"/>
      <c r="BR120"/>
      <c r="BS120"/>
      <c r="BT120"/>
      <c r="BU120"/>
      <c r="BV120"/>
      <c r="BW120"/>
      <c r="BX120"/>
      <c r="BY120"/>
      <c r="BZ120"/>
      <c r="CA120"/>
      <c r="CB120"/>
      <c r="CC120"/>
    </row>
    <row r="121" spans="1:81" x14ac:dyDescent="0.25">
      <c r="A121"/>
      <c r="B121"/>
      <c r="C121"/>
      <c r="D121"/>
      <c r="E121"/>
      <c r="F121"/>
      <c r="G121"/>
      <c r="H121"/>
      <c r="I121"/>
      <c r="J121"/>
      <c r="K121"/>
      <c r="L121"/>
      <c r="M121"/>
      <c r="N121"/>
      <c r="O121"/>
      <c r="P121"/>
      <c r="Q121"/>
      <c r="R121"/>
      <c r="S121"/>
      <c r="T121"/>
      <c r="U121"/>
      <c r="V121"/>
      <c r="W121"/>
      <c r="X121"/>
      <c r="Y121"/>
      <c r="Z121"/>
      <c r="AA121"/>
      <c r="AB121"/>
      <c r="AC121"/>
      <c r="AD121"/>
      <c r="AE121"/>
      <c r="AF121"/>
      <c r="AG121"/>
      <c r="AH121"/>
      <c r="AI121"/>
      <c r="AJ121"/>
      <c r="AK121"/>
      <c r="AL121"/>
      <c r="AM121"/>
      <c r="AN121"/>
      <c r="AO121"/>
      <c r="AP121"/>
      <c r="AQ121"/>
      <c r="AR121"/>
      <c r="AS121"/>
      <c r="AT121"/>
      <c r="AU121"/>
      <c r="AV121"/>
      <c r="AW121"/>
      <c r="AX121"/>
      <c r="AY121"/>
      <c r="AZ121"/>
      <c r="BA121"/>
      <c r="BB121"/>
      <c r="BC121"/>
      <c r="BD121"/>
      <c r="BE121"/>
      <c r="BF121"/>
      <c r="BG121"/>
      <c r="BH121"/>
      <c r="BI121"/>
      <c r="BJ121"/>
      <c r="BK121"/>
      <c r="BL121"/>
      <c r="BM121"/>
      <c r="BN121"/>
      <c r="BO121"/>
      <c r="BP121"/>
      <c r="BQ121"/>
      <c r="BR121"/>
      <c r="BS121"/>
      <c r="BT121"/>
      <c r="BU121"/>
      <c r="BV121"/>
      <c r="BW121"/>
      <c r="BX121"/>
      <c r="BY121"/>
      <c r="BZ121"/>
      <c r="CA121"/>
      <c r="CB121"/>
      <c r="CC121"/>
    </row>
    <row r="122" spans="1:81" x14ac:dyDescent="0.25">
      <c r="A122"/>
      <c r="B122"/>
      <c r="C122"/>
      <c r="D122"/>
      <c r="E122"/>
      <c r="F122"/>
      <c r="G122"/>
      <c r="H122"/>
      <c r="I122"/>
      <c r="J122"/>
      <c r="K122"/>
      <c r="L122"/>
      <c r="M122"/>
      <c r="N122"/>
      <c r="O122"/>
      <c r="P122"/>
      <c r="Q122"/>
      <c r="R122"/>
      <c r="S122"/>
      <c r="T122"/>
      <c r="U122"/>
      <c r="V122"/>
      <c r="W122"/>
      <c r="X122"/>
      <c r="Y122"/>
      <c r="Z122"/>
      <c r="AA122"/>
      <c r="AB122"/>
      <c r="AC122"/>
      <c r="AD122"/>
      <c r="AE122"/>
      <c r="AF122"/>
      <c r="AG122"/>
      <c r="AH122"/>
      <c r="AI122"/>
      <c r="AJ122"/>
      <c r="AK122"/>
      <c r="AL122"/>
      <c r="AM122"/>
      <c r="AN122"/>
      <c r="AO122"/>
      <c r="AP122"/>
      <c r="AQ122"/>
      <c r="AR122"/>
      <c r="AS122"/>
      <c r="AT122"/>
      <c r="AU122"/>
      <c r="AV122"/>
      <c r="AW122"/>
      <c r="AX122"/>
      <c r="AY122"/>
      <c r="AZ122"/>
      <c r="BA122"/>
      <c r="BB122"/>
      <c r="BC122"/>
      <c r="BD122"/>
      <c r="BE122"/>
      <c r="BF122"/>
      <c r="BG122"/>
      <c r="BH122"/>
      <c r="BI122"/>
      <c r="BJ122"/>
      <c r="BK122"/>
      <c r="BL122"/>
      <c r="BM122"/>
      <c r="BN122"/>
      <c r="BO122"/>
      <c r="BP122"/>
      <c r="BQ122"/>
      <c r="BR122"/>
      <c r="BS122"/>
      <c r="BT122"/>
      <c r="BU122"/>
      <c r="BV122"/>
      <c r="BW122"/>
      <c r="BX122"/>
      <c r="BY122"/>
      <c r="BZ122"/>
      <c r="CA122"/>
      <c r="CB122"/>
      <c r="CC122"/>
    </row>
    <row r="123" spans="1:81" x14ac:dyDescent="0.25">
      <c r="A123"/>
      <c r="B123"/>
      <c r="C123"/>
      <c r="D123"/>
      <c r="E123"/>
      <c r="F123"/>
      <c r="G123"/>
      <c r="H123"/>
      <c r="I123"/>
      <c r="J123"/>
      <c r="K123"/>
      <c r="L123"/>
      <c r="M123"/>
      <c r="N123"/>
      <c r="O123"/>
      <c r="P123"/>
      <c r="Q123"/>
      <c r="R123"/>
      <c r="S123"/>
      <c r="T123"/>
      <c r="U123"/>
      <c r="V123"/>
      <c r="W123"/>
      <c r="X123"/>
      <c r="Y123"/>
      <c r="Z123"/>
      <c r="AA123"/>
      <c r="AB123"/>
      <c r="AC123"/>
      <c r="AD123"/>
      <c r="AE123"/>
      <c r="AF123"/>
      <c r="AG123"/>
      <c r="AH123"/>
      <c r="AI123"/>
      <c r="AJ123"/>
      <c r="AK123"/>
      <c r="AL123"/>
      <c r="AM123"/>
      <c r="AN123"/>
      <c r="AO123"/>
      <c r="AP123"/>
      <c r="AQ123"/>
      <c r="AR123"/>
      <c r="AS123"/>
      <c r="AT123"/>
      <c r="AU123"/>
      <c r="AV123"/>
      <c r="AW123"/>
      <c r="AX123"/>
      <c r="AY123"/>
      <c r="AZ123"/>
      <c r="BA123"/>
      <c r="BB123"/>
      <c r="BC123"/>
      <c r="BD123"/>
      <c r="BE123"/>
      <c r="BF123"/>
      <c r="BG123"/>
      <c r="BH123"/>
      <c r="BI123"/>
      <c r="BJ123"/>
      <c r="BK123"/>
      <c r="BL123"/>
      <c r="BM123"/>
      <c r="BN123"/>
      <c r="BO123"/>
      <c r="BP123"/>
      <c r="BQ123"/>
      <c r="BR123"/>
      <c r="BS123"/>
      <c r="BT123"/>
      <c r="BU123"/>
      <c r="BV123"/>
      <c r="BW123"/>
      <c r="BX123"/>
      <c r="BY123"/>
      <c r="BZ123"/>
      <c r="CA123"/>
      <c r="CB123"/>
      <c r="CC123"/>
    </row>
    <row r="124" spans="1:81" x14ac:dyDescent="0.25">
      <c r="A124"/>
      <c r="B124"/>
      <c r="C124"/>
      <c r="D124"/>
      <c r="E124"/>
      <c r="F124"/>
      <c r="G124"/>
      <c r="H124"/>
      <c r="I124"/>
      <c r="J124"/>
      <c r="K124"/>
      <c r="L124"/>
      <c r="M124"/>
      <c r="N124"/>
      <c r="O124"/>
      <c r="P124"/>
      <c r="Q124"/>
      <c r="R124"/>
      <c r="S124"/>
      <c r="T124"/>
      <c r="U124"/>
      <c r="V124"/>
      <c r="W124"/>
      <c r="X124"/>
      <c r="Y124"/>
      <c r="Z124"/>
      <c r="AA124"/>
      <c r="AB124"/>
      <c r="AC124"/>
      <c r="AD124"/>
      <c r="AE124"/>
      <c r="AF124"/>
      <c r="AG124"/>
      <c r="AH124"/>
      <c r="AI124"/>
      <c r="AJ124"/>
      <c r="AK124"/>
      <c r="AL124"/>
      <c r="AM124"/>
      <c r="AN124"/>
      <c r="AO124"/>
      <c r="AP124"/>
      <c r="AQ124"/>
      <c r="AR124"/>
      <c r="AS124"/>
      <c r="AT124"/>
      <c r="AU124"/>
      <c r="AV124"/>
      <c r="AW124"/>
      <c r="AX124"/>
      <c r="AY124"/>
      <c r="AZ124"/>
      <c r="BA124"/>
      <c r="BB124"/>
      <c r="BC124"/>
      <c r="BD124"/>
      <c r="BE124"/>
      <c r="BF124"/>
      <c r="BG124"/>
      <c r="BH124"/>
      <c r="BI124"/>
      <c r="BJ124"/>
      <c r="BK124"/>
      <c r="BL124"/>
      <c r="BM124"/>
      <c r="BN124"/>
      <c r="BO124"/>
      <c r="BP124"/>
      <c r="BQ124"/>
      <c r="BR124"/>
      <c r="BS124"/>
      <c r="BT124"/>
      <c r="BU124"/>
      <c r="BV124"/>
      <c r="BW124"/>
      <c r="BX124"/>
      <c r="BY124"/>
      <c r="BZ124"/>
      <c r="CA124"/>
      <c r="CB124"/>
      <c r="CC124"/>
    </row>
    <row r="125" spans="1:81" x14ac:dyDescent="0.25">
      <c r="A125"/>
      <c r="B125"/>
      <c r="C125"/>
      <c r="D125"/>
      <c r="E125"/>
      <c r="F125"/>
      <c r="G125"/>
      <c r="H125"/>
      <c r="I125"/>
      <c r="J125"/>
      <c r="K125"/>
      <c r="L125"/>
      <c r="M125"/>
      <c r="N125"/>
      <c r="O125"/>
      <c r="P125"/>
      <c r="Q125"/>
      <c r="R125"/>
      <c r="S125"/>
      <c r="T125"/>
      <c r="U125"/>
      <c r="V125"/>
      <c r="W125"/>
      <c r="X125"/>
      <c r="Y125"/>
      <c r="Z125"/>
      <c r="AA125"/>
      <c r="AB125"/>
      <c r="AC125"/>
      <c r="AD125"/>
      <c r="AE125"/>
      <c r="AF125"/>
      <c r="AG125"/>
      <c r="AH125"/>
      <c r="AI125"/>
      <c r="AJ125"/>
      <c r="AK125"/>
      <c r="AL125"/>
      <c r="AM125"/>
      <c r="AN125"/>
      <c r="AO125"/>
      <c r="AP125"/>
      <c r="AQ125"/>
      <c r="AR125"/>
      <c r="AS125"/>
      <c r="AT125"/>
      <c r="AU125"/>
      <c r="AV125"/>
      <c r="AW125"/>
      <c r="AX125"/>
      <c r="AY125"/>
      <c r="AZ125"/>
      <c r="BA125"/>
      <c r="BB125"/>
      <c r="BC125"/>
      <c r="BD125"/>
      <c r="BE125"/>
      <c r="BF125"/>
      <c r="BG125"/>
      <c r="BH125"/>
      <c r="BI125"/>
      <c r="BJ125"/>
      <c r="BK125"/>
      <c r="BL125"/>
      <c r="BM125"/>
      <c r="BN125"/>
      <c r="BO125"/>
      <c r="BP125"/>
      <c r="BQ125"/>
      <c r="BR125"/>
      <c r="BS125"/>
      <c r="BT125"/>
      <c r="BU125"/>
      <c r="BV125"/>
      <c r="BW125"/>
      <c r="BX125"/>
      <c r="BY125"/>
      <c r="BZ125"/>
      <c r="CA125"/>
      <c r="CB125"/>
      <c r="CC125"/>
    </row>
    <row r="126" spans="1:81" x14ac:dyDescent="0.25">
      <c r="A126"/>
      <c r="B126"/>
      <c r="C126"/>
      <c r="D126"/>
      <c r="E126"/>
      <c r="F126"/>
      <c r="G126"/>
      <c r="H126"/>
      <c r="I126"/>
      <c r="J126"/>
      <c r="K126"/>
      <c r="L126"/>
      <c r="M126"/>
      <c r="N126"/>
      <c r="O126"/>
      <c r="P126"/>
      <c r="Q126"/>
      <c r="R126"/>
      <c r="S126"/>
      <c r="T126"/>
      <c r="U126"/>
      <c r="V126"/>
      <c r="W126"/>
      <c r="X126"/>
      <c r="Y126"/>
      <c r="Z126"/>
      <c r="AA126"/>
      <c r="AB126"/>
      <c r="AC126"/>
      <c r="AD126"/>
      <c r="AE126"/>
      <c r="AF126"/>
      <c r="AG126"/>
      <c r="AH126"/>
      <c r="AI126"/>
      <c r="AJ126"/>
      <c r="AK126"/>
      <c r="AL126"/>
      <c r="AM126"/>
      <c r="AN126"/>
      <c r="AO126"/>
      <c r="AP126"/>
      <c r="AQ126"/>
      <c r="AR126"/>
      <c r="AS126"/>
      <c r="AT126"/>
      <c r="AU126"/>
      <c r="AV126"/>
      <c r="AW126"/>
      <c r="AX126"/>
      <c r="AY126"/>
      <c r="AZ126"/>
      <c r="BA126"/>
      <c r="BB126"/>
      <c r="BC126"/>
      <c r="BD126"/>
      <c r="BE126"/>
      <c r="BF126"/>
      <c r="BG126"/>
      <c r="BH126"/>
      <c r="BI126"/>
      <c r="BJ126"/>
      <c r="BK126"/>
      <c r="BL126"/>
      <c r="BM126"/>
      <c r="BN126"/>
      <c r="BO126"/>
      <c r="BP126"/>
      <c r="BQ126"/>
      <c r="BR126"/>
      <c r="BS126"/>
      <c r="BT126"/>
      <c r="BU126"/>
      <c r="BV126"/>
      <c r="BW126"/>
      <c r="BX126"/>
      <c r="BY126"/>
      <c r="BZ126"/>
      <c r="CA126"/>
      <c r="CB126"/>
      <c r="CC126"/>
    </row>
    <row r="127" spans="1:81" x14ac:dyDescent="0.25">
      <c r="A127"/>
      <c r="B127"/>
      <c r="C127"/>
      <c r="D127"/>
      <c r="E127"/>
      <c r="F127"/>
      <c r="G127"/>
      <c r="H127"/>
      <c r="I127"/>
      <c r="J127"/>
      <c r="K127"/>
      <c r="L127"/>
      <c r="M127"/>
      <c r="N127"/>
      <c r="O127"/>
      <c r="P127"/>
      <c r="Q127"/>
      <c r="R127"/>
      <c r="S127"/>
      <c r="T127"/>
      <c r="U127"/>
      <c r="V127"/>
      <c r="W127"/>
      <c r="X127"/>
      <c r="Y127"/>
      <c r="Z127"/>
      <c r="AA127"/>
      <c r="AB127"/>
      <c r="AC127"/>
      <c r="AD127"/>
      <c r="AE127"/>
      <c r="AF127"/>
      <c r="AG127"/>
      <c r="AH127"/>
      <c r="AI127"/>
      <c r="AJ127"/>
      <c r="AK127"/>
      <c r="AL127"/>
      <c r="AM127"/>
      <c r="AN127"/>
      <c r="AO127"/>
      <c r="AP127"/>
      <c r="AQ127"/>
      <c r="AR127"/>
      <c r="AS127"/>
      <c r="AT127"/>
      <c r="AU127"/>
      <c r="AV127"/>
      <c r="AW127"/>
      <c r="AX127"/>
      <c r="AY127"/>
      <c r="AZ127"/>
      <c r="BA127"/>
      <c r="BB127"/>
      <c r="BC127"/>
      <c r="BD127"/>
      <c r="BE127"/>
      <c r="BF127"/>
      <c r="BG127"/>
      <c r="BH127"/>
      <c r="BI127"/>
      <c r="BJ127"/>
      <c r="BK127"/>
      <c r="BL127"/>
      <c r="BM127"/>
      <c r="BN127"/>
      <c r="BO127"/>
      <c r="BP127"/>
      <c r="BQ127"/>
      <c r="BR127"/>
      <c r="BS127"/>
      <c r="BT127"/>
      <c r="BU127"/>
      <c r="BV127"/>
      <c r="BW127"/>
      <c r="BX127"/>
      <c r="BY127"/>
      <c r="BZ127"/>
      <c r="CA127"/>
      <c r="CB127"/>
      <c r="CC127"/>
    </row>
    <row r="128" spans="1:81" x14ac:dyDescent="0.25">
      <c r="A128"/>
      <c r="B128"/>
      <c r="C128"/>
      <c r="D128"/>
      <c r="E128"/>
      <c r="F128"/>
      <c r="G128"/>
      <c r="H128"/>
      <c r="I128"/>
      <c r="J128"/>
      <c r="K128"/>
      <c r="L128"/>
      <c r="M128"/>
      <c r="N128"/>
      <c r="O128"/>
      <c r="P128"/>
      <c r="Q128"/>
      <c r="R128"/>
      <c r="S128"/>
      <c r="T128"/>
      <c r="U128"/>
      <c r="V128"/>
      <c r="W128"/>
      <c r="X128"/>
      <c r="Y128"/>
      <c r="Z128"/>
      <c r="AA128"/>
      <c r="AB128"/>
      <c r="AC128"/>
      <c r="AD128"/>
      <c r="AE128"/>
      <c r="AF128"/>
      <c r="AG128"/>
      <c r="AH128"/>
      <c r="AI128"/>
      <c r="AJ128"/>
      <c r="AK128"/>
      <c r="AL128"/>
      <c r="AM128"/>
      <c r="AN128"/>
      <c r="AO128"/>
      <c r="AP128"/>
      <c r="AQ128"/>
      <c r="AR128"/>
      <c r="AS128"/>
      <c r="AT128"/>
      <c r="AU128"/>
      <c r="AV128"/>
      <c r="AW128"/>
      <c r="AX128"/>
      <c r="AY128"/>
      <c r="AZ128"/>
      <c r="BA128"/>
      <c r="BB128"/>
      <c r="BC128"/>
      <c r="BD128"/>
      <c r="BE128"/>
      <c r="BF128"/>
      <c r="BG128"/>
      <c r="BH128"/>
      <c r="BI128"/>
      <c r="BJ128"/>
      <c r="BK128"/>
      <c r="BL128"/>
      <c r="BM128"/>
      <c r="BN128"/>
      <c r="BO128"/>
      <c r="BP128"/>
      <c r="BQ128"/>
      <c r="BR128"/>
      <c r="BS128"/>
      <c r="BT128"/>
      <c r="BU128"/>
      <c r="BV128"/>
      <c r="BW128"/>
      <c r="BX128"/>
      <c r="BY128"/>
      <c r="BZ128"/>
      <c r="CA128"/>
      <c r="CB128"/>
      <c r="CC128"/>
    </row>
    <row r="129" spans="1:81" x14ac:dyDescent="0.25">
      <c r="A129"/>
      <c r="B129"/>
      <c r="C129"/>
      <c r="D129"/>
      <c r="E129"/>
      <c r="F129"/>
      <c r="G129"/>
      <c r="H129"/>
      <c r="I129"/>
      <c r="J129"/>
      <c r="K129"/>
      <c r="L129"/>
      <c r="M129"/>
      <c r="N129"/>
      <c r="O129"/>
      <c r="P129"/>
      <c r="Q129"/>
      <c r="R129"/>
      <c r="S129"/>
      <c r="T129"/>
      <c r="U129"/>
      <c r="V129"/>
      <c r="W129"/>
      <c r="X129"/>
      <c r="Y129"/>
      <c r="Z129"/>
      <c r="AA129"/>
      <c r="AB129"/>
      <c r="AC129"/>
      <c r="AD129"/>
      <c r="AE129"/>
      <c r="AF129"/>
      <c r="AG129"/>
      <c r="AH129"/>
      <c r="AI129"/>
      <c r="AJ129"/>
      <c r="AK129"/>
      <c r="AL129"/>
      <c r="AM129"/>
      <c r="AN129"/>
      <c r="AO129"/>
      <c r="AP129"/>
      <c r="AQ129"/>
      <c r="AR129"/>
      <c r="AS129"/>
      <c r="AT129"/>
      <c r="AU129"/>
      <c r="AV129"/>
      <c r="AW129"/>
      <c r="AX129"/>
      <c r="AY129"/>
      <c r="AZ129"/>
      <c r="BA129"/>
      <c r="BB129"/>
      <c r="BC129"/>
      <c r="BD129"/>
      <c r="BE129"/>
      <c r="BF129"/>
      <c r="BG129"/>
      <c r="BH129"/>
      <c r="BI129"/>
      <c r="BJ129"/>
      <c r="BK129"/>
      <c r="BL129"/>
      <c r="BM129"/>
      <c r="BN129"/>
      <c r="BO129"/>
      <c r="BP129"/>
      <c r="BQ129"/>
      <c r="BR129"/>
      <c r="BS129"/>
      <c r="BT129"/>
      <c r="BU129"/>
      <c r="BV129"/>
      <c r="BW129"/>
      <c r="BX129"/>
      <c r="BY129"/>
      <c r="BZ129"/>
      <c r="CA129"/>
      <c r="CB129"/>
      <c r="CC129"/>
    </row>
    <row r="130" spans="1:81" x14ac:dyDescent="0.25">
      <c r="A130"/>
      <c r="B130"/>
      <c r="C130"/>
      <c r="D130"/>
      <c r="E130"/>
      <c r="F130"/>
      <c r="G130"/>
      <c r="H130"/>
      <c r="I130"/>
      <c r="J130"/>
      <c r="K130"/>
      <c r="L130"/>
      <c r="M130"/>
      <c r="N130"/>
      <c r="O130"/>
      <c r="P130"/>
      <c r="Q130"/>
      <c r="R130"/>
      <c r="S130"/>
      <c r="T130"/>
      <c r="U130"/>
      <c r="V130"/>
      <c r="W130"/>
      <c r="X130"/>
      <c r="Y130"/>
      <c r="Z130"/>
      <c r="AA130"/>
      <c r="AB130"/>
      <c r="AC130"/>
      <c r="AD130"/>
      <c r="AE130"/>
      <c r="AF130"/>
      <c r="AG130"/>
      <c r="AH130"/>
      <c r="AI130"/>
      <c r="AJ130"/>
      <c r="AK130"/>
      <c r="AL130"/>
      <c r="AM130"/>
      <c r="AN130"/>
      <c r="AO130"/>
      <c r="AP130"/>
      <c r="AQ130"/>
      <c r="AR130"/>
      <c r="AS130"/>
      <c r="AT130"/>
      <c r="AU130"/>
      <c r="AV130"/>
      <c r="AW130"/>
      <c r="AX130"/>
      <c r="AY130"/>
      <c r="AZ130"/>
      <c r="BA130"/>
      <c r="BB130"/>
      <c r="BC130"/>
      <c r="BD130"/>
      <c r="BE130"/>
      <c r="BF130"/>
      <c r="BG130"/>
      <c r="BH130"/>
      <c r="BI130"/>
      <c r="BJ130"/>
      <c r="BK130"/>
      <c r="BL130"/>
      <c r="BM130"/>
      <c r="BN130"/>
      <c r="BO130"/>
      <c r="BP130"/>
      <c r="BQ130"/>
      <c r="BR130"/>
      <c r="BS130"/>
      <c r="BT130"/>
      <c r="BU130"/>
      <c r="BV130"/>
      <c r="BW130"/>
      <c r="BX130"/>
      <c r="BY130"/>
      <c r="BZ130"/>
      <c r="CA130"/>
      <c r="CB130"/>
      <c r="CC130"/>
    </row>
    <row r="131" spans="1:81" x14ac:dyDescent="0.25">
      <c r="A131"/>
      <c r="B131"/>
      <c r="C131"/>
      <c r="D131"/>
      <c r="E131"/>
      <c r="F131"/>
      <c r="G131"/>
      <c r="H131"/>
      <c r="I131"/>
      <c r="J131"/>
      <c r="K131"/>
      <c r="L131"/>
      <c r="M131"/>
      <c r="N131"/>
      <c r="O131"/>
      <c r="P131"/>
      <c r="Q131"/>
      <c r="R131"/>
      <c r="S131"/>
      <c r="T131"/>
      <c r="U131"/>
      <c r="V131"/>
      <c r="W131"/>
      <c r="X131"/>
      <c r="Y131"/>
      <c r="Z131"/>
      <c r="AA131"/>
      <c r="AB131"/>
      <c r="AC131"/>
      <c r="AD131"/>
      <c r="AE131"/>
      <c r="AF131"/>
      <c r="AG131"/>
      <c r="AH131"/>
      <c r="AI131"/>
      <c r="AJ131"/>
      <c r="AK131"/>
      <c r="AL131"/>
      <c r="AM131"/>
      <c r="AN131"/>
      <c r="AO131"/>
      <c r="AP131"/>
      <c r="AQ131"/>
      <c r="AR131"/>
      <c r="AS131"/>
      <c r="AT131"/>
      <c r="AU131"/>
      <c r="AV131"/>
      <c r="AW131"/>
      <c r="AX131"/>
      <c r="AY131"/>
      <c r="AZ131"/>
      <c r="BA131"/>
      <c r="BB131"/>
      <c r="BC131"/>
      <c r="BD131"/>
      <c r="BE131"/>
      <c r="BF131"/>
      <c r="BG131"/>
      <c r="BH131"/>
      <c r="BI131"/>
      <c r="BJ131"/>
      <c r="BK131"/>
      <c r="BL131"/>
      <c r="BM131"/>
      <c r="BN131"/>
      <c r="BO131"/>
      <c r="BP131"/>
      <c r="BQ131"/>
      <c r="BR131"/>
      <c r="BS131"/>
      <c r="BT131"/>
      <c r="BU131"/>
      <c r="BV131"/>
      <c r="BW131"/>
      <c r="BX131"/>
      <c r="BY131"/>
      <c r="BZ131"/>
      <c r="CA131"/>
      <c r="CB131"/>
      <c r="CC131"/>
    </row>
    <row r="132" spans="1:81" x14ac:dyDescent="0.25">
      <c r="A132"/>
      <c r="B132"/>
      <c r="C132"/>
      <c r="D132"/>
      <c r="E132"/>
      <c r="F132"/>
      <c r="G132"/>
      <c r="H132"/>
      <c r="I132"/>
      <c r="J132"/>
      <c r="K132"/>
      <c r="L132"/>
      <c r="M132"/>
      <c r="N132"/>
      <c r="O132"/>
      <c r="P132"/>
      <c r="Q132"/>
      <c r="R132"/>
      <c r="S132"/>
      <c r="T132"/>
      <c r="U132"/>
      <c r="V132"/>
      <c r="W132"/>
      <c r="X132"/>
      <c r="Y132"/>
      <c r="Z132"/>
      <c r="AA132"/>
      <c r="AB132"/>
      <c r="AC132"/>
      <c r="AD132"/>
      <c r="AE132"/>
      <c r="AF132"/>
      <c r="AG132"/>
      <c r="AH132"/>
      <c r="AI132"/>
      <c r="AJ132"/>
      <c r="AK132"/>
      <c r="AL132"/>
      <c r="AM132"/>
      <c r="AN132"/>
      <c r="AO132"/>
      <c r="AP132"/>
      <c r="AQ132"/>
      <c r="AR132"/>
      <c r="AS132"/>
      <c r="AT132"/>
      <c r="AU132"/>
      <c r="AV132"/>
      <c r="AW132"/>
      <c r="AX132"/>
      <c r="AY132"/>
      <c r="AZ132"/>
      <c r="BA132"/>
      <c r="BB132"/>
      <c r="BC132"/>
      <c r="BD132"/>
      <c r="BE132"/>
      <c r="BF132"/>
      <c r="BG132"/>
      <c r="BH132"/>
      <c r="BI132"/>
      <c r="BJ132"/>
      <c r="BK132"/>
      <c r="BL132"/>
      <c r="BM132"/>
      <c r="BN132"/>
      <c r="BO132"/>
      <c r="BP132"/>
      <c r="BQ132"/>
      <c r="BR132"/>
      <c r="BS132"/>
      <c r="BT132"/>
      <c r="BU132"/>
      <c r="BV132"/>
      <c r="BW132"/>
      <c r="BX132"/>
      <c r="BY132"/>
      <c r="BZ132"/>
      <c r="CA132"/>
      <c r="CB132"/>
      <c r="CC132"/>
    </row>
    <row r="133" spans="1:81" x14ac:dyDescent="0.25">
      <c r="A133"/>
      <c r="B133"/>
      <c r="C133"/>
      <c r="D133"/>
      <c r="E133"/>
      <c r="F133"/>
      <c r="G133"/>
      <c r="H133"/>
      <c r="I133"/>
      <c r="J133"/>
      <c r="K133"/>
      <c r="L133"/>
      <c r="M133"/>
      <c r="N133"/>
      <c r="O133"/>
      <c r="P133"/>
      <c r="Q133"/>
      <c r="R133"/>
      <c r="S133"/>
      <c r="T133"/>
      <c r="U133"/>
      <c r="V133"/>
      <c r="W133"/>
      <c r="X133"/>
      <c r="Y133"/>
      <c r="Z133"/>
      <c r="AA133"/>
      <c r="AB133"/>
      <c r="AC133"/>
      <c r="AD133"/>
      <c r="AE133"/>
      <c r="AF133"/>
      <c r="AG133"/>
      <c r="AH133"/>
      <c r="AI133"/>
      <c r="AJ133"/>
      <c r="AK133"/>
      <c r="AL133"/>
      <c r="AM133"/>
      <c r="AN133"/>
      <c r="AO133"/>
      <c r="AP133"/>
      <c r="AQ133"/>
      <c r="AR133"/>
      <c r="AS133"/>
      <c r="AT133"/>
      <c r="AU133"/>
      <c r="AV133"/>
      <c r="AW133"/>
      <c r="AX133"/>
      <c r="AY133"/>
      <c r="AZ133"/>
      <c r="BA133"/>
      <c r="BB133"/>
      <c r="BC133"/>
      <c r="BD133"/>
      <c r="BE133"/>
      <c r="BF133"/>
      <c r="BG133"/>
      <c r="BH133"/>
      <c r="BI133"/>
      <c r="BJ133"/>
      <c r="BK133"/>
      <c r="BL133"/>
      <c r="BM133"/>
      <c r="BN133"/>
      <c r="BO133"/>
      <c r="BP133"/>
      <c r="BQ133"/>
      <c r="BR133"/>
      <c r="BS133"/>
      <c r="BT133"/>
      <c r="BU133"/>
      <c r="BV133"/>
      <c r="BW133"/>
      <c r="BX133"/>
      <c r="BY133"/>
      <c r="BZ133"/>
      <c r="CA133"/>
      <c r="CB133"/>
      <c r="CC133"/>
    </row>
    <row r="134" spans="1:81" x14ac:dyDescent="0.25">
      <c r="A134"/>
      <c r="B134"/>
      <c r="C134"/>
      <c r="D134"/>
      <c r="E134"/>
      <c r="F134"/>
      <c r="G134"/>
      <c r="H134"/>
      <c r="I134"/>
      <c r="J134"/>
      <c r="K134"/>
      <c r="L134"/>
      <c r="M134"/>
      <c r="N134"/>
      <c r="O134"/>
      <c r="P134"/>
      <c r="Q134"/>
      <c r="R134"/>
      <c r="S134"/>
      <c r="T134"/>
      <c r="U134"/>
      <c r="V134"/>
      <c r="W134"/>
      <c r="X134"/>
      <c r="Y134"/>
      <c r="Z134"/>
      <c r="AA134"/>
      <c r="AB134"/>
      <c r="AC134"/>
      <c r="AD134"/>
      <c r="AE134"/>
      <c r="AF134"/>
      <c r="AG134"/>
      <c r="AH134"/>
      <c r="AI134"/>
      <c r="AJ134"/>
      <c r="AK134"/>
      <c r="AL134"/>
      <c r="AM134"/>
      <c r="AN134"/>
      <c r="AO134"/>
      <c r="AP134"/>
      <c r="AQ134"/>
      <c r="AR134"/>
      <c r="AS134"/>
      <c r="AT134"/>
      <c r="AU134"/>
      <c r="AV134"/>
      <c r="AW134"/>
      <c r="AX134"/>
      <c r="AY134"/>
      <c r="AZ134"/>
      <c r="BA134"/>
      <c r="BB134"/>
      <c r="BC134"/>
      <c r="BD134"/>
      <c r="BE134"/>
      <c r="BF134"/>
      <c r="BG134"/>
      <c r="BH134"/>
      <c r="BI134"/>
      <c r="BJ134"/>
      <c r="BK134"/>
      <c r="BL134"/>
      <c r="BM134"/>
      <c r="BN134"/>
      <c r="BO134"/>
      <c r="BP134"/>
      <c r="BQ134"/>
      <c r="BR134"/>
      <c r="BS134"/>
      <c r="BT134"/>
      <c r="BU134"/>
      <c r="BV134"/>
      <c r="BW134"/>
      <c r="BX134"/>
      <c r="BY134"/>
      <c r="BZ134"/>
      <c r="CA134"/>
      <c r="CB134"/>
      <c r="CC134"/>
    </row>
    <row r="135" spans="1:81" x14ac:dyDescent="0.25">
      <c r="A135"/>
      <c r="B135"/>
      <c r="C135"/>
      <c r="D135"/>
      <c r="E135"/>
      <c r="F135"/>
      <c r="G135"/>
      <c r="H135"/>
      <c r="I135"/>
      <c r="J135"/>
      <c r="K135"/>
      <c r="L135"/>
      <c r="M135"/>
      <c r="N135"/>
      <c r="O135"/>
      <c r="P135"/>
      <c r="Q135"/>
      <c r="R135"/>
      <c r="S135"/>
      <c r="T135"/>
      <c r="U135"/>
      <c r="V135"/>
      <c r="W135"/>
      <c r="X135"/>
      <c r="Y135"/>
      <c r="Z135"/>
      <c r="AA135"/>
      <c r="AB135"/>
      <c r="AC135"/>
      <c r="AD135"/>
      <c r="AE135"/>
      <c r="AF135"/>
      <c r="AG135"/>
      <c r="AH135"/>
      <c r="AI135"/>
      <c r="AJ135"/>
      <c r="AK135"/>
      <c r="AL135"/>
      <c r="AM135"/>
      <c r="AN135"/>
      <c r="AO135"/>
      <c r="AP135"/>
      <c r="AQ135"/>
      <c r="AR135"/>
      <c r="AS135"/>
      <c r="AT135"/>
      <c r="AU135"/>
      <c r="AV135"/>
      <c r="AW135"/>
      <c r="AX135"/>
      <c r="AY135"/>
      <c r="AZ135"/>
      <c r="BA135"/>
      <c r="BB135"/>
      <c r="BC135"/>
      <c r="BD135"/>
      <c r="BE135"/>
      <c r="BF135"/>
      <c r="BG135"/>
      <c r="BH135"/>
      <c r="BI135"/>
      <c r="BJ135"/>
      <c r="BK135"/>
      <c r="BL135"/>
      <c r="BM135"/>
      <c r="BN135"/>
      <c r="BO135"/>
      <c r="BP135"/>
      <c r="BQ135"/>
      <c r="BR135"/>
      <c r="BS135"/>
      <c r="BT135"/>
      <c r="BU135"/>
      <c r="BV135"/>
      <c r="BW135"/>
      <c r="BX135"/>
      <c r="BY135"/>
      <c r="BZ135"/>
      <c r="CA135"/>
      <c r="CB135"/>
      <c r="CC135"/>
    </row>
    <row r="136" spans="1:81" x14ac:dyDescent="0.25">
      <c r="A136"/>
      <c r="B136"/>
      <c r="C136"/>
      <c r="D136"/>
      <c r="E136"/>
      <c r="F136"/>
      <c r="G136"/>
      <c r="H136"/>
      <c r="I136"/>
      <c r="J136"/>
      <c r="K136"/>
      <c r="L136"/>
      <c r="M136"/>
      <c r="N136"/>
      <c r="O136"/>
      <c r="P136"/>
      <c r="Q136"/>
      <c r="R136"/>
      <c r="S136"/>
      <c r="T136"/>
      <c r="U136"/>
      <c r="V136"/>
      <c r="W136"/>
      <c r="X136"/>
      <c r="Y136"/>
      <c r="Z136"/>
      <c r="AA136"/>
      <c r="AB136"/>
      <c r="AC136"/>
      <c r="AD136"/>
      <c r="AE136"/>
      <c r="AF136"/>
      <c r="AG136"/>
      <c r="AH136"/>
      <c r="AI136"/>
      <c r="AJ136"/>
      <c r="AK136"/>
      <c r="AL136"/>
      <c r="AM136"/>
      <c r="AN136"/>
      <c r="AO136"/>
      <c r="AP136"/>
      <c r="AQ136"/>
      <c r="AR136"/>
      <c r="AS136"/>
      <c r="AT136"/>
      <c r="AU136"/>
      <c r="AV136"/>
      <c r="AW136"/>
      <c r="AX136"/>
      <c r="AY136"/>
      <c r="AZ136"/>
      <c r="BA136"/>
      <c r="BB136"/>
      <c r="BC136"/>
      <c r="BD136"/>
      <c r="BE136"/>
      <c r="BF136"/>
      <c r="BG136"/>
      <c r="BH136"/>
      <c r="BI136"/>
      <c r="BJ136"/>
      <c r="BK136"/>
      <c r="BL136"/>
      <c r="BM136"/>
      <c r="BN136"/>
      <c r="BO136"/>
      <c r="BP136"/>
      <c r="BQ136"/>
      <c r="BR136"/>
      <c r="BS136"/>
      <c r="BT136"/>
      <c r="BU136"/>
      <c r="BV136"/>
      <c r="BW136"/>
      <c r="BX136"/>
      <c r="BY136"/>
      <c r="BZ136"/>
      <c r="CA136"/>
      <c r="CB136"/>
      <c r="CC136"/>
    </row>
    <row r="137" spans="1:81" x14ac:dyDescent="0.25">
      <c r="A137"/>
      <c r="B137"/>
      <c r="C137"/>
      <c r="D137"/>
      <c r="E137"/>
      <c r="F137"/>
      <c r="G137"/>
      <c r="H137"/>
      <c r="I137"/>
      <c r="J137"/>
      <c r="K137"/>
      <c r="L137"/>
      <c r="M137"/>
      <c r="N137"/>
      <c r="O137"/>
      <c r="P137"/>
      <c r="Q137"/>
      <c r="R137"/>
      <c r="S137"/>
      <c r="T137"/>
      <c r="U137"/>
      <c r="V137"/>
      <c r="W137"/>
      <c r="X137"/>
      <c r="Y137"/>
      <c r="Z137"/>
      <c r="AA137"/>
      <c r="AB137"/>
      <c r="AC137"/>
      <c r="AD137"/>
      <c r="AE137"/>
      <c r="AF137"/>
      <c r="AG137"/>
      <c r="AH137"/>
      <c r="AI137"/>
      <c r="AJ137"/>
      <c r="AK137"/>
      <c r="AL137"/>
      <c r="AM137"/>
      <c r="AN137"/>
      <c r="AO137"/>
      <c r="AP137"/>
      <c r="AQ137"/>
      <c r="AR137"/>
      <c r="AS137"/>
      <c r="AT137"/>
      <c r="AU137"/>
      <c r="AV137"/>
      <c r="AW137"/>
      <c r="AX137"/>
      <c r="AY137"/>
      <c r="AZ137"/>
      <c r="BA137"/>
      <c r="BB137"/>
      <c r="BC137"/>
      <c r="BD137"/>
      <c r="BE137"/>
      <c r="BF137"/>
      <c r="BG137"/>
      <c r="BH137"/>
      <c r="BI137"/>
      <c r="BJ137"/>
      <c r="BK137"/>
      <c r="BL137"/>
      <c r="BM137"/>
      <c r="BN137"/>
      <c r="BO137"/>
      <c r="BP137"/>
      <c r="BQ137"/>
      <c r="BR137"/>
      <c r="BS137"/>
      <c r="BT137"/>
      <c r="BU137"/>
      <c r="BV137"/>
      <c r="BW137"/>
      <c r="BX137"/>
      <c r="BY137"/>
      <c r="BZ137"/>
      <c r="CA137"/>
      <c r="CB137"/>
      <c r="CC137"/>
    </row>
    <row r="138" spans="1:81" x14ac:dyDescent="0.25">
      <c r="A138"/>
      <c r="B138"/>
      <c r="C138"/>
      <c r="D138"/>
      <c r="E138"/>
      <c r="F138"/>
      <c r="G138"/>
      <c r="H138"/>
      <c r="I138"/>
      <c r="J138"/>
      <c r="K138"/>
      <c r="L138"/>
      <c r="M138"/>
      <c r="N138"/>
      <c r="O138"/>
      <c r="P138"/>
      <c r="Q138"/>
      <c r="R138"/>
      <c r="S138"/>
      <c r="T138"/>
      <c r="U138"/>
      <c r="V138"/>
      <c r="W138"/>
      <c r="X138"/>
      <c r="Y138"/>
      <c r="Z138"/>
      <c r="AA138"/>
      <c r="AB138"/>
      <c r="AC138"/>
      <c r="AD138"/>
      <c r="AE138"/>
      <c r="AF138"/>
      <c r="AG138"/>
      <c r="AH138"/>
      <c r="AI138"/>
      <c r="AJ138"/>
      <c r="AK138"/>
      <c r="AL138"/>
      <c r="AM138"/>
      <c r="AN138"/>
      <c r="AO138"/>
      <c r="AP138"/>
      <c r="AQ138"/>
      <c r="AR138"/>
      <c r="AS138"/>
      <c r="AT138"/>
      <c r="AU138"/>
      <c r="AV138"/>
      <c r="AW138"/>
      <c r="AX138"/>
      <c r="AY138"/>
      <c r="AZ138"/>
      <c r="BA138"/>
      <c r="BB138"/>
      <c r="BC138"/>
      <c r="BD138"/>
      <c r="BE138"/>
      <c r="BF138"/>
      <c r="BG138"/>
      <c r="BH138"/>
      <c r="BI138"/>
      <c r="BJ138"/>
      <c r="BK138"/>
      <c r="BL138"/>
      <c r="BM138"/>
      <c r="BN138"/>
      <c r="BO138"/>
      <c r="BP138"/>
      <c r="BQ138"/>
      <c r="BR138"/>
      <c r="BS138"/>
      <c r="BT138"/>
      <c r="BU138"/>
      <c r="BV138"/>
      <c r="BW138"/>
      <c r="BX138"/>
      <c r="BY138"/>
      <c r="BZ138"/>
      <c r="CA138"/>
      <c r="CB138"/>
      <c r="CC138"/>
    </row>
    <row r="139" spans="1:81" x14ac:dyDescent="0.25">
      <c r="A139"/>
      <c r="B139"/>
      <c r="C139"/>
      <c r="D139"/>
      <c r="E139"/>
      <c r="F139"/>
      <c r="G139"/>
      <c r="H139"/>
      <c r="I139"/>
      <c r="J139"/>
      <c r="K139"/>
      <c r="L139"/>
      <c r="M139"/>
      <c r="N139"/>
      <c r="O139"/>
      <c r="P139"/>
      <c r="Q139"/>
      <c r="R139"/>
      <c r="S139"/>
      <c r="T139"/>
      <c r="U139"/>
      <c r="V139"/>
      <c r="W139"/>
      <c r="X139"/>
      <c r="Y139"/>
      <c r="Z139"/>
      <c r="AA139"/>
      <c r="AB139"/>
      <c r="AC139"/>
      <c r="AD139"/>
      <c r="AE139"/>
      <c r="AF139"/>
      <c r="AG139"/>
      <c r="AH139"/>
      <c r="AI139"/>
      <c r="AJ139"/>
      <c r="AK139"/>
      <c r="AL139"/>
      <c r="AM139"/>
      <c r="AN139"/>
      <c r="AO139"/>
      <c r="AP139"/>
      <c r="AQ139"/>
      <c r="AR139"/>
      <c r="AS139"/>
      <c r="AT139"/>
      <c r="AU139"/>
      <c r="AV139"/>
      <c r="AW139"/>
      <c r="AX139"/>
      <c r="AY139"/>
      <c r="AZ139"/>
      <c r="BA139"/>
      <c r="BB139"/>
      <c r="BC139"/>
      <c r="BD139"/>
      <c r="BE139"/>
      <c r="BF139"/>
      <c r="BG139"/>
      <c r="BH139"/>
      <c r="BI139"/>
      <c r="BJ139"/>
      <c r="BK139"/>
      <c r="BL139"/>
      <c r="BM139"/>
      <c r="BN139"/>
      <c r="BO139"/>
      <c r="BP139"/>
      <c r="BQ139"/>
      <c r="BR139"/>
      <c r="BS139"/>
      <c r="BT139"/>
      <c r="BU139"/>
      <c r="BV139"/>
      <c r="BW139"/>
      <c r="BX139"/>
      <c r="BY139"/>
      <c r="BZ139"/>
      <c r="CA139"/>
      <c r="CB139"/>
      <c r="CC139"/>
    </row>
    <row r="140" spans="1:81" x14ac:dyDescent="0.25">
      <c r="A140"/>
      <c r="B140"/>
      <c r="C140"/>
      <c r="D140"/>
      <c r="E140"/>
      <c r="F140"/>
      <c r="G140"/>
      <c r="H140"/>
      <c r="I140"/>
      <c r="J140"/>
      <c r="K140"/>
      <c r="L140"/>
      <c r="M140"/>
      <c r="N140"/>
      <c r="O140"/>
      <c r="P140"/>
      <c r="Q140"/>
      <c r="R140"/>
      <c r="S140"/>
      <c r="T140"/>
      <c r="U140"/>
      <c r="V140"/>
      <c r="W140"/>
      <c r="X140"/>
      <c r="Y140"/>
      <c r="Z140"/>
      <c r="AA140"/>
      <c r="AB140"/>
      <c r="AC140"/>
      <c r="AD140"/>
      <c r="AE140"/>
      <c r="AF140"/>
      <c r="AG140"/>
      <c r="AH140"/>
      <c r="AI140"/>
      <c r="AJ140"/>
      <c r="AK140"/>
      <c r="AL140"/>
      <c r="AM140"/>
      <c r="AN140"/>
      <c r="AO140"/>
      <c r="AP140"/>
      <c r="AQ140"/>
      <c r="AR140"/>
      <c r="AS140"/>
      <c r="AT140"/>
      <c r="AU140"/>
      <c r="AV140"/>
      <c r="AW140"/>
      <c r="AX140"/>
      <c r="AY140"/>
      <c r="AZ140"/>
      <c r="BA140"/>
      <c r="BB140"/>
      <c r="BC140"/>
      <c r="BD140"/>
      <c r="BE140"/>
      <c r="BF140"/>
      <c r="BG140"/>
      <c r="BH140"/>
      <c r="BI140"/>
      <c r="BJ140"/>
      <c r="BK140"/>
      <c r="BL140"/>
      <c r="BM140"/>
      <c r="BN140"/>
      <c r="BO140"/>
      <c r="BP140"/>
      <c r="BQ140"/>
      <c r="BR140"/>
      <c r="BS140"/>
      <c r="BT140"/>
      <c r="BU140"/>
      <c r="BV140"/>
      <c r="BW140"/>
      <c r="BX140"/>
      <c r="BY140"/>
      <c r="BZ140"/>
      <c r="CA140"/>
      <c r="CB140"/>
      <c r="CC140"/>
    </row>
    <row r="141" spans="1:81" x14ac:dyDescent="0.25">
      <c r="A141"/>
      <c r="B141"/>
      <c r="C141"/>
      <c r="D141"/>
      <c r="E141"/>
      <c r="F141"/>
      <c r="G141"/>
      <c r="H141"/>
      <c r="I141"/>
      <c r="J141"/>
      <c r="K141"/>
      <c r="L141"/>
      <c r="M141"/>
      <c r="N141"/>
      <c r="O141"/>
      <c r="P141"/>
      <c r="Q141"/>
      <c r="R141"/>
      <c r="S141"/>
      <c r="T141"/>
      <c r="U141"/>
      <c r="V141"/>
      <c r="W141"/>
      <c r="X141"/>
      <c r="Y141"/>
      <c r="Z141"/>
      <c r="AA141"/>
      <c r="AB141"/>
      <c r="AC141"/>
      <c r="AD141"/>
      <c r="AE141"/>
      <c r="AF141"/>
      <c r="AG141"/>
      <c r="AH141"/>
      <c r="AI141"/>
      <c r="AJ141"/>
      <c r="AK141"/>
      <c r="AL141"/>
      <c r="AM141"/>
      <c r="AN141"/>
      <c r="AO141"/>
      <c r="AP141"/>
      <c r="AQ141"/>
      <c r="AR141"/>
      <c r="AS141"/>
      <c r="AT141"/>
      <c r="AU141"/>
      <c r="AV141"/>
      <c r="AW141"/>
      <c r="AX141"/>
      <c r="AY141"/>
      <c r="AZ141"/>
      <c r="BA141"/>
      <c r="BB141"/>
      <c r="BC141"/>
      <c r="BD141"/>
      <c r="BE141"/>
      <c r="BF141"/>
      <c r="BG141"/>
      <c r="BH141"/>
      <c r="BI141"/>
      <c r="BJ141"/>
      <c r="BK141"/>
      <c r="BL141"/>
      <c r="BM141"/>
      <c r="BN141"/>
      <c r="BO141"/>
      <c r="BP141"/>
      <c r="BQ141"/>
      <c r="BR141"/>
      <c r="BS141"/>
      <c r="BT141"/>
      <c r="BU141"/>
      <c r="BV141"/>
      <c r="BW141"/>
      <c r="BX141"/>
      <c r="BY141"/>
      <c r="BZ141"/>
      <c r="CA141"/>
      <c r="CB141"/>
      <c r="CC141"/>
    </row>
    <row r="142" spans="1:81" x14ac:dyDescent="0.25">
      <c r="A142"/>
      <c r="B142"/>
      <c r="C142"/>
      <c r="D142"/>
      <c r="E142"/>
      <c r="F142"/>
      <c r="G142"/>
      <c r="H142"/>
      <c r="I142"/>
      <c r="J142"/>
      <c r="K142"/>
      <c r="L142"/>
      <c r="M142"/>
      <c r="N142"/>
      <c r="O142"/>
      <c r="P142"/>
      <c r="Q142"/>
      <c r="R142"/>
      <c r="S142"/>
      <c r="T142"/>
      <c r="U142"/>
      <c r="V142"/>
      <c r="W142"/>
      <c r="X142"/>
      <c r="Y142"/>
      <c r="Z142"/>
      <c r="AA142"/>
      <c r="AB142"/>
      <c r="AC142"/>
      <c r="AD142"/>
      <c r="AE142"/>
      <c r="AF142"/>
      <c r="AG142"/>
      <c r="AH142"/>
      <c r="AI142"/>
      <c r="AJ142"/>
      <c r="AK142"/>
      <c r="AL142"/>
      <c r="AM142"/>
      <c r="AN142"/>
      <c r="AO142"/>
      <c r="AP142"/>
      <c r="AQ142"/>
      <c r="AR142"/>
      <c r="AS142"/>
      <c r="AT142"/>
      <c r="AU142"/>
      <c r="AV142"/>
      <c r="AW142"/>
      <c r="AX142"/>
      <c r="AY142"/>
      <c r="AZ142"/>
      <c r="BA142"/>
      <c r="BB142"/>
      <c r="BC142"/>
      <c r="BD142"/>
      <c r="BE142"/>
      <c r="BF142"/>
      <c r="BG142"/>
      <c r="BH142"/>
      <c r="BI142"/>
      <c r="BJ142"/>
      <c r="BK142"/>
      <c r="BL142"/>
      <c r="BM142"/>
      <c r="BN142"/>
      <c r="BO142"/>
      <c r="BP142"/>
      <c r="BQ142"/>
      <c r="BR142"/>
      <c r="BS142"/>
      <c r="BT142"/>
      <c r="BU142"/>
      <c r="BV142"/>
      <c r="BW142"/>
      <c r="BX142"/>
      <c r="BY142"/>
      <c r="BZ142"/>
      <c r="CA142"/>
      <c r="CB142"/>
      <c r="CC142"/>
    </row>
    <row r="143" spans="1:81" x14ac:dyDescent="0.25">
      <c r="A143"/>
      <c r="B143"/>
      <c r="C143"/>
      <c r="D143"/>
      <c r="E143"/>
      <c r="F143"/>
      <c r="G143"/>
      <c r="H143"/>
      <c r="I143"/>
      <c r="J143"/>
      <c r="K143"/>
      <c r="L143"/>
      <c r="M143"/>
      <c r="N143"/>
      <c r="O143"/>
      <c r="P143"/>
      <c r="Q143"/>
      <c r="R143"/>
      <c r="S143"/>
      <c r="T143"/>
      <c r="U143"/>
      <c r="V143"/>
      <c r="W143"/>
      <c r="X143"/>
      <c r="Y143"/>
      <c r="Z143"/>
      <c r="AA143"/>
      <c r="AB143"/>
      <c r="AC143"/>
      <c r="AD143"/>
      <c r="AE143"/>
      <c r="AF143"/>
      <c r="AG143"/>
      <c r="AH143"/>
      <c r="AI143"/>
      <c r="AJ143"/>
      <c r="AK143"/>
      <c r="AL143"/>
      <c r="AM143"/>
      <c r="AN143"/>
      <c r="AO143"/>
      <c r="AP143"/>
      <c r="AQ143"/>
      <c r="AR143"/>
      <c r="AS143"/>
      <c r="AT143"/>
      <c r="AU143"/>
      <c r="AV143"/>
      <c r="AW143"/>
      <c r="AX143"/>
      <c r="AY143"/>
      <c r="AZ143"/>
      <c r="BA143"/>
      <c r="BB143"/>
      <c r="BC143"/>
      <c r="BD143"/>
      <c r="BE143"/>
      <c r="BF143"/>
      <c r="BG143"/>
      <c r="BH143"/>
      <c r="BI143"/>
      <c r="BJ143"/>
      <c r="BK143"/>
      <c r="BL143"/>
      <c r="BM143"/>
      <c r="BN143"/>
      <c r="BO143"/>
      <c r="BP143"/>
      <c r="BQ143"/>
      <c r="BR143"/>
      <c r="BS143"/>
      <c r="BT143"/>
      <c r="BU143"/>
      <c r="BV143"/>
      <c r="BW143"/>
      <c r="BX143"/>
      <c r="BY143"/>
      <c r="BZ143"/>
      <c r="CA143"/>
      <c r="CB143"/>
      <c r="CC143"/>
    </row>
    <row r="144" spans="1:81" x14ac:dyDescent="0.25">
      <c r="A144"/>
      <c r="B144"/>
      <c r="C144"/>
      <c r="D144"/>
      <c r="E144"/>
      <c r="F144"/>
      <c r="G144"/>
      <c r="H144"/>
      <c r="I144"/>
      <c r="J144"/>
      <c r="K144"/>
      <c r="L144"/>
      <c r="M144"/>
      <c r="N144"/>
      <c r="O144"/>
      <c r="P144"/>
      <c r="Q144"/>
      <c r="R144"/>
      <c r="S144"/>
      <c r="T144"/>
      <c r="U144"/>
      <c r="V144"/>
      <c r="W144"/>
      <c r="X144"/>
      <c r="Y144"/>
      <c r="Z144"/>
      <c r="AA144"/>
      <c r="AB144"/>
      <c r="AC144"/>
      <c r="AD144"/>
      <c r="AE144"/>
      <c r="AF144"/>
      <c r="AG144"/>
      <c r="AH144"/>
      <c r="AI144"/>
      <c r="AJ144"/>
      <c r="AK144"/>
      <c r="AL144"/>
      <c r="AM144"/>
      <c r="AN144"/>
      <c r="AO144"/>
      <c r="AP144"/>
      <c r="AQ144"/>
      <c r="AR144"/>
      <c r="AS144"/>
      <c r="AT144"/>
      <c r="AU144"/>
      <c r="AV144"/>
      <c r="AW144"/>
      <c r="AX144"/>
      <c r="AY144"/>
      <c r="AZ144"/>
      <c r="BA144"/>
      <c r="BB144"/>
      <c r="BC144"/>
      <c r="BD144"/>
      <c r="BE144"/>
      <c r="BF144"/>
      <c r="BG144"/>
      <c r="BH144"/>
      <c r="BI144"/>
      <c r="BJ144"/>
      <c r="BK144"/>
      <c r="BL144"/>
      <c r="BM144"/>
      <c r="BN144"/>
      <c r="BO144"/>
      <c r="BP144"/>
      <c r="BQ144"/>
      <c r="BR144"/>
      <c r="BS144"/>
      <c r="BT144"/>
      <c r="BU144"/>
      <c r="BV144"/>
      <c r="BW144"/>
      <c r="BX144"/>
      <c r="BY144"/>
      <c r="BZ144"/>
      <c r="CA144"/>
      <c r="CB144"/>
      <c r="CC144"/>
    </row>
    <row r="145" spans="1:81" x14ac:dyDescent="0.25">
      <c r="A145"/>
      <c r="B145"/>
      <c r="C145"/>
      <c r="D145"/>
      <c r="E145"/>
      <c r="F145"/>
      <c r="G145"/>
      <c r="H145"/>
      <c r="I145"/>
      <c r="J145"/>
      <c r="K145"/>
      <c r="L145"/>
      <c r="M145"/>
      <c r="N145"/>
      <c r="O145"/>
      <c r="P145"/>
      <c r="Q145"/>
      <c r="R145"/>
      <c r="S145"/>
      <c r="T145"/>
      <c r="U145"/>
      <c r="V145"/>
      <c r="W145"/>
      <c r="X145"/>
      <c r="Y145"/>
      <c r="Z145"/>
      <c r="AA145"/>
      <c r="AB145"/>
      <c r="AC145"/>
      <c r="AD145"/>
      <c r="AE145"/>
      <c r="AF145"/>
      <c r="AG145"/>
      <c r="AH145"/>
      <c r="AI145"/>
      <c r="AJ145"/>
      <c r="AK145"/>
      <c r="AL145"/>
      <c r="AM145"/>
      <c r="AN145"/>
      <c r="AO145"/>
      <c r="AP145"/>
      <c r="AQ145"/>
      <c r="AR145"/>
      <c r="AS145"/>
      <c r="AT145"/>
      <c r="AU145"/>
      <c r="AV145"/>
      <c r="AW145"/>
      <c r="AX145"/>
      <c r="AY145"/>
      <c r="AZ145"/>
      <c r="BA145"/>
      <c r="BB145"/>
      <c r="BC145"/>
      <c r="BD145"/>
      <c r="BE145"/>
      <c r="BF145"/>
      <c r="BG145"/>
      <c r="BH145"/>
      <c r="BI145"/>
      <c r="BJ145"/>
      <c r="BK145"/>
      <c r="BL145"/>
      <c r="BM145"/>
      <c r="BN145"/>
      <c r="BO145"/>
      <c r="BP145"/>
      <c r="BQ145"/>
      <c r="BR145"/>
      <c r="BS145"/>
      <c r="BT145"/>
      <c r="BU145"/>
      <c r="BV145"/>
      <c r="BW145"/>
      <c r="BX145"/>
      <c r="BY145"/>
      <c r="BZ145"/>
      <c r="CA145"/>
      <c r="CB145"/>
      <c r="CC145"/>
    </row>
    <row r="146" spans="1:81" x14ac:dyDescent="0.25">
      <c r="A146"/>
      <c r="B146"/>
      <c r="C146"/>
      <c r="D146"/>
      <c r="E146"/>
      <c r="F146"/>
      <c r="G146"/>
      <c r="H146"/>
      <c r="I146"/>
      <c r="J146"/>
      <c r="K146"/>
      <c r="L146"/>
      <c r="M146"/>
      <c r="N146"/>
      <c r="O146"/>
      <c r="P146"/>
      <c r="Q146"/>
      <c r="R146"/>
      <c r="S146"/>
      <c r="T146"/>
      <c r="U146"/>
      <c r="V146"/>
      <c r="W146"/>
      <c r="X146"/>
      <c r="Y146"/>
      <c r="Z146"/>
      <c r="AA146"/>
      <c r="AB146"/>
      <c r="AC146"/>
      <c r="AD146"/>
      <c r="AE146"/>
      <c r="AF146"/>
      <c r="AG146"/>
      <c r="AH146"/>
      <c r="AI146"/>
      <c r="AJ146"/>
      <c r="AK146"/>
      <c r="AL146"/>
      <c r="AM146"/>
      <c r="AN146"/>
      <c r="AO146"/>
      <c r="AP146"/>
      <c r="AQ146"/>
      <c r="AR146"/>
      <c r="AS146"/>
      <c r="AT146"/>
      <c r="AU146"/>
      <c r="AV146"/>
      <c r="AW146"/>
      <c r="AX146"/>
      <c r="AY146"/>
      <c r="AZ146"/>
      <c r="BA146"/>
      <c r="BB146"/>
      <c r="BC146"/>
      <c r="BD146"/>
      <c r="BE146"/>
      <c r="BF146"/>
      <c r="BG146"/>
      <c r="BH146"/>
      <c r="BI146"/>
      <c r="BJ146"/>
      <c r="BK146"/>
      <c r="BL146"/>
      <c r="BM146"/>
      <c r="BN146"/>
      <c r="BO146"/>
      <c r="BP146"/>
      <c r="BQ146"/>
      <c r="BR146"/>
      <c r="BS146"/>
      <c r="BT146"/>
      <c r="BU146"/>
      <c r="BV146"/>
      <c r="BW146"/>
      <c r="BX146"/>
      <c r="BY146"/>
      <c r="BZ146"/>
      <c r="CA146"/>
      <c r="CB146"/>
      <c r="CC146"/>
    </row>
    <row r="147" spans="1:81" x14ac:dyDescent="0.25">
      <c r="A147"/>
      <c r="B147"/>
      <c r="C147"/>
      <c r="D147"/>
      <c r="E147"/>
      <c r="F147"/>
      <c r="G147"/>
      <c r="H147"/>
      <c r="I147"/>
      <c r="J147"/>
      <c r="K147"/>
      <c r="L147"/>
      <c r="M147"/>
      <c r="N147"/>
      <c r="O147"/>
      <c r="P147"/>
      <c r="Q147"/>
      <c r="R147"/>
      <c r="S147"/>
      <c r="T147"/>
      <c r="U147"/>
      <c r="V147"/>
      <c r="W147"/>
      <c r="X147"/>
      <c r="Y147"/>
      <c r="Z147"/>
      <c r="AA147"/>
      <c r="AB147"/>
      <c r="AC147"/>
      <c r="AD147"/>
      <c r="AE147"/>
      <c r="AF147"/>
      <c r="AG147"/>
      <c r="AH147"/>
      <c r="AI147"/>
      <c r="AJ147"/>
      <c r="AK147"/>
      <c r="AL147"/>
      <c r="AM147"/>
      <c r="AN147"/>
      <c r="AO147"/>
      <c r="AP147"/>
      <c r="AQ147"/>
      <c r="AR147"/>
      <c r="AS147"/>
      <c r="AT147"/>
      <c r="AU147"/>
      <c r="AV147"/>
      <c r="AW147"/>
      <c r="AX147"/>
      <c r="AY147"/>
      <c r="AZ147"/>
      <c r="BA147"/>
      <c r="BB147"/>
      <c r="BC147"/>
      <c r="BD147"/>
      <c r="BE147"/>
      <c r="BF147"/>
      <c r="BG147"/>
      <c r="BH147"/>
      <c r="BI147"/>
      <c r="BJ147"/>
      <c r="BK147"/>
      <c r="BL147"/>
      <c r="BM147"/>
      <c r="BN147"/>
      <c r="BO147"/>
      <c r="BP147"/>
      <c r="BQ147"/>
      <c r="BR147"/>
      <c r="BS147"/>
      <c r="BT147"/>
      <c r="BU147"/>
      <c r="BV147"/>
      <c r="BW147"/>
      <c r="BX147"/>
      <c r="BY147"/>
      <c r="BZ147"/>
      <c r="CA147"/>
      <c r="CB147"/>
      <c r="CC147"/>
    </row>
    <row r="148" spans="1:81" x14ac:dyDescent="0.25">
      <c r="A148"/>
      <c r="B148"/>
      <c r="C148"/>
      <c r="D148"/>
      <c r="E148"/>
      <c r="F148"/>
      <c r="G148"/>
      <c r="H148"/>
      <c r="I148"/>
      <c r="J148"/>
      <c r="K148"/>
      <c r="L148"/>
      <c r="M148"/>
      <c r="N148"/>
      <c r="O148"/>
      <c r="P148"/>
      <c r="Q148"/>
      <c r="R148"/>
      <c r="S148"/>
      <c r="T148"/>
      <c r="U148"/>
      <c r="V148"/>
      <c r="W148"/>
      <c r="X148"/>
      <c r="Y148"/>
      <c r="Z148"/>
      <c r="AA148"/>
      <c r="AB148"/>
      <c r="AC148"/>
      <c r="AD148"/>
      <c r="AE148"/>
      <c r="AF148"/>
      <c r="AG148"/>
      <c r="AH148"/>
      <c r="AI148"/>
      <c r="AJ148"/>
      <c r="AK148"/>
      <c r="AL148"/>
      <c r="AM148"/>
      <c r="AN148"/>
      <c r="AO148"/>
      <c r="AP148"/>
      <c r="AQ148"/>
      <c r="AR148"/>
      <c r="AS148"/>
      <c r="AT148"/>
      <c r="AU148"/>
      <c r="AV148"/>
      <c r="AW148"/>
      <c r="AX148"/>
      <c r="AY148"/>
      <c r="AZ148"/>
      <c r="BA148"/>
      <c r="BB148"/>
      <c r="BC148"/>
      <c r="BD148"/>
      <c r="BE148"/>
      <c r="BF148"/>
      <c r="BG148"/>
      <c r="BH148"/>
      <c r="BI148"/>
      <c r="BJ148"/>
      <c r="BK148"/>
      <c r="BL148"/>
      <c r="BM148"/>
      <c r="BN148"/>
      <c r="BO148"/>
      <c r="BP148"/>
      <c r="BQ148"/>
      <c r="BR148"/>
      <c r="BS148"/>
      <c r="BT148"/>
      <c r="BU148"/>
      <c r="BV148"/>
      <c r="BW148"/>
      <c r="BX148"/>
      <c r="BY148"/>
      <c r="BZ148"/>
      <c r="CA148"/>
      <c r="CB148"/>
      <c r="CC148"/>
    </row>
    <row r="149" spans="1:81" x14ac:dyDescent="0.25">
      <c r="A149"/>
      <c r="B149"/>
      <c r="C149"/>
      <c r="D149"/>
      <c r="E149"/>
      <c r="F149"/>
      <c r="G149"/>
      <c r="H149"/>
      <c r="I149"/>
      <c r="J149"/>
      <c r="K149"/>
      <c r="L149"/>
      <c r="M149"/>
      <c r="N149"/>
      <c r="O149"/>
      <c r="P149"/>
      <c r="Q149"/>
      <c r="R149"/>
      <c r="S149"/>
      <c r="T149"/>
      <c r="U149"/>
      <c r="V149"/>
      <c r="W149"/>
      <c r="X149"/>
      <c r="Y149"/>
      <c r="Z149"/>
      <c r="AA149"/>
      <c r="AB149"/>
      <c r="AC149"/>
      <c r="AD149"/>
      <c r="AE149"/>
      <c r="AF149"/>
      <c r="AG149"/>
      <c r="AH149"/>
      <c r="AI149"/>
      <c r="AJ149"/>
      <c r="AK149"/>
      <c r="AL149"/>
      <c r="AM149"/>
      <c r="AN149"/>
      <c r="AO149"/>
      <c r="AP149"/>
      <c r="AQ149"/>
      <c r="AR149"/>
      <c r="AS149"/>
      <c r="AT149"/>
      <c r="AU149"/>
      <c r="AV149"/>
      <c r="AW149"/>
      <c r="AX149"/>
      <c r="AY149"/>
      <c r="AZ149"/>
      <c r="BA149"/>
      <c r="BB149"/>
      <c r="BC149"/>
      <c r="BD149"/>
      <c r="BE149"/>
      <c r="BF149"/>
      <c r="BG149"/>
      <c r="BH149"/>
      <c r="BI149"/>
      <c r="BJ149"/>
      <c r="BK149"/>
      <c r="BL149"/>
      <c r="BM149"/>
      <c r="BN149"/>
      <c r="BO149"/>
      <c r="BP149"/>
      <c r="BQ149"/>
      <c r="BR149"/>
      <c r="BS149"/>
      <c r="BT149"/>
      <c r="BU149"/>
      <c r="BV149"/>
      <c r="BW149"/>
      <c r="BX149"/>
      <c r="BY149"/>
      <c r="BZ149"/>
      <c r="CA149"/>
      <c r="CB149"/>
      <c r="CC149"/>
    </row>
    <row r="150" spans="1:81" x14ac:dyDescent="0.25">
      <c r="A150"/>
      <c r="B150"/>
      <c r="C150"/>
      <c r="D150"/>
      <c r="E150"/>
      <c r="F150"/>
      <c r="G150"/>
      <c r="H150"/>
      <c r="I150"/>
      <c r="J150"/>
      <c r="K150"/>
      <c r="L150"/>
      <c r="M150"/>
      <c r="N150"/>
      <c r="O150"/>
      <c r="P150"/>
      <c r="Q150"/>
      <c r="R150"/>
      <c r="S150"/>
      <c r="T150"/>
      <c r="U150"/>
      <c r="V150"/>
      <c r="W150"/>
      <c r="X150"/>
      <c r="Y150"/>
      <c r="Z150"/>
      <c r="AA150"/>
      <c r="AB150"/>
      <c r="AC150"/>
      <c r="AD150"/>
      <c r="AE150"/>
      <c r="AF150"/>
      <c r="AG150"/>
      <c r="AH150"/>
      <c r="AI150"/>
      <c r="AJ150"/>
      <c r="AK150"/>
      <c r="AL150"/>
      <c r="AM150"/>
      <c r="AN150"/>
      <c r="AO150"/>
      <c r="AP150"/>
      <c r="AQ150"/>
      <c r="AR150"/>
      <c r="AS150"/>
      <c r="AT150"/>
      <c r="AU150"/>
      <c r="AV150"/>
      <c r="AW150"/>
      <c r="AX150"/>
      <c r="AY150"/>
      <c r="AZ150"/>
      <c r="BA150"/>
      <c r="BB150"/>
      <c r="BC150"/>
      <c r="BD150"/>
      <c r="BE150"/>
      <c r="BF150"/>
      <c r="BG150"/>
      <c r="BH150"/>
      <c r="BI150"/>
      <c r="BJ150"/>
      <c r="BK150"/>
      <c r="BL150"/>
      <c r="BM150"/>
      <c r="BN150"/>
      <c r="BO150"/>
      <c r="BP150"/>
      <c r="BQ150"/>
      <c r="BR150"/>
      <c r="BS150"/>
      <c r="BT150"/>
      <c r="BU150"/>
      <c r="BV150"/>
      <c r="BW150"/>
      <c r="BX150"/>
      <c r="BY150"/>
      <c r="BZ150"/>
      <c r="CA150"/>
      <c r="CB150"/>
      <c r="CC150"/>
    </row>
    <row r="151" spans="1:81" x14ac:dyDescent="0.25">
      <c r="A151"/>
      <c r="B151"/>
      <c r="C151"/>
      <c r="D151"/>
      <c r="E151"/>
      <c r="F151"/>
      <c r="G151"/>
      <c r="H151"/>
      <c r="I151"/>
      <c r="J151"/>
      <c r="K151"/>
      <c r="L151"/>
      <c r="M151"/>
      <c r="N151"/>
      <c r="O151"/>
      <c r="P151"/>
      <c r="Q151"/>
      <c r="R151"/>
      <c r="S151"/>
      <c r="T151"/>
      <c r="U151"/>
      <c r="V151"/>
      <c r="W151"/>
      <c r="X151"/>
      <c r="Y151"/>
      <c r="Z151"/>
      <c r="AA151"/>
      <c r="AB151"/>
      <c r="AC151"/>
      <c r="AD151"/>
      <c r="AE151"/>
      <c r="AF151"/>
      <c r="AG151"/>
      <c r="AH151"/>
      <c r="AI151"/>
      <c r="AJ151"/>
      <c r="AK151"/>
      <c r="AL151"/>
      <c r="AM151"/>
      <c r="AN151"/>
      <c r="AO151"/>
      <c r="AP151"/>
      <c r="AQ151"/>
      <c r="AR151"/>
      <c r="AS151"/>
      <c r="AT151"/>
      <c r="AU151"/>
      <c r="AV151"/>
      <c r="AW151"/>
      <c r="AX151"/>
      <c r="AY151"/>
      <c r="AZ151"/>
      <c r="BA151"/>
      <c r="BB151"/>
      <c r="BC151"/>
      <c r="BD151"/>
      <c r="BE151"/>
      <c r="BF151"/>
      <c r="BG151"/>
      <c r="BH151"/>
      <c r="BI151"/>
      <c r="BJ151"/>
      <c r="BK151"/>
      <c r="BL151"/>
      <c r="BM151"/>
      <c r="BN151"/>
      <c r="BO151"/>
      <c r="BP151"/>
      <c r="BQ151"/>
      <c r="BR151"/>
      <c r="BS151"/>
      <c r="BT151"/>
      <c r="BU151"/>
      <c r="BV151"/>
      <c r="BW151"/>
      <c r="BX151"/>
      <c r="BY151"/>
      <c r="BZ151"/>
      <c r="CA151"/>
      <c r="CB151"/>
      <c r="CC151"/>
    </row>
    <row r="152" spans="1:81" x14ac:dyDescent="0.25">
      <c r="A152"/>
      <c r="B152"/>
      <c r="C152"/>
      <c r="D152"/>
      <c r="E152"/>
      <c r="F152"/>
      <c r="G152"/>
      <c r="H152"/>
      <c r="I152"/>
      <c r="J152"/>
      <c r="K152"/>
      <c r="L152"/>
      <c r="M152"/>
      <c r="N152"/>
      <c r="O152"/>
      <c r="P152"/>
      <c r="Q152"/>
      <c r="R152"/>
      <c r="S152"/>
      <c r="T152"/>
      <c r="U152"/>
      <c r="V152"/>
      <c r="W152"/>
      <c r="X152"/>
      <c r="Y152"/>
      <c r="Z152"/>
      <c r="AA152"/>
      <c r="AB152"/>
      <c r="AC152"/>
      <c r="AD152"/>
      <c r="AE152"/>
      <c r="AF152"/>
      <c r="AG152"/>
      <c r="AH152"/>
      <c r="AI152"/>
      <c r="AJ152"/>
      <c r="AK152"/>
      <c r="AL152"/>
      <c r="AM152"/>
      <c r="AN152"/>
      <c r="AO152"/>
      <c r="AP152"/>
      <c r="AQ152"/>
      <c r="AR152"/>
      <c r="AS152"/>
      <c r="AT152"/>
      <c r="AU152"/>
      <c r="AV152"/>
      <c r="AW152"/>
      <c r="AX152"/>
      <c r="AY152"/>
      <c r="AZ152"/>
      <c r="BA152"/>
      <c r="BB152"/>
      <c r="BC152"/>
      <c r="BD152"/>
      <c r="BE152"/>
      <c r="BF152"/>
      <c r="BG152"/>
      <c r="BH152"/>
      <c r="BI152"/>
      <c r="BJ152"/>
      <c r="BK152"/>
      <c r="BL152"/>
      <c r="BM152"/>
      <c r="BN152"/>
      <c r="BO152"/>
      <c r="BP152"/>
      <c r="BQ152"/>
      <c r="BR152"/>
      <c r="BS152"/>
      <c r="BT152"/>
      <c r="BU152"/>
      <c r="BV152"/>
      <c r="BW152"/>
      <c r="BX152"/>
      <c r="BY152"/>
      <c r="BZ152"/>
      <c r="CA152"/>
      <c r="CB152"/>
      <c r="CC152"/>
    </row>
    <row r="153" spans="1:81" x14ac:dyDescent="0.25">
      <c r="A153"/>
      <c r="B153"/>
      <c r="C153"/>
      <c r="D153"/>
      <c r="E153"/>
      <c r="F153"/>
      <c r="G153"/>
      <c r="H153"/>
      <c r="I153"/>
      <c r="J153"/>
      <c r="K153"/>
      <c r="L153"/>
      <c r="M153"/>
      <c r="N153"/>
      <c r="O153"/>
      <c r="P153"/>
      <c r="Q153"/>
      <c r="R153"/>
      <c r="S153"/>
      <c r="T153"/>
      <c r="U153"/>
      <c r="V153"/>
      <c r="W153"/>
      <c r="X153"/>
      <c r="Y153"/>
      <c r="Z153"/>
      <c r="AA153"/>
      <c r="AB153"/>
      <c r="AC153"/>
      <c r="AD153"/>
      <c r="AE153"/>
      <c r="AF153"/>
      <c r="AG153"/>
      <c r="AH153"/>
      <c r="AI153"/>
      <c r="AJ153"/>
      <c r="AK153"/>
      <c r="AL153"/>
      <c r="AM153"/>
      <c r="AN153"/>
      <c r="AO153"/>
      <c r="AP153"/>
      <c r="AQ153"/>
      <c r="AR153"/>
      <c r="AS153"/>
      <c r="AT153"/>
      <c r="AU153"/>
      <c r="AV153"/>
      <c r="AW153"/>
      <c r="AX153"/>
      <c r="AY153"/>
      <c r="AZ153"/>
      <c r="BA153"/>
      <c r="BB153"/>
      <c r="BC153"/>
      <c r="BD153"/>
      <c r="BE153"/>
      <c r="BF153"/>
      <c r="BG153"/>
      <c r="BH153"/>
      <c r="BI153"/>
      <c r="BJ153"/>
      <c r="BK153"/>
      <c r="BL153"/>
      <c r="BM153"/>
      <c r="BN153"/>
      <c r="BO153"/>
      <c r="BP153"/>
      <c r="BQ153"/>
      <c r="BR153"/>
      <c r="BS153"/>
      <c r="BT153"/>
      <c r="BU153"/>
      <c r="BV153"/>
      <c r="BW153"/>
      <c r="BX153"/>
      <c r="BY153"/>
      <c r="BZ153"/>
      <c r="CA153"/>
      <c r="CB153"/>
      <c r="CC153"/>
    </row>
    <row r="154" spans="1:81" x14ac:dyDescent="0.25">
      <c r="A154"/>
      <c r="B154"/>
      <c r="C154"/>
      <c r="D154"/>
      <c r="E154"/>
      <c r="F154"/>
      <c r="G154"/>
      <c r="H154"/>
      <c r="I154"/>
      <c r="J154"/>
      <c r="K154"/>
      <c r="L154"/>
      <c r="M154"/>
      <c r="N154"/>
      <c r="O154"/>
      <c r="P154"/>
      <c r="Q154"/>
      <c r="R154"/>
      <c r="S154"/>
      <c r="T154"/>
      <c r="U154"/>
      <c r="V154"/>
      <c r="W154"/>
      <c r="X154"/>
      <c r="Y154"/>
      <c r="Z154"/>
      <c r="AA154"/>
      <c r="AB154"/>
      <c r="AC154"/>
      <c r="AD154"/>
      <c r="AE154"/>
      <c r="AF154"/>
      <c r="AG154"/>
      <c r="AH154"/>
      <c r="AI154"/>
      <c r="AJ154"/>
      <c r="AK154"/>
      <c r="AL154"/>
      <c r="AM154"/>
      <c r="AN154"/>
      <c r="AO154"/>
      <c r="AP154"/>
      <c r="AQ154"/>
      <c r="AR154"/>
      <c r="AS154"/>
      <c r="AT154"/>
      <c r="AU154"/>
      <c r="AV154"/>
      <c r="AW154"/>
      <c r="AX154"/>
      <c r="AY154"/>
      <c r="AZ154"/>
      <c r="BA154"/>
      <c r="BB154"/>
      <c r="BC154"/>
      <c r="BD154"/>
      <c r="BE154"/>
      <c r="BF154"/>
      <c r="BG154"/>
      <c r="BH154"/>
      <c r="BI154"/>
      <c r="BJ154"/>
      <c r="BK154"/>
      <c r="BL154"/>
      <c r="BM154"/>
      <c r="BN154"/>
      <c r="BO154"/>
      <c r="BP154"/>
      <c r="BQ154"/>
      <c r="BR154"/>
      <c r="BS154"/>
      <c r="BT154"/>
      <c r="BU154"/>
      <c r="BV154"/>
      <c r="BW154"/>
      <c r="BX154"/>
      <c r="BY154"/>
      <c r="BZ154"/>
      <c r="CA154"/>
      <c r="CB154"/>
      <c r="CC154"/>
    </row>
    <row r="155" spans="1:81" x14ac:dyDescent="0.25">
      <c r="A155"/>
      <c r="B155"/>
      <c r="C155"/>
      <c r="D155"/>
      <c r="E155"/>
      <c r="F155"/>
      <c r="G155"/>
      <c r="H155"/>
      <c r="I155"/>
      <c r="J155"/>
      <c r="K155"/>
      <c r="L155"/>
      <c r="M155"/>
      <c r="N155"/>
      <c r="O155"/>
      <c r="P155"/>
      <c r="Q155"/>
      <c r="R155"/>
      <c r="S155"/>
      <c r="T155"/>
      <c r="U155"/>
      <c r="V155"/>
      <c r="W155"/>
      <c r="X155"/>
      <c r="Y155"/>
      <c r="Z155"/>
      <c r="AA155"/>
      <c r="AB155"/>
      <c r="AC155"/>
      <c r="AD155"/>
      <c r="AE155"/>
      <c r="AF155"/>
      <c r="AG155"/>
      <c r="AH155"/>
      <c r="AI155"/>
      <c r="AJ155"/>
      <c r="AK155"/>
      <c r="AL155"/>
      <c r="AM155"/>
      <c r="AN155"/>
      <c r="AO155"/>
      <c r="AP155"/>
      <c r="AQ155"/>
      <c r="AR155"/>
      <c r="AS155"/>
      <c r="AT155"/>
      <c r="AU155"/>
      <c r="AV155"/>
      <c r="AW155"/>
      <c r="AX155"/>
      <c r="AY155"/>
      <c r="AZ155"/>
      <c r="BA155"/>
      <c r="BB155"/>
      <c r="BC155"/>
      <c r="BD155"/>
      <c r="BE155"/>
      <c r="BF155"/>
      <c r="BG155"/>
      <c r="BH155"/>
      <c r="BI155"/>
      <c r="BJ155"/>
      <c r="BK155"/>
      <c r="BL155"/>
      <c r="BM155"/>
      <c r="BN155"/>
      <c r="BO155"/>
      <c r="BP155"/>
      <c r="BQ155"/>
      <c r="BR155"/>
      <c r="BS155"/>
      <c r="BT155"/>
      <c r="BU155"/>
      <c r="BV155"/>
      <c r="BW155"/>
      <c r="BX155"/>
      <c r="BY155"/>
      <c r="BZ155"/>
      <c r="CA155"/>
      <c r="CB155"/>
      <c r="CC155"/>
    </row>
    <row r="156" spans="1:81" x14ac:dyDescent="0.25">
      <c r="A156"/>
      <c r="B156"/>
      <c r="C156"/>
      <c r="D156"/>
      <c r="E156"/>
      <c r="F156"/>
      <c r="G156"/>
      <c r="H156"/>
      <c r="I156"/>
      <c r="J156"/>
      <c r="K156"/>
      <c r="L156"/>
      <c r="M156"/>
      <c r="N156"/>
      <c r="O156"/>
      <c r="P156"/>
      <c r="Q156"/>
      <c r="R156"/>
      <c r="S156"/>
      <c r="T156"/>
      <c r="U156"/>
      <c r="V156"/>
      <c r="W156"/>
      <c r="X156"/>
      <c r="Y156"/>
      <c r="Z156"/>
      <c r="AA156"/>
      <c r="AB156"/>
      <c r="AC156"/>
      <c r="AD156"/>
      <c r="AE156"/>
      <c r="AF156"/>
      <c r="AG156"/>
      <c r="AH156"/>
      <c r="AI156"/>
      <c r="AJ156"/>
      <c r="AK156"/>
      <c r="AL156"/>
      <c r="AM156"/>
      <c r="AN156"/>
      <c r="AO156"/>
      <c r="AP156"/>
      <c r="AQ156"/>
      <c r="AR156"/>
      <c r="AS156"/>
      <c r="AT156"/>
      <c r="AU156"/>
      <c r="AV156"/>
      <c r="AW156"/>
      <c r="AX156"/>
      <c r="AY156"/>
      <c r="AZ156"/>
      <c r="BA156"/>
      <c r="BB156"/>
      <c r="BC156"/>
      <c r="BD156"/>
      <c r="BE156"/>
      <c r="BF156"/>
      <c r="BG156"/>
      <c r="BH156"/>
      <c r="BI156"/>
      <c r="BJ156"/>
      <c r="BK156"/>
      <c r="BL156"/>
      <c r="BM156"/>
      <c r="BN156"/>
      <c r="BO156"/>
      <c r="BP156"/>
      <c r="BQ156"/>
      <c r="BR156"/>
      <c r="BS156"/>
      <c r="BT156"/>
      <c r="BU156"/>
      <c r="BV156"/>
      <c r="BW156"/>
      <c r="BX156"/>
      <c r="BY156"/>
      <c r="BZ156"/>
      <c r="CA156"/>
      <c r="CB156"/>
      <c r="CC156"/>
    </row>
    <row r="157" spans="1:81" x14ac:dyDescent="0.25">
      <c r="A157"/>
      <c r="B157"/>
      <c r="C157"/>
      <c r="D157"/>
      <c r="E157"/>
      <c r="F157"/>
      <c r="G157"/>
      <c r="H157"/>
      <c r="I157"/>
      <c r="J157"/>
      <c r="K157"/>
      <c r="L157"/>
      <c r="M157"/>
      <c r="N157"/>
      <c r="O157"/>
      <c r="P157"/>
      <c r="Q157"/>
      <c r="R157"/>
      <c r="S157"/>
      <c r="T157"/>
      <c r="U157"/>
      <c r="V157"/>
      <c r="W157"/>
      <c r="X157"/>
      <c r="Y157"/>
      <c r="Z157"/>
      <c r="AA157"/>
      <c r="AB157"/>
      <c r="AC157"/>
      <c r="AD157"/>
      <c r="AE157"/>
      <c r="AF157"/>
      <c r="AG157"/>
      <c r="AH157"/>
      <c r="AI157"/>
      <c r="AJ157"/>
      <c r="AK157"/>
      <c r="AL157"/>
      <c r="AM157"/>
      <c r="AN157"/>
      <c r="AO157"/>
      <c r="AP157"/>
      <c r="AQ157"/>
      <c r="AR157"/>
      <c r="AS157"/>
      <c r="AT157"/>
      <c r="AU157"/>
      <c r="AV157"/>
      <c r="AW157"/>
      <c r="AX157"/>
      <c r="AY157"/>
      <c r="AZ157"/>
      <c r="BA157"/>
      <c r="BB157"/>
      <c r="BC157"/>
      <c r="BD157"/>
      <c r="BE157"/>
      <c r="BF157"/>
      <c r="BG157"/>
      <c r="BH157"/>
      <c r="BI157"/>
      <c r="BJ157"/>
      <c r="BK157"/>
      <c r="BL157"/>
      <c r="BM157"/>
      <c r="BN157"/>
      <c r="BO157"/>
      <c r="BP157"/>
      <c r="BQ157"/>
      <c r="BR157"/>
      <c r="BS157"/>
      <c r="BT157"/>
      <c r="BU157"/>
      <c r="BV157"/>
      <c r="BW157"/>
      <c r="BX157"/>
      <c r="BY157"/>
      <c r="BZ157"/>
      <c r="CA157"/>
      <c r="CB157"/>
      <c r="CC157"/>
    </row>
    <row r="158" spans="1:81" x14ac:dyDescent="0.25">
      <c r="A158"/>
      <c r="B158"/>
      <c r="C158"/>
      <c r="D158"/>
      <c r="E158"/>
      <c r="F158"/>
      <c r="G158"/>
      <c r="H158"/>
      <c r="I158"/>
      <c r="J158"/>
      <c r="K158"/>
      <c r="L158"/>
      <c r="M158"/>
      <c r="N158"/>
      <c r="O158"/>
      <c r="P158"/>
      <c r="Q158"/>
      <c r="R158"/>
      <c r="S158"/>
      <c r="T158"/>
      <c r="U158"/>
      <c r="V158"/>
      <c r="W158"/>
      <c r="X158"/>
      <c r="Y158"/>
      <c r="Z158"/>
      <c r="AA158"/>
      <c r="AB158"/>
      <c r="AC158"/>
      <c r="AD158"/>
      <c r="AE158"/>
      <c r="AF158"/>
      <c r="AG158"/>
      <c r="AH158"/>
      <c r="AI158"/>
      <c r="AJ158"/>
      <c r="AK158"/>
      <c r="AL158"/>
      <c r="AM158"/>
      <c r="AN158"/>
      <c r="AO158"/>
      <c r="AP158"/>
      <c r="AQ158"/>
      <c r="AR158"/>
      <c r="AS158"/>
      <c r="AT158"/>
      <c r="AU158"/>
      <c r="AV158"/>
      <c r="AW158"/>
      <c r="AX158"/>
      <c r="AY158"/>
      <c r="AZ158"/>
      <c r="BA158"/>
      <c r="BB158"/>
      <c r="BC158"/>
      <c r="BD158"/>
      <c r="BE158"/>
      <c r="BF158"/>
      <c r="BG158"/>
      <c r="BH158"/>
      <c r="BI158"/>
      <c r="BJ158"/>
      <c r="BK158"/>
      <c r="BL158"/>
      <c r="BM158"/>
      <c r="BN158"/>
      <c r="BO158"/>
      <c r="BP158"/>
      <c r="BQ158"/>
      <c r="BR158"/>
      <c r="BS158"/>
      <c r="BT158"/>
      <c r="BU158"/>
      <c r="BV158"/>
      <c r="BW158"/>
      <c r="BX158"/>
      <c r="BY158"/>
      <c r="BZ158"/>
      <c r="CA158"/>
      <c r="CB158"/>
      <c r="CC158"/>
    </row>
    <row r="159" spans="1:81" x14ac:dyDescent="0.25">
      <c r="A159"/>
      <c r="B159"/>
      <c r="C159"/>
      <c r="D159"/>
      <c r="E159"/>
      <c r="F159"/>
      <c r="G159"/>
      <c r="H159"/>
      <c r="I159"/>
      <c r="J159"/>
      <c r="K159"/>
      <c r="L159"/>
      <c r="M159"/>
      <c r="N159"/>
      <c r="O159"/>
      <c r="P159"/>
      <c r="Q159"/>
      <c r="R159"/>
      <c r="S159"/>
      <c r="T159"/>
      <c r="U159"/>
      <c r="V159"/>
      <c r="W159"/>
      <c r="X159"/>
      <c r="Y159"/>
      <c r="Z159"/>
      <c r="AA159"/>
      <c r="AB159"/>
      <c r="AC159"/>
      <c r="AD159"/>
      <c r="AE159"/>
      <c r="AF159"/>
      <c r="AG159"/>
      <c r="AH159"/>
      <c r="AI159"/>
      <c r="AJ159"/>
      <c r="AK159"/>
      <c r="AL159"/>
      <c r="AM159"/>
      <c r="AN159"/>
      <c r="AO159"/>
      <c r="AP159"/>
      <c r="AQ159"/>
      <c r="AR159"/>
      <c r="AS159"/>
      <c r="AT159"/>
      <c r="AU159"/>
      <c r="AV159"/>
      <c r="AW159"/>
      <c r="AX159"/>
      <c r="AY159"/>
      <c r="AZ159"/>
      <c r="BA159"/>
      <c r="BB159"/>
      <c r="BC159"/>
      <c r="BD159"/>
      <c r="BE159"/>
      <c r="BF159"/>
      <c r="BG159"/>
      <c r="BH159"/>
      <c r="BI159"/>
      <c r="BJ159"/>
      <c r="BK159"/>
      <c r="BL159"/>
      <c r="BM159"/>
      <c r="BN159"/>
      <c r="BO159"/>
      <c r="BP159"/>
      <c r="BQ159"/>
      <c r="BR159"/>
      <c r="BS159"/>
      <c r="BT159"/>
      <c r="BU159"/>
      <c r="BV159"/>
      <c r="BW159"/>
      <c r="BX159"/>
      <c r="BY159"/>
      <c r="BZ159"/>
      <c r="CA159"/>
      <c r="CB159"/>
      <c r="CC159"/>
    </row>
    <row r="160" spans="1:81" x14ac:dyDescent="0.25">
      <c r="A160"/>
      <c r="B160"/>
      <c r="C160"/>
      <c r="D160"/>
      <c r="E160"/>
      <c r="F160"/>
      <c r="G160"/>
      <c r="H160"/>
      <c r="I160"/>
      <c r="J160"/>
      <c r="K160"/>
      <c r="L160"/>
      <c r="M160"/>
      <c r="N160"/>
      <c r="O160"/>
      <c r="P160"/>
      <c r="Q160"/>
      <c r="R160"/>
      <c r="S160"/>
      <c r="T160"/>
      <c r="U160"/>
      <c r="V160"/>
      <c r="W160"/>
      <c r="X160"/>
      <c r="Y160"/>
      <c r="Z160"/>
      <c r="AA160"/>
      <c r="AB160"/>
      <c r="AC160"/>
      <c r="AD160"/>
      <c r="AE160"/>
      <c r="AF160"/>
      <c r="AG160"/>
      <c r="AH160"/>
      <c r="AI160"/>
      <c r="AJ160"/>
      <c r="AK160"/>
      <c r="AL160"/>
      <c r="AM160"/>
      <c r="AN160"/>
      <c r="AO160"/>
      <c r="AP160"/>
      <c r="AQ160"/>
      <c r="AR160"/>
      <c r="AS160"/>
      <c r="AT160"/>
      <c r="AU160"/>
      <c r="AV160"/>
      <c r="AW160"/>
      <c r="AX160"/>
      <c r="AY160"/>
      <c r="AZ160"/>
      <c r="BA160"/>
      <c r="BB160"/>
      <c r="BC160"/>
      <c r="BD160"/>
      <c r="BE160"/>
      <c r="BF160"/>
      <c r="BG160"/>
      <c r="BH160"/>
      <c r="BI160"/>
      <c r="BJ160"/>
      <c r="BK160"/>
      <c r="BL160"/>
      <c r="BM160"/>
      <c r="BN160"/>
      <c r="BO160"/>
      <c r="BP160"/>
      <c r="BQ160"/>
      <c r="BR160"/>
      <c r="BS160"/>
      <c r="BT160"/>
      <c r="BU160"/>
      <c r="BV160"/>
      <c r="BW160"/>
      <c r="BX160"/>
      <c r="BY160"/>
      <c r="BZ160"/>
      <c r="CA160"/>
      <c r="CB160"/>
      <c r="CC160"/>
    </row>
    <row r="161" spans="1:81" x14ac:dyDescent="0.25">
      <c r="A161"/>
      <c r="B161"/>
      <c r="C161"/>
      <c r="D161"/>
      <c r="E161"/>
      <c r="F161"/>
      <c r="G161"/>
      <c r="H161"/>
      <c r="I161"/>
      <c r="J161"/>
      <c r="K161"/>
      <c r="L161"/>
      <c r="M161"/>
      <c r="N161"/>
      <c r="O161"/>
      <c r="P161"/>
      <c r="Q161"/>
      <c r="R161"/>
      <c r="S161"/>
      <c r="T161"/>
      <c r="U161"/>
      <c r="V161"/>
      <c r="W161"/>
      <c r="X161"/>
      <c r="Y161"/>
      <c r="Z161"/>
      <c r="AA161"/>
      <c r="AB161"/>
      <c r="AC161"/>
      <c r="AD161"/>
      <c r="AE161"/>
      <c r="AF161"/>
      <c r="AG161"/>
      <c r="AH161"/>
      <c r="AI161"/>
      <c r="AJ161"/>
      <c r="AK161"/>
      <c r="AL161"/>
      <c r="AM161"/>
      <c r="AN161"/>
      <c r="AO161"/>
      <c r="AP161"/>
      <c r="AQ161"/>
      <c r="AR161"/>
      <c r="AS161"/>
      <c r="AT161"/>
      <c r="AU161"/>
      <c r="AV161"/>
      <c r="AW161"/>
      <c r="AX161"/>
      <c r="AY161"/>
      <c r="AZ161"/>
      <c r="BA161"/>
      <c r="BB161"/>
      <c r="BC161"/>
      <c r="BD161"/>
      <c r="BE161"/>
      <c r="BF161"/>
      <c r="BG161"/>
      <c r="BH161"/>
      <c r="BI161"/>
      <c r="BJ161"/>
      <c r="BK161"/>
      <c r="BL161"/>
      <c r="BM161"/>
      <c r="BN161"/>
      <c r="BO161"/>
      <c r="BP161"/>
      <c r="BQ161"/>
      <c r="BR161"/>
      <c r="BS161"/>
      <c r="BT161"/>
      <c r="BU161"/>
      <c r="BV161"/>
      <c r="BW161"/>
      <c r="BX161"/>
      <c r="BY161"/>
      <c r="BZ161"/>
      <c r="CA161"/>
      <c r="CB161"/>
      <c r="CC161"/>
    </row>
    <row r="162" spans="1:81" x14ac:dyDescent="0.25">
      <c r="A162"/>
      <c r="B162"/>
      <c r="C162"/>
      <c r="D162"/>
      <c r="E162"/>
      <c r="F162"/>
      <c r="G162"/>
      <c r="H162"/>
      <c r="I162"/>
      <c r="J162"/>
      <c r="K162"/>
      <c r="L162"/>
      <c r="M162"/>
      <c r="N162"/>
      <c r="O162"/>
      <c r="P162"/>
      <c r="Q162"/>
      <c r="R162"/>
      <c r="S162"/>
      <c r="T162"/>
      <c r="U162"/>
      <c r="V162"/>
      <c r="W162"/>
      <c r="X162"/>
      <c r="Y162"/>
      <c r="Z162"/>
      <c r="AA162"/>
      <c r="AB162"/>
      <c r="AC162"/>
      <c r="AD162"/>
      <c r="AE162"/>
      <c r="AF162"/>
      <c r="AG162"/>
      <c r="AH162"/>
      <c r="AI162"/>
      <c r="AJ162"/>
      <c r="AK162"/>
      <c r="AL162"/>
      <c r="AM162"/>
      <c r="AN162"/>
      <c r="AO162"/>
      <c r="AP162"/>
      <c r="AQ162"/>
      <c r="AR162"/>
      <c r="AS162"/>
      <c r="AT162"/>
      <c r="AU162"/>
      <c r="AV162"/>
      <c r="AW162"/>
      <c r="AX162"/>
      <c r="AY162"/>
      <c r="AZ162"/>
      <c r="BA162"/>
      <c r="BB162"/>
      <c r="BC162"/>
      <c r="BD162"/>
      <c r="BE162"/>
      <c r="BF162"/>
      <c r="BG162"/>
      <c r="BH162"/>
      <c r="BI162"/>
      <c r="BJ162"/>
      <c r="BK162"/>
      <c r="BL162"/>
      <c r="BM162"/>
      <c r="BN162"/>
      <c r="BO162"/>
      <c r="BP162"/>
      <c r="BQ162"/>
      <c r="BR162"/>
      <c r="BS162"/>
      <c r="BT162"/>
      <c r="BU162"/>
      <c r="BV162"/>
      <c r="BW162"/>
      <c r="BX162"/>
      <c r="BY162"/>
      <c r="BZ162"/>
      <c r="CA162"/>
      <c r="CB162"/>
      <c r="CC162"/>
    </row>
    <row r="163" spans="1:81" x14ac:dyDescent="0.25">
      <c r="A163"/>
      <c r="B163"/>
      <c r="C163"/>
      <c r="D163"/>
      <c r="E163"/>
      <c r="F163"/>
      <c r="G163"/>
      <c r="H163"/>
      <c r="I163"/>
      <c r="J163"/>
      <c r="K163"/>
      <c r="L163"/>
      <c r="M163"/>
      <c r="N163"/>
      <c r="O163"/>
      <c r="P163"/>
      <c r="Q163"/>
      <c r="R163"/>
      <c r="S163"/>
      <c r="T163"/>
      <c r="U163"/>
      <c r="V163"/>
      <c r="W163"/>
      <c r="X163"/>
      <c r="Y163"/>
      <c r="Z163"/>
      <c r="AA163"/>
      <c r="AB163"/>
      <c r="AC163"/>
      <c r="AD163"/>
      <c r="AE163"/>
      <c r="AF163"/>
      <c r="AG163"/>
      <c r="AH163"/>
      <c r="AI163"/>
      <c r="AJ163"/>
      <c r="AK163"/>
      <c r="AL163"/>
      <c r="AM163"/>
      <c r="AN163"/>
      <c r="AO163"/>
      <c r="AP163"/>
      <c r="AQ163"/>
      <c r="AR163"/>
      <c r="AS163"/>
      <c r="AT163"/>
      <c r="AU163"/>
      <c r="AV163"/>
      <c r="AW163"/>
      <c r="AX163"/>
      <c r="AY163"/>
      <c r="AZ163"/>
      <c r="BA163"/>
      <c r="BB163"/>
      <c r="BC163"/>
      <c r="BD163"/>
      <c r="BE163"/>
      <c r="BF163"/>
      <c r="BG163"/>
      <c r="BH163"/>
      <c r="BI163"/>
      <c r="BJ163"/>
      <c r="BK163"/>
      <c r="BL163"/>
      <c r="BM163"/>
      <c r="BN163"/>
      <c r="BO163"/>
      <c r="BP163"/>
      <c r="BQ163"/>
      <c r="BR163"/>
      <c r="BS163"/>
      <c r="BT163"/>
      <c r="BU163"/>
      <c r="BV163"/>
      <c r="BW163"/>
      <c r="BX163"/>
      <c r="BY163"/>
      <c r="BZ163"/>
      <c r="CA163"/>
      <c r="CB163"/>
      <c r="CC163"/>
    </row>
    <row r="164" spans="1:81" x14ac:dyDescent="0.25">
      <c r="A164"/>
      <c r="B164"/>
      <c r="C164"/>
      <c r="D164"/>
      <c r="E164"/>
      <c r="F164"/>
      <c r="G164"/>
      <c r="H164"/>
      <c r="I164"/>
      <c r="J164"/>
      <c r="K164"/>
      <c r="L164"/>
      <c r="M164"/>
      <c r="N164"/>
      <c r="O164"/>
      <c r="P164"/>
      <c r="Q164"/>
      <c r="R164"/>
      <c r="S164"/>
      <c r="T164"/>
      <c r="U164"/>
      <c r="V164"/>
      <c r="W164"/>
      <c r="X164"/>
      <c r="Y164"/>
      <c r="Z164"/>
      <c r="AA164"/>
      <c r="AB164"/>
      <c r="AC164"/>
      <c r="AD164"/>
      <c r="AE164"/>
      <c r="AF164"/>
      <c r="AG164"/>
      <c r="AH164"/>
      <c r="AI164"/>
      <c r="AJ164"/>
      <c r="AK164"/>
      <c r="AL164"/>
      <c r="AM164"/>
      <c r="AN164"/>
      <c r="AO164"/>
      <c r="AP164"/>
      <c r="AQ164"/>
      <c r="AR164"/>
      <c r="AS164"/>
      <c r="AT164"/>
      <c r="AU164"/>
      <c r="AV164"/>
      <c r="AW164"/>
      <c r="AX164"/>
      <c r="AY164"/>
      <c r="AZ164"/>
      <c r="BA164"/>
      <c r="BB164"/>
      <c r="BC164"/>
      <c r="BD164"/>
      <c r="BE164"/>
      <c r="BF164"/>
      <c r="BG164"/>
      <c r="BH164"/>
      <c r="BI164"/>
      <c r="BJ164"/>
      <c r="BK164"/>
      <c r="BL164"/>
      <c r="BM164"/>
      <c r="BN164"/>
      <c r="BO164"/>
      <c r="BP164"/>
      <c r="BQ164"/>
      <c r="BR164"/>
      <c r="BS164"/>
      <c r="BT164"/>
      <c r="BU164"/>
      <c r="BV164"/>
      <c r="BW164"/>
      <c r="BX164"/>
      <c r="BY164"/>
      <c r="BZ164"/>
      <c r="CA164"/>
      <c r="CB164"/>
      <c r="CC164"/>
    </row>
    <row r="165" spans="1:81" x14ac:dyDescent="0.25">
      <c r="A165"/>
      <c r="B165"/>
      <c r="C165"/>
      <c r="D165"/>
      <c r="E165"/>
      <c r="F165"/>
      <c r="G165"/>
      <c r="H165"/>
      <c r="I165"/>
      <c r="J165"/>
      <c r="K165"/>
      <c r="L165"/>
      <c r="M165"/>
      <c r="N165"/>
      <c r="O165"/>
      <c r="P165"/>
      <c r="Q165"/>
      <c r="R165"/>
      <c r="S165"/>
      <c r="T165"/>
      <c r="U165"/>
      <c r="V165"/>
      <c r="W165"/>
      <c r="X165"/>
      <c r="Y165"/>
      <c r="Z165"/>
      <c r="AA165"/>
      <c r="AB165"/>
      <c r="AC165"/>
      <c r="AD165"/>
      <c r="AE165"/>
      <c r="AF165"/>
      <c r="AG165"/>
      <c r="AH165"/>
      <c r="AI165"/>
      <c r="AJ165"/>
      <c r="AK165"/>
      <c r="AL165"/>
      <c r="AM165"/>
      <c r="AN165"/>
      <c r="AO165"/>
      <c r="AP165"/>
      <c r="AQ165"/>
      <c r="AR165"/>
      <c r="AS165"/>
      <c r="AT165"/>
      <c r="AU165"/>
      <c r="AV165"/>
      <c r="AW165"/>
      <c r="AX165"/>
      <c r="AY165"/>
      <c r="AZ165"/>
      <c r="BA165"/>
      <c r="BB165"/>
      <c r="BC165"/>
      <c r="BD165"/>
      <c r="BE165"/>
      <c r="BF165"/>
      <c r="BG165"/>
      <c r="BH165"/>
      <c r="BI165"/>
      <c r="BJ165"/>
      <c r="BK165"/>
      <c r="BL165"/>
      <c r="BM165"/>
      <c r="BN165"/>
      <c r="BO165"/>
      <c r="BP165"/>
      <c r="BQ165"/>
      <c r="BR165"/>
      <c r="BS165"/>
      <c r="BT165"/>
      <c r="BU165"/>
      <c r="BV165"/>
      <c r="BW165"/>
      <c r="BX165"/>
      <c r="BY165"/>
      <c r="BZ165"/>
      <c r="CA165"/>
      <c r="CB165"/>
      <c r="CC165"/>
    </row>
    <row r="166" spans="1:81" x14ac:dyDescent="0.25">
      <c r="A166"/>
      <c r="B166"/>
      <c r="C166"/>
      <c r="D166"/>
      <c r="E166"/>
      <c r="F166"/>
      <c r="G166"/>
      <c r="H166"/>
      <c r="I166"/>
      <c r="J166"/>
      <c r="K166"/>
      <c r="L166"/>
      <c r="M166"/>
      <c r="N166"/>
      <c r="O166"/>
      <c r="P166"/>
      <c r="Q166"/>
      <c r="R166"/>
      <c r="S166"/>
      <c r="T166"/>
      <c r="U166"/>
      <c r="V166"/>
      <c r="W166"/>
      <c r="X166"/>
      <c r="Y166"/>
      <c r="Z166"/>
      <c r="AA166"/>
      <c r="AB166"/>
      <c r="AC166"/>
      <c r="AD166"/>
      <c r="AE166"/>
      <c r="AF166"/>
      <c r="AG166"/>
      <c r="AH166"/>
      <c r="AI166"/>
      <c r="AJ166"/>
      <c r="AK166"/>
      <c r="AL166"/>
      <c r="AM166"/>
      <c r="AN166"/>
      <c r="AO166"/>
      <c r="AP166"/>
      <c r="AQ166"/>
      <c r="AR166"/>
      <c r="AS166"/>
      <c r="AT166"/>
      <c r="AU166"/>
      <c r="AV166"/>
      <c r="AW166"/>
      <c r="AX166"/>
      <c r="AY166"/>
      <c r="AZ166"/>
      <c r="BA166"/>
      <c r="BB166"/>
      <c r="BC166"/>
      <c r="BD166"/>
      <c r="BE166"/>
      <c r="BF166"/>
      <c r="BG166"/>
      <c r="BH166"/>
      <c r="BI166"/>
      <c r="BJ166"/>
      <c r="BK166"/>
      <c r="BL166"/>
      <c r="BM166"/>
      <c r="BN166"/>
      <c r="BO166"/>
      <c r="BP166"/>
      <c r="BQ166"/>
      <c r="BR166"/>
      <c r="BS166"/>
      <c r="BT166"/>
      <c r="BU166"/>
      <c r="BV166"/>
      <c r="BW166"/>
      <c r="BX166"/>
      <c r="BY166"/>
      <c r="BZ166"/>
      <c r="CA166"/>
      <c r="CB166"/>
      <c r="CC166"/>
    </row>
    <row r="167" spans="1:81" x14ac:dyDescent="0.25">
      <c r="A167"/>
      <c r="B167"/>
      <c r="C167"/>
      <c r="D167"/>
      <c r="E167"/>
      <c r="F167"/>
      <c r="G167"/>
      <c r="H167"/>
      <c r="I167"/>
      <c r="J167"/>
      <c r="K167"/>
      <c r="L167"/>
      <c r="M167"/>
      <c r="N167"/>
      <c r="O167"/>
      <c r="P167"/>
      <c r="Q167"/>
      <c r="R167"/>
      <c r="S167"/>
      <c r="T167"/>
      <c r="U167"/>
      <c r="V167"/>
      <c r="W167"/>
      <c r="X167"/>
      <c r="Y167"/>
      <c r="Z167"/>
      <c r="AA167"/>
      <c r="AB167"/>
      <c r="AC167"/>
      <c r="AD167"/>
      <c r="AE167"/>
      <c r="AF167"/>
      <c r="AG167"/>
      <c r="AH167"/>
      <c r="AI167"/>
      <c r="AJ167"/>
      <c r="AK167"/>
      <c r="AL167"/>
      <c r="AM167"/>
      <c r="AN167"/>
      <c r="AO167"/>
      <c r="AP167"/>
      <c r="AQ167"/>
      <c r="AR167"/>
      <c r="AS167"/>
      <c r="AT167"/>
      <c r="AU167"/>
      <c r="AV167"/>
      <c r="AW167"/>
      <c r="AX167"/>
      <c r="AY167"/>
      <c r="AZ167"/>
      <c r="BA167"/>
      <c r="BB167"/>
      <c r="BC167"/>
      <c r="BD167"/>
      <c r="BE167"/>
      <c r="BF167"/>
      <c r="BG167"/>
      <c r="BH167"/>
      <c r="BI167"/>
      <c r="BJ167"/>
      <c r="BK167"/>
      <c r="BL167"/>
      <c r="BM167"/>
      <c r="BN167"/>
      <c r="BO167"/>
      <c r="BP167"/>
      <c r="BQ167"/>
      <c r="BR167"/>
      <c r="BS167"/>
      <c r="BT167"/>
      <c r="BU167"/>
      <c r="BV167"/>
      <c r="BW167"/>
      <c r="BX167"/>
      <c r="BY167"/>
      <c r="BZ167"/>
      <c r="CA167"/>
      <c r="CB167"/>
      <c r="CC167"/>
    </row>
    <row r="168" spans="1:81" x14ac:dyDescent="0.25">
      <c r="A168"/>
      <c r="B168"/>
      <c r="C168"/>
      <c r="D168"/>
      <c r="E168"/>
      <c r="F168"/>
      <c r="G168"/>
      <c r="H168"/>
      <c r="I168"/>
      <c r="J168"/>
      <c r="K168"/>
      <c r="L168"/>
      <c r="M168"/>
      <c r="N168"/>
      <c r="O168"/>
      <c r="P168"/>
      <c r="Q168"/>
      <c r="R168"/>
      <c r="S168"/>
      <c r="T168"/>
      <c r="U168"/>
      <c r="V168"/>
      <c r="W168"/>
      <c r="X168"/>
      <c r="Y168"/>
      <c r="Z168"/>
      <c r="AA168"/>
      <c r="AB168"/>
      <c r="AC168"/>
      <c r="AD168"/>
      <c r="AE168"/>
      <c r="AF168"/>
      <c r="AG168"/>
      <c r="AH168"/>
      <c r="AI168"/>
      <c r="AJ168"/>
      <c r="AK168"/>
      <c r="AL168"/>
      <c r="AM168"/>
      <c r="AN168"/>
      <c r="AO168"/>
      <c r="AP168"/>
      <c r="AQ168"/>
      <c r="AR168"/>
      <c r="AS168"/>
      <c r="AT168"/>
      <c r="AU168"/>
      <c r="AV168"/>
      <c r="AW168"/>
      <c r="AX168"/>
      <c r="AY168"/>
      <c r="AZ168"/>
      <c r="BA168"/>
      <c r="BB168"/>
      <c r="BC168"/>
      <c r="BD168"/>
      <c r="BE168"/>
      <c r="BF168"/>
      <c r="BG168"/>
      <c r="BH168"/>
      <c r="BI168"/>
      <c r="BJ168"/>
      <c r="BK168"/>
      <c r="BL168"/>
      <c r="BM168"/>
      <c r="BN168"/>
      <c r="BO168"/>
      <c r="BP168"/>
      <c r="BQ168"/>
      <c r="BR168"/>
      <c r="BS168"/>
      <c r="BT168"/>
      <c r="BU168"/>
      <c r="BV168"/>
      <c r="BW168"/>
      <c r="BX168"/>
      <c r="BY168"/>
      <c r="BZ168"/>
      <c r="CA168"/>
      <c r="CB168"/>
      <c r="CC168"/>
    </row>
    <row r="169" spans="1:81" x14ac:dyDescent="0.25">
      <c r="A169"/>
      <c r="B169"/>
      <c r="C169"/>
      <c r="D169"/>
      <c r="E169"/>
      <c r="F169"/>
      <c r="G169"/>
      <c r="H169"/>
      <c r="I169"/>
      <c r="J169"/>
      <c r="K169"/>
      <c r="L169"/>
      <c r="M169"/>
      <c r="N169"/>
      <c r="O169"/>
      <c r="P169"/>
      <c r="Q169"/>
      <c r="R169"/>
      <c r="S169"/>
      <c r="T169"/>
      <c r="U169"/>
      <c r="V169"/>
      <c r="W169"/>
      <c r="X169"/>
      <c r="Y169"/>
      <c r="Z169"/>
      <c r="AA169"/>
      <c r="AB169"/>
      <c r="AC169"/>
      <c r="AD169"/>
      <c r="AE169"/>
      <c r="AF169"/>
      <c r="AG169"/>
      <c r="AH169"/>
      <c r="AI169"/>
      <c r="AJ169"/>
      <c r="AK169"/>
      <c r="AL169"/>
      <c r="AM169"/>
      <c r="AN169"/>
      <c r="AO169"/>
      <c r="AP169"/>
      <c r="AQ169"/>
      <c r="AR169"/>
      <c r="AS169"/>
      <c r="AT169"/>
      <c r="AU169"/>
      <c r="AV169"/>
      <c r="AW169"/>
      <c r="AX169"/>
      <c r="AY169"/>
      <c r="AZ169"/>
      <c r="BA169"/>
      <c r="BB169"/>
      <c r="BC169"/>
      <c r="BD169"/>
      <c r="BE169"/>
      <c r="BF169"/>
      <c r="BG169"/>
      <c r="BH169"/>
      <c r="BI169"/>
      <c r="BJ169"/>
      <c r="BK169"/>
      <c r="BL169"/>
      <c r="BM169"/>
      <c r="BN169"/>
      <c r="BO169"/>
      <c r="BP169"/>
      <c r="BQ169"/>
      <c r="BR169"/>
      <c r="BS169"/>
      <c r="BT169"/>
      <c r="BU169"/>
      <c r="BV169"/>
      <c r="BW169"/>
      <c r="BX169"/>
      <c r="BY169"/>
      <c r="BZ169"/>
      <c r="CA169"/>
      <c r="CB169"/>
      <c r="CC169"/>
    </row>
    <row r="170" spans="1:81" x14ac:dyDescent="0.25">
      <c r="A170"/>
      <c r="B170"/>
      <c r="C170"/>
      <c r="D170"/>
      <c r="E170"/>
      <c r="F170"/>
      <c r="G170"/>
      <c r="H170"/>
      <c r="I170"/>
      <c r="J170"/>
      <c r="K170"/>
      <c r="L170"/>
      <c r="M170"/>
      <c r="N170"/>
      <c r="O170"/>
      <c r="P170"/>
      <c r="Q170"/>
      <c r="R170"/>
      <c r="S170"/>
      <c r="T170"/>
      <c r="U170"/>
      <c r="V170"/>
      <c r="W170"/>
      <c r="X170"/>
      <c r="Y170"/>
      <c r="Z170"/>
      <c r="AA170"/>
      <c r="AB170"/>
      <c r="AC170"/>
      <c r="AD170"/>
      <c r="AE170"/>
      <c r="AF170"/>
      <c r="AG170"/>
      <c r="AH170"/>
      <c r="AI170"/>
      <c r="AJ170"/>
      <c r="AK170"/>
      <c r="AL170"/>
      <c r="AM170"/>
      <c r="AN170"/>
      <c r="AO170"/>
      <c r="AP170"/>
      <c r="AQ170"/>
      <c r="AR170"/>
      <c r="AS170"/>
      <c r="AT170"/>
      <c r="AU170"/>
      <c r="AV170"/>
      <c r="AW170"/>
      <c r="AX170"/>
      <c r="AY170"/>
      <c r="AZ170"/>
      <c r="BA170"/>
      <c r="BB170"/>
      <c r="BC170"/>
      <c r="BD170"/>
      <c r="BE170"/>
      <c r="BF170"/>
      <c r="BG170"/>
      <c r="BH170"/>
      <c r="BI170"/>
      <c r="BJ170"/>
      <c r="BK170"/>
      <c r="BL170"/>
      <c r="BM170"/>
      <c r="BN170"/>
      <c r="BO170"/>
      <c r="BP170"/>
      <c r="BQ170"/>
      <c r="BR170"/>
      <c r="BS170"/>
      <c r="BT170"/>
      <c r="BU170"/>
      <c r="BV170"/>
      <c r="BW170"/>
      <c r="BX170"/>
      <c r="BY170"/>
      <c r="BZ170"/>
      <c r="CA170"/>
      <c r="CB170"/>
      <c r="CC170"/>
    </row>
    <row r="171" spans="1:81" x14ac:dyDescent="0.25">
      <c r="A171"/>
      <c r="B171"/>
      <c r="C171"/>
      <c r="D171"/>
      <c r="E171"/>
      <c r="F171"/>
      <c r="G171"/>
      <c r="H171"/>
      <c r="I171"/>
      <c r="J171"/>
      <c r="K171"/>
      <c r="L171"/>
      <c r="M171"/>
      <c r="N171"/>
      <c r="O171"/>
      <c r="P171"/>
      <c r="Q171"/>
      <c r="R171"/>
      <c r="S171"/>
      <c r="T171"/>
      <c r="U171"/>
      <c r="V171"/>
      <c r="W171"/>
      <c r="X171"/>
      <c r="Y171"/>
      <c r="Z171"/>
      <c r="AA171"/>
      <c r="AB171"/>
      <c r="AC171"/>
      <c r="AD171"/>
      <c r="AE171"/>
      <c r="AF171"/>
      <c r="AG171"/>
      <c r="AH171"/>
      <c r="AI171"/>
      <c r="AJ171"/>
      <c r="AK171"/>
      <c r="AL171"/>
      <c r="AM171"/>
      <c r="AN171"/>
      <c r="AO171"/>
      <c r="AP171"/>
      <c r="AQ171"/>
      <c r="AR171"/>
      <c r="AS171"/>
      <c r="AT171"/>
      <c r="AU171"/>
      <c r="AV171"/>
      <c r="AW171"/>
      <c r="AX171"/>
      <c r="AY171"/>
      <c r="AZ171"/>
      <c r="BA171"/>
      <c r="BB171"/>
      <c r="BC171"/>
      <c r="BD171"/>
      <c r="BE171"/>
      <c r="BF171"/>
      <c r="BG171"/>
      <c r="BH171"/>
      <c r="BI171"/>
      <c r="BJ171"/>
      <c r="BK171"/>
      <c r="BL171"/>
      <c r="BM171"/>
      <c r="BN171"/>
      <c r="BO171"/>
      <c r="BP171"/>
      <c r="BQ171"/>
      <c r="BR171"/>
      <c r="BS171"/>
      <c r="BT171"/>
      <c r="BU171"/>
      <c r="BV171"/>
      <c r="BW171"/>
      <c r="BX171"/>
      <c r="BY171"/>
      <c r="BZ171"/>
      <c r="CA171"/>
      <c r="CB171"/>
      <c r="CC171"/>
    </row>
    <row r="172" spans="1:81" x14ac:dyDescent="0.25">
      <c r="A172"/>
      <c r="B172"/>
      <c r="C172"/>
      <c r="D172"/>
      <c r="E172"/>
      <c r="F172"/>
      <c r="G172"/>
      <c r="H172"/>
      <c r="I172"/>
      <c r="J172"/>
      <c r="K172"/>
      <c r="L172"/>
      <c r="M172"/>
      <c r="N172"/>
      <c r="O172"/>
      <c r="P172"/>
      <c r="Q172"/>
      <c r="R172"/>
      <c r="S172"/>
      <c r="T172"/>
      <c r="U172"/>
      <c r="V172"/>
      <c r="W172"/>
      <c r="X172"/>
      <c r="Y172"/>
      <c r="Z172"/>
      <c r="AA172"/>
      <c r="AB172"/>
      <c r="AC172"/>
      <c r="AD172"/>
      <c r="AE172"/>
      <c r="AF172"/>
      <c r="AG172"/>
      <c r="AH172"/>
      <c r="AI172"/>
      <c r="AJ172"/>
      <c r="AK172"/>
      <c r="AL172"/>
      <c r="AM172"/>
      <c r="AN172"/>
      <c r="AO172"/>
      <c r="AP172"/>
      <c r="AQ172"/>
      <c r="AR172"/>
      <c r="AS172"/>
      <c r="AT172"/>
      <c r="AU172"/>
      <c r="AV172"/>
      <c r="AW172"/>
      <c r="AX172"/>
      <c r="AY172"/>
      <c r="AZ172"/>
      <c r="BA172"/>
      <c r="BB172"/>
      <c r="BC172"/>
      <c r="BD172"/>
      <c r="BE172"/>
      <c r="BF172"/>
      <c r="BG172"/>
      <c r="BH172"/>
      <c r="BI172"/>
      <c r="BJ172"/>
      <c r="BK172"/>
      <c r="BL172"/>
      <c r="BM172"/>
      <c r="BN172"/>
      <c r="BO172"/>
      <c r="BP172"/>
      <c r="BQ172"/>
      <c r="BR172"/>
      <c r="BS172"/>
      <c r="BT172"/>
      <c r="BU172"/>
      <c r="BV172"/>
      <c r="BW172"/>
      <c r="BX172"/>
      <c r="BY172"/>
      <c r="BZ172"/>
      <c r="CA172"/>
      <c r="CB172"/>
      <c r="CC172"/>
    </row>
    <row r="173" spans="1:81" x14ac:dyDescent="0.25">
      <c r="A173"/>
      <c r="B173"/>
      <c r="C173"/>
      <c r="D173"/>
      <c r="E173"/>
      <c r="F173"/>
      <c r="G173"/>
      <c r="H173"/>
      <c r="I173"/>
      <c r="J173"/>
      <c r="K173"/>
      <c r="L173"/>
      <c r="M173"/>
      <c r="N173"/>
      <c r="O173"/>
      <c r="P173"/>
      <c r="Q173"/>
      <c r="R173"/>
      <c r="S173"/>
      <c r="T173"/>
      <c r="U173"/>
      <c r="V173"/>
      <c r="W173"/>
      <c r="X173"/>
      <c r="Y173"/>
      <c r="Z173"/>
      <c r="AA173"/>
      <c r="AB173"/>
      <c r="AC173"/>
      <c r="AD173"/>
      <c r="AE173"/>
      <c r="AF173"/>
      <c r="AG173"/>
      <c r="AH173"/>
      <c r="AI173"/>
      <c r="AJ173"/>
      <c r="AK173"/>
      <c r="AL173"/>
      <c r="AM173"/>
      <c r="AN173"/>
      <c r="AO173"/>
      <c r="AP173"/>
      <c r="AQ173"/>
      <c r="AR173"/>
      <c r="AS173"/>
      <c r="AT173"/>
      <c r="AU173"/>
      <c r="AV173"/>
      <c r="AW173"/>
      <c r="AX173"/>
      <c r="AY173"/>
      <c r="AZ173"/>
      <c r="BA173"/>
      <c r="BB173"/>
      <c r="BC173"/>
      <c r="BD173"/>
      <c r="BE173"/>
      <c r="BF173"/>
      <c r="BG173"/>
      <c r="BH173"/>
      <c r="BI173"/>
      <c r="BJ173"/>
      <c r="BK173"/>
      <c r="BL173"/>
      <c r="BM173"/>
      <c r="BN173"/>
      <c r="BO173"/>
      <c r="BP173"/>
      <c r="BQ173"/>
      <c r="BR173"/>
      <c r="BS173"/>
      <c r="BT173"/>
      <c r="BU173"/>
      <c r="BV173"/>
      <c r="BW173"/>
      <c r="BX173"/>
      <c r="BY173"/>
      <c r="BZ173"/>
      <c r="CA173"/>
      <c r="CB173"/>
      <c r="CC173"/>
    </row>
    <row r="174" spans="1:81" x14ac:dyDescent="0.25">
      <c r="A174"/>
      <c r="B174"/>
      <c r="C174"/>
      <c r="D174"/>
      <c r="E174"/>
      <c r="F174"/>
      <c r="G174"/>
      <c r="H174"/>
      <c r="I174"/>
      <c r="J174"/>
      <c r="K174"/>
      <c r="L174"/>
      <c r="M174"/>
      <c r="N174"/>
      <c r="O174"/>
      <c r="P174"/>
      <c r="Q174"/>
      <c r="R174"/>
      <c r="S174"/>
      <c r="T174"/>
      <c r="U174"/>
      <c r="V174"/>
      <c r="W174"/>
      <c r="X174"/>
      <c r="Y174"/>
      <c r="Z174"/>
      <c r="AA174"/>
      <c r="AB174"/>
      <c r="AC174"/>
      <c r="AD174"/>
      <c r="AE174"/>
      <c r="AF174"/>
      <c r="AG174"/>
      <c r="AH174"/>
      <c r="AI174"/>
      <c r="AJ174"/>
      <c r="AK174"/>
      <c r="AL174"/>
      <c r="AM174"/>
      <c r="AN174"/>
      <c r="AO174"/>
      <c r="AP174"/>
      <c r="AQ174"/>
      <c r="AR174"/>
      <c r="AS174"/>
      <c r="AT174"/>
      <c r="AU174"/>
      <c r="AV174"/>
      <c r="AW174"/>
      <c r="AX174"/>
      <c r="AY174"/>
      <c r="AZ174"/>
      <c r="BA174"/>
      <c r="BB174"/>
      <c r="BC174"/>
      <c r="BD174"/>
      <c r="BE174"/>
      <c r="BF174"/>
      <c r="BG174"/>
      <c r="BH174"/>
      <c r="BI174"/>
      <c r="BJ174"/>
      <c r="BK174"/>
      <c r="BL174"/>
      <c r="BM174"/>
      <c r="BN174"/>
      <c r="BO174"/>
      <c r="BP174"/>
      <c r="BQ174"/>
      <c r="BR174"/>
      <c r="BS174"/>
      <c r="BT174"/>
      <c r="BU174"/>
      <c r="BV174"/>
      <c r="BW174"/>
      <c r="BX174"/>
      <c r="BY174"/>
      <c r="BZ174"/>
      <c r="CA174"/>
      <c r="CB174"/>
      <c r="CC174"/>
    </row>
    <row r="175" spans="1:81" x14ac:dyDescent="0.25">
      <c r="A175"/>
      <c r="B175"/>
      <c r="C175"/>
      <c r="D175"/>
      <c r="E175"/>
      <c r="F175"/>
      <c r="G175"/>
      <c r="H175"/>
      <c r="I175"/>
      <c r="J175"/>
      <c r="K175"/>
      <c r="L175"/>
      <c r="M175"/>
      <c r="N175"/>
      <c r="O175"/>
      <c r="P175"/>
      <c r="Q175"/>
      <c r="R175"/>
      <c r="S175"/>
      <c r="T175"/>
      <c r="U175"/>
      <c r="V175"/>
      <c r="W175"/>
      <c r="X175"/>
      <c r="Y175"/>
      <c r="Z175"/>
      <c r="AA175"/>
      <c r="AB175"/>
      <c r="AC175"/>
      <c r="AD175"/>
      <c r="AE175"/>
      <c r="AF175"/>
      <c r="AG175"/>
      <c r="AH175"/>
      <c r="AI175"/>
      <c r="AJ175"/>
      <c r="AK175"/>
      <c r="AL175"/>
      <c r="AM175"/>
      <c r="AN175"/>
      <c r="AO175"/>
      <c r="AP175"/>
      <c r="AQ175"/>
      <c r="AR175"/>
      <c r="AS175"/>
      <c r="AT175"/>
      <c r="AU175"/>
      <c r="AV175"/>
      <c r="AW175"/>
      <c r="AX175"/>
      <c r="AY175"/>
      <c r="AZ175"/>
      <c r="BA175"/>
      <c r="BB175"/>
      <c r="BC175"/>
      <c r="BD175"/>
      <c r="BE175"/>
      <c r="BF175"/>
      <c r="BG175"/>
      <c r="BH175"/>
      <c r="BI175"/>
      <c r="BJ175"/>
      <c r="BK175"/>
      <c r="BL175"/>
      <c r="BM175"/>
      <c r="BN175"/>
      <c r="BO175"/>
      <c r="BP175"/>
      <c r="BQ175"/>
      <c r="BR175"/>
      <c r="BS175"/>
      <c r="BT175"/>
      <c r="BU175"/>
      <c r="BV175"/>
      <c r="BW175"/>
      <c r="BX175"/>
      <c r="BY175"/>
      <c r="BZ175"/>
      <c r="CA175"/>
      <c r="CB175"/>
      <c r="CC175"/>
    </row>
    <row r="176" spans="1:81" x14ac:dyDescent="0.25">
      <c r="A176"/>
      <c r="B176"/>
      <c r="C176"/>
      <c r="D176"/>
      <c r="E176"/>
      <c r="F176"/>
      <c r="G176"/>
      <c r="H176"/>
      <c r="I176"/>
      <c r="J176"/>
      <c r="K176"/>
      <c r="L176"/>
      <c r="M176"/>
      <c r="N176"/>
      <c r="O176"/>
      <c r="P176"/>
      <c r="Q176"/>
      <c r="R176"/>
      <c r="S176"/>
      <c r="T176"/>
      <c r="U176"/>
      <c r="V176"/>
      <c r="W176"/>
      <c r="X176"/>
      <c r="Y176"/>
      <c r="Z176"/>
      <c r="AA176"/>
      <c r="AB176"/>
      <c r="AC176"/>
      <c r="AD176"/>
      <c r="AE176"/>
      <c r="AF176"/>
      <c r="AG176"/>
      <c r="AH176"/>
      <c r="AI176"/>
      <c r="AJ176"/>
      <c r="AK176"/>
      <c r="AL176"/>
      <c r="AM176"/>
      <c r="AN176"/>
      <c r="AO176"/>
      <c r="AP176"/>
      <c r="AQ176"/>
      <c r="AR176"/>
      <c r="AS176"/>
      <c r="AT176"/>
      <c r="AU176"/>
      <c r="AV176"/>
      <c r="AW176"/>
      <c r="AX176"/>
      <c r="AY176"/>
      <c r="AZ176"/>
      <c r="BA176"/>
      <c r="BB176"/>
      <c r="BC176"/>
      <c r="BD176"/>
      <c r="BE176"/>
      <c r="BF176"/>
      <c r="BG176"/>
      <c r="BH176"/>
      <c r="BI176"/>
      <c r="BJ176"/>
      <c r="BK176"/>
      <c r="BL176"/>
      <c r="BM176"/>
      <c r="BN176"/>
      <c r="BO176"/>
      <c r="BP176"/>
      <c r="BQ176"/>
      <c r="BR176"/>
      <c r="BS176"/>
      <c r="BT176"/>
      <c r="BU176"/>
      <c r="BV176"/>
      <c r="BW176"/>
      <c r="BX176"/>
      <c r="BY176"/>
      <c r="BZ176"/>
      <c r="CA176"/>
      <c r="CB176"/>
      <c r="CC176"/>
    </row>
    <row r="177" spans="1:81" x14ac:dyDescent="0.25">
      <c r="A177"/>
      <c r="B177"/>
      <c r="C177"/>
      <c r="D177"/>
      <c r="E177"/>
      <c r="F177"/>
      <c r="G177"/>
      <c r="H177"/>
      <c r="I177"/>
      <c r="J177"/>
      <c r="K177"/>
      <c r="L177"/>
      <c r="M177"/>
      <c r="N177"/>
      <c r="O177"/>
      <c r="P177"/>
      <c r="Q177"/>
      <c r="R177"/>
      <c r="S177"/>
      <c r="T177"/>
      <c r="U177"/>
      <c r="V177"/>
      <c r="W177"/>
      <c r="X177"/>
      <c r="Y177"/>
      <c r="Z177"/>
      <c r="AA177"/>
      <c r="AB177"/>
      <c r="AC177"/>
      <c r="AD177"/>
      <c r="AE177"/>
      <c r="AF177"/>
      <c r="AG177"/>
      <c r="AH177"/>
      <c r="AI177"/>
      <c r="AJ177"/>
      <c r="AK177"/>
      <c r="AL177"/>
      <c r="AM177"/>
      <c r="AN177"/>
      <c r="AO177"/>
      <c r="AP177"/>
      <c r="AQ177"/>
      <c r="AR177"/>
      <c r="AS177"/>
      <c r="AT177"/>
      <c r="AU177"/>
      <c r="AV177"/>
      <c r="AW177"/>
      <c r="AX177"/>
      <c r="AY177"/>
      <c r="AZ177"/>
      <c r="BA177"/>
      <c r="BB177"/>
      <c r="BC177"/>
      <c r="BD177"/>
      <c r="BE177"/>
      <c r="BF177"/>
      <c r="BG177"/>
      <c r="BH177"/>
      <c r="BI177"/>
      <c r="BJ177"/>
      <c r="BK177"/>
      <c r="BL177"/>
      <c r="BM177"/>
      <c r="BN177"/>
      <c r="BO177"/>
      <c r="BP177"/>
      <c r="BQ177"/>
      <c r="BR177"/>
      <c r="BS177"/>
      <c r="BT177"/>
      <c r="BU177"/>
      <c r="BV177"/>
      <c r="BW177"/>
      <c r="BX177"/>
      <c r="BY177"/>
      <c r="BZ177"/>
      <c r="CA177"/>
      <c r="CB177"/>
      <c r="CC177"/>
    </row>
    <row r="178" spans="1:81" x14ac:dyDescent="0.25">
      <c r="A178"/>
      <c r="B178"/>
      <c r="C178"/>
      <c r="D178"/>
      <c r="E178"/>
      <c r="F178"/>
      <c r="G178"/>
      <c r="H178"/>
      <c r="I178"/>
      <c r="J178"/>
      <c r="K178"/>
      <c r="L178"/>
      <c r="M178"/>
      <c r="N178"/>
      <c r="O178"/>
      <c r="P178"/>
      <c r="Q178"/>
      <c r="R178"/>
      <c r="S178"/>
      <c r="T178"/>
      <c r="U178"/>
      <c r="V178"/>
      <c r="W178"/>
      <c r="X178"/>
      <c r="Y178"/>
      <c r="Z178"/>
      <c r="AA178"/>
      <c r="AB178"/>
      <c r="AC178"/>
      <c r="AD178"/>
      <c r="AE178"/>
      <c r="AF178"/>
      <c r="AG178"/>
      <c r="AH178"/>
      <c r="AI178"/>
      <c r="AJ178"/>
      <c r="AK178"/>
      <c r="AL178"/>
      <c r="AM178"/>
      <c r="AN178"/>
      <c r="AO178"/>
      <c r="AP178"/>
      <c r="AQ178"/>
      <c r="AR178"/>
      <c r="AS178"/>
      <c r="AT178"/>
      <c r="AU178"/>
      <c r="AV178"/>
      <c r="AW178"/>
      <c r="AX178"/>
      <c r="AY178"/>
      <c r="AZ178"/>
      <c r="BA178"/>
      <c r="BB178"/>
      <c r="BC178"/>
      <c r="BD178"/>
      <c r="BE178"/>
      <c r="BF178"/>
      <c r="BG178"/>
      <c r="BH178"/>
      <c r="BI178"/>
      <c r="BJ178"/>
      <c r="BK178"/>
      <c r="BL178"/>
      <c r="BM178"/>
      <c r="BN178"/>
      <c r="BO178"/>
      <c r="BP178"/>
      <c r="BQ178"/>
      <c r="BR178"/>
      <c r="BS178"/>
      <c r="BT178"/>
      <c r="BU178"/>
      <c r="BV178"/>
      <c r="BW178"/>
      <c r="BX178"/>
      <c r="BY178"/>
      <c r="BZ178"/>
      <c r="CA178"/>
      <c r="CB178"/>
      <c r="CC178"/>
    </row>
    <row r="179" spans="1:81" x14ac:dyDescent="0.25">
      <c r="A179"/>
      <c r="B179"/>
      <c r="C179"/>
      <c r="D179"/>
      <c r="E179"/>
      <c r="F179"/>
      <c r="G179"/>
      <c r="H179"/>
      <c r="I179"/>
      <c r="J179"/>
      <c r="K179"/>
      <c r="L179"/>
      <c r="M179"/>
      <c r="N179"/>
      <c r="O179"/>
      <c r="P179"/>
      <c r="Q179"/>
      <c r="R179"/>
      <c r="S179"/>
      <c r="T179"/>
      <c r="U179"/>
      <c r="V179"/>
      <c r="W179"/>
      <c r="X179"/>
      <c r="Y179"/>
      <c r="Z179"/>
      <c r="AA179"/>
      <c r="AB179"/>
      <c r="AC179"/>
      <c r="AD179"/>
      <c r="AE179"/>
      <c r="AF179"/>
      <c r="AG179"/>
      <c r="AH179"/>
      <c r="AI179"/>
      <c r="AJ179"/>
      <c r="AK179"/>
      <c r="AL179"/>
      <c r="AM179"/>
      <c r="AN179"/>
      <c r="AO179"/>
      <c r="AP179"/>
      <c r="AQ179"/>
      <c r="AR179"/>
      <c r="AS179"/>
      <c r="AT179"/>
      <c r="AU179"/>
      <c r="AV179"/>
      <c r="AW179"/>
      <c r="AX179"/>
      <c r="AY179"/>
      <c r="AZ179"/>
      <c r="BA179"/>
      <c r="BB179"/>
      <c r="BC179"/>
      <c r="BD179"/>
      <c r="BE179"/>
      <c r="BF179"/>
      <c r="BG179"/>
      <c r="BH179"/>
      <c r="BI179"/>
      <c r="BJ179"/>
      <c r="BK179"/>
      <c r="BL179"/>
      <c r="BM179"/>
      <c r="BN179"/>
      <c r="BO179"/>
      <c r="BP179"/>
      <c r="BQ179"/>
      <c r="BR179"/>
      <c r="BS179"/>
      <c r="BT179"/>
      <c r="BU179"/>
      <c r="BV179"/>
      <c r="BW179"/>
      <c r="BX179"/>
      <c r="BY179"/>
      <c r="BZ179"/>
      <c r="CA179"/>
      <c r="CB179"/>
      <c r="CC179"/>
    </row>
    <row r="180" spans="1:81" x14ac:dyDescent="0.25">
      <c r="A180"/>
      <c r="B180"/>
      <c r="C180"/>
      <c r="D180"/>
      <c r="E180"/>
      <c r="F180"/>
      <c r="G180"/>
      <c r="H180"/>
      <c r="I180"/>
      <c r="J180"/>
      <c r="K180"/>
      <c r="L180"/>
      <c r="M180"/>
      <c r="N180"/>
      <c r="O180"/>
      <c r="P180"/>
      <c r="Q180"/>
      <c r="R180"/>
      <c r="S180"/>
      <c r="T180"/>
      <c r="U180"/>
      <c r="V180"/>
      <c r="W180"/>
      <c r="X180"/>
      <c r="Y180"/>
      <c r="Z180"/>
      <c r="AA180"/>
      <c r="AB180"/>
      <c r="AC180"/>
      <c r="AD180"/>
      <c r="AE180"/>
      <c r="AF180"/>
      <c r="AG180"/>
      <c r="AH180"/>
      <c r="AI180"/>
      <c r="AJ180"/>
      <c r="AK180"/>
      <c r="AL180"/>
      <c r="AM180"/>
      <c r="AN180"/>
      <c r="AO180"/>
      <c r="AP180"/>
      <c r="AQ180"/>
      <c r="AR180"/>
      <c r="AS180"/>
      <c r="AT180"/>
      <c r="AU180"/>
      <c r="AV180"/>
      <c r="AW180"/>
      <c r="AX180"/>
      <c r="AY180"/>
      <c r="AZ180"/>
      <c r="BA180"/>
      <c r="BB180"/>
      <c r="BC180"/>
      <c r="BD180"/>
      <c r="BE180"/>
      <c r="BF180"/>
      <c r="BG180"/>
      <c r="BH180"/>
      <c r="BI180"/>
      <c r="BJ180"/>
      <c r="BK180"/>
      <c r="BL180"/>
      <c r="BM180"/>
      <c r="BN180"/>
      <c r="BO180"/>
      <c r="BP180"/>
      <c r="BQ180"/>
      <c r="BR180"/>
      <c r="BS180"/>
      <c r="BT180"/>
      <c r="BU180"/>
      <c r="BV180"/>
      <c r="BW180"/>
      <c r="BX180"/>
      <c r="BY180"/>
      <c r="BZ180"/>
      <c r="CA180"/>
      <c r="CB180"/>
      <c r="CC180"/>
    </row>
    <row r="181" spans="1:81" x14ac:dyDescent="0.25">
      <c r="A181"/>
      <c r="B181"/>
      <c r="C181"/>
      <c r="D181"/>
      <c r="E181"/>
      <c r="F181"/>
      <c r="G181"/>
      <c r="H181"/>
      <c r="I181"/>
      <c r="J181"/>
      <c r="K181"/>
      <c r="L181"/>
      <c r="M181"/>
      <c r="N181"/>
      <c r="O181"/>
      <c r="P181"/>
      <c r="Q181"/>
      <c r="R181"/>
      <c r="S181"/>
      <c r="T181"/>
      <c r="U181"/>
      <c r="V181"/>
      <c r="W181"/>
      <c r="X181"/>
      <c r="Y181"/>
      <c r="Z181"/>
      <c r="AA181"/>
      <c r="AB181"/>
      <c r="AC181"/>
      <c r="AD181"/>
      <c r="AE181"/>
      <c r="AF181"/>
      <c r="AG181"/>
      <c r="AH181"/>
      <c r="AI181"/>
      <c r="AJ181"/>
      <c r="AK181"/>
      <c r="AL181"/>
      <c r="AM181"/>
      <c r="AN181"/>
      <c r="AO181"/>
      <c r="AP181"/>
      <c r="AQ181"/>
      <c r="AR181"/>
      <c r="AS181"/>
      <c r="AT181"/>
      <c r="AU181"/>
      <c r="AV181"/>
      <c r="AW181"/>
      <c r="AX181"/>
      <c r="AY181"/>
      <c r="AZ181"/>
      <c r="BA181"/>
      <c r="BB181"/>
      <c r="BC181"/>
      <c r="BD181"/>
      <c r="BE181"/>
      <c r="BF181"/>
      <c r="BG181"/>
      <c r="BH181"/>
      <c r="BI181"/>
      <c r="BJ181"/>
      <c r="BK181"/>
      <c r="BL181"/>
      <c r="BM181"/>
      <c r="BN181"/>
      <c r="BO181"/>
      <c r="BP181"/>
      <c r="BQ181"/>
      <c r="BR181"/>
      <c r="BS181"/>
      <c r="BT181"/>
      <c r="BU181"/>
      <c r="BV181"/>
      <c r="BW181"/>
      <c r="BX181"/>
      <c r="BY181"/>
      <c r="BZ181"/>
      <c r="CA181"/>
      <c r="CB181"/>
      <c r="CC181"/>
    </row>
    <row r="182" spans="1:81" x14ac:dyDescent="0.25">
      <c r="A182"/>
      <c r="B182"/>
      <c r="C182"/>
      <c r="D182"/>
      <c r="E182"/>
      <c r="F182"/>
      <c r="G182"/>
      <c r="H182"/>
      <c r="I182"/>
      <c r="J182"/>
      <c r="K182"/>
      <c r="L182"/>
      <c r="M182"/>
      <c r="N182"/>
      <c r="O182"/>
      <c r="P182"/>
      <c r="Q182"/>
      <c r="R182"/>
      <c r="S182"/>
      <c r="T182"/>
      <c r="U182"/>
      <c r="V182"/>
      <c r="W182"/>
      <c r="X182"/>
      <c r="Y182"/>
      <c r="Z182"/>
      <c r="AA182"/>
      <c r="AB182"/>
      <c r="AC182"/>
      <c r="AD182"/>
      <c r="AE182"/>
      <c r="AF182"/>
      <c r="AG182"/>
      <c r="AH182"/>
      <c r="AI182"/>
      <c r="AJ182"/>
      <c r="AK182"/>
      <c r="AL182"/>
      <c r="AM182"/>
      <c r="AN182"/>
      <c r="AO182"/>
      <c r="AP182"/>
      <c r="AQ182"/>
      <c r="AR182"/>
      <c r="AS182"/>
      <c r="AT182"/>
      <c r="AU182"/>
      <c r="AV182"/>
      <c r="AW182"/>
      <c r="AX182"/>
      <c r="AY182"/>
      <c r="AZ182"/>
      <c r="BA182"/>
      <c r="BB182"/>
      <c r="BC182"/>
      <c r="BD182"/>
      <c r="BE182"/>
      <c r="BF182"/>
      <c r="BG182"/>
      <c r="BH182"/>
      <c r="BI182"/>
      <c r="BJ182"/>
      <c r="BK182"/>
      <c r="BL182"/>
      <c r="BM182"/>
      <c r="BN182"/>
      <c r="BO182"/>
      <c r="BP182"/>
      <c r="BQ182"/>
      <c r="BR182"/>
      <c r="BS182"/>
      <c r="BT182"/>
      <c r="BU182"/>
      <c r="BV182"/>
      <c r="BW182"/>
      <c r="BX182"/>
      <c r="BY182"/>
      <c r="BZ182"/>
      <c r="CA182"/>
      <c r="CB182"/>
      <c r="CC182"/>
    </row>
    <row r="183" spans="1:81" x14ac:dyDescent="0.25">
      <c r="A183"/>
      <c r="B183"/>
      <c r="C183"/>
      <c r="D183"/>
      <c r="E183"/>
      <c r="F183"/>
      <c r="G183"/>
      <c r="H183"/>
      <c r="I183"/>
      <c r="J183"/>
      <c r="K183"/>
      <c r="L183"/>
      <c r="M183"/>
      <c r="N183"/>
      <c r="O183"/>
      <c r="P183"/>
      <c r="Q183"/>
      <c r="R183"/>
      <c r="S183"/>
      <c r="T183"/>
      <c r="U183"/>
      <c r="V183"/>
      <c r="W183"/>
      <c r="X183"/>
      <c r="Y183"/>
      <c r="Z183"/>
      <c r="AA183"/>
      <c r="AB183"/>
      <c r="AC183"/>
      <c r="AD183"/>
      <c r="AE183"/>
      <c r="AF183"/>
      <c r="AG183"/>
      <c r="AH183"/>
      <c r="AI183"/>
      <c r="AJ183"/>
      <c r="AK183"/>
      <c r="AL183"/>
      <c r="AM183"/>
      <c r="AN183"/>
      <c r="AO183"/>
      <c r="AP183"/>
      <c r="AQ183"/>
      <c r="AR183"/>
      <c r="AS183"/>
      <c r="AT183"/>
      <c r="AU183"/>
      <c r="AV183"/>
      <c r="AW183"/>
      <c r="AX183"/>
      <c r="AY183"/>
      <c r="AZ183"/>
      <c r="BA183"/>
      <c r="BB183"/>
      <c r="BC183"/>
      <c r="BD183"/>
      <c r="BE183"/>
      <c r="BF183"/>
      <c r="BG183"/>
      <c r="BH183"/>
      <c r="BI183"/>
      <c r="BJ183"/>
      <c r="BK183"/>
      <c r="BL183"/>
      <c r="BM183"/>
      <c r="BN183"/>
      <c r="BO183"/>
      <c r="BP183"/>
      <c r="BQ183"/>
      <c r="BR183"/>
      <c r="BS183"/>
      <c r="BT183"/>
      <c r="BU183"/>
      <c r="BV183"/>
      <c r="BW183"/>
      <c r="BX183"/>
      <c r="BY183"/>
      <c r="BZ183"/>
      <c r="CA183"/>
      <c r="CB183"/>
      <c r="CC183"/>
    </row>
    <row r="184" spans="1:81" x14ac:dyDescent="0.25">
      <c r="A184"/>
      <c r="B184"/>
      <c r="C184"/>
      <c r="D184"/>
      <c r="E184"/>
      <c r="F184"/>
      <c r="G184"/>
      <c r="H184"/>
      <c r="I184"/>
      <c r="J184"/>
      <c r="K184"/>
      <c r="L184"/>
      <c r="M184"/>
      <c r="N184"/>
      <c r="O184"/>
      <c r="P184"/>
      <c r="Q184"/>
      <c r="R184"/>
      <c r="S184"/>
      <c r="T184"/>
      <c r="U184"/>
      <c r="V184"/>
      <c r="W184"/>
      <c r="X184"/>
      <c r="Y184"/>
      <c r="Z184"/>
      <c r="AA184"/>
      <c r="AB184"/>
      <c r="AC184"/>
      <c r="AD184"/>
      <c r="AE184"/>
      <c r="AF184"/>
      <c r="AG184"/>
      <c r="AH184"/>
      <c r="AI184"/>
      <c r="AJ184"/>
      <c r="AK184"/>
      <c r="AL184"/>
      <c r="AM184"/>
      <c r="AN184"/>
      <c r="AO184"/>
      <c r="AP184"/>
      <c r="AQ184"/>
      <c r="AR184"/>
      <c r="AS184"/>
      <c r="AT184"/>
      <c r="AU184"/>
      <c r="AV184"/>
      <c r="AW184"/>
      <c r="AX184"/>
      <c r="AY184"/>
      <c r="AZ184"/>
      <c r="BA184"/>
      <c r="BB184"/>
      <c r="BC184"/>
      <c r="BD184"/>
      <c r="BE184"/>
      <c r="BF184"/>
      <c r="BG184"/>
      <c r="BH184"/>
      <c r="BI184"/>
      <c r="BJ184"/>
      <c r="BK184"/>
      <c r="BL184"/>
      <c r="BM184"/>
      <c r="BN184"/>
      <c r="BO184"/>
      <c r="BP184"/>
      <c r="BQ184"/>
      <c r="BR184"/>
      <c r="BS184"/>
      <c r="BT184"/>
      <c r="BU184"/>
      <c r="BV184"/>
      <c r="BW184"/>
      <c r="BX184"/>
      <c r="BY184"/>
      <c r="BZ184"/>
      <c r="CA184"/>
      <c r="CB184"/>
      <c r="CC184"/>
    </row>
    <row r="185" spans="1:81" x14ac:dyDescent="0.25">
      <c r="A185"/>
      <c r="B185"/>
      <c r="C185"/>
      <c r="D185"/>
      <c r="E185"/>
      <c r="F185"/>
      <c r="G185"/>
      <c r="H185"/>
      <c r="I185"/>
      <c r="J185"/>
      <c r="K185"/>
      <c r="L185"/>
      <c r="M185"/>
      <c r="N185"/>
      <c r="O185"/>
      <c r="P185"/>
      <c r="Q185"/>
      <c r="R185"/>
      <c r="S185"/>
      <c r="T185"/>
      <c r="U185"/>
      <c r="V185"/>
      <c r="W185"/>
      <c r="X185"/>
      <c r="Y185"/>
      <c r="Z185"/>
      <c r="AA185"/>
      <c r="AB185"/>
      <c r="AC185"/>
      <c r="AD185"/>
      <c r="AE185"/>
      <c r="AF185"/>
      <c r="AG185"/>
      <c r="AH185"/>
      <c r="AI185"/>
      <c r="AJ185"/>
      <c r="AK185"/>
      <c r="AL185"/>
      <c r="AM185"/>
      <c r="AN185"/>
      <c r="AO185"/>
      <c r="AP185"/>
      <c r="AQ185"/>
      <c r="AR185"/>
      <c r="AS185"/>
      <c r="AT185"/>
      <c r="AU185"/>
      <c r="AV185"/>
      <c r="AW185"/>
      <c r="AX185"/>
      <c r="AY185"/>
      <c r="AZ185"/>
      <c r="BA185"/>
      <c r="BB185"/>
      <c r="BC185"/>
      <c r="BD185"/>
      <c r="BE185"/>
      <c r="BF185"/>
      <c r="BG185"/>
      <c r="BH185"/>
      <c r="BI185"/>
      <c r="BJ185"/>
      <c r="BK185"/>
      <c r="BL185"/>
      <c r="BM185"/>
      <c r="BN185"/>
      <c r="BO185"/>
      <c r="BP185"/>
      <c r="BQ185"/>
      <c r="BR185"/>
      <c r="BS185"/>
      <c r="BT185"/>
      <c r="BU185"/>
      <c r="BV185"/>
      <c r="BW185"/>
      <c r="BX185"/>
      <c r="BY185"/>
      <c r="BZ185"/>
      <c r="CA185"/>
      <c r="CB185"/>
      <c r="CC185"/>
    </row>
    <row r="186" spans="1:81" x14ac:dyDescent="0.25">
      <c r="A186"/>
      <c r="B186"/>
      <c r="C186"/>
      <c r="D186"/>
      <c r="E186"/>
      <c r="F186"/>
      <c r="G186"/>
      <c r="H186"/>
      <c r="I186"/>
      <c r="J186"/>
      <c r="K186"/>
      <c r="L186"/>
      <c r="M186"/>
      <c r="N186"/>
      <c r="O186"/>
      <c r="P186"/>
      <c r="Q186"/>
      <c r="R186"/>
      <c r="S186"/>
      <c r="T186"/>
      <c r="U186"/>
      <c r="V186"/>
      <c r="W186"/>
      <c r="X186"/>
      <c r="Y186"/>
      <c r="Z186"/>
      <c r="AA186"/>
      <c r="AB186"/>
      <c r="AC186"/>
      <c r="AD186"/>
      <c r="AE186"/>
      <c r="AF186"/>
      <c r="AG186"/>
      <c r="AH186"/>
      <c r="AI186"/>
      <c r="AJ186"/>
      <c r="AK186"/>
      <c r="AL186"/>
      <c r="AM186"/>
      <c r="AN186"/>
      <c r="AO186"/>
      <c r="AP186"/>
      <c r="AQ186"/>
      <c r="AR186"/>
      <c r="AS186"/>
      <c r="AT186"/>
      <c r="AU186"/>
      <c r="AV186"/>
      <c r="AW186"/>
      <c r="AX186"/>
      <c r="AY186"/>
      <c r="AZ186"/>
      <c r="BA186"/>
      <c r="BB186"/>
      <c r="BC186"/>
      <c r="BD186"/>
      <c r="BE186"/>
      <c r="BF186"/>
      <c r="BG186"/>
      <c r="BH186"/>
      <c r="BI186"/>
      <c r="BJ186"/>
      <c r="BK186"/>
      <c r="BL186"/>
      <c r="BM186"/>
      <c r="BN186"/>
      <c r="BO186"/>
      <c r="BP186"/>
      <c r="BQ186"/>
      <c r="BR186"/>
      <c r="BS186"/>
      <c r="BT186"/>
      <c r="BU186"/>
      <c r="BV186"/>
      <c r="BW186"/>
      <c r="BX186"/>
      <c r="BY186"/>
      <c r="BZ186"/>
      <c r="CA186"/>
      <c r="CB186"/>
      <c r="CC186"/>
    </row>
    <row r="187" spans="1:81" x14ac:dyDescent="0.25">
      <c r="A187"/>
      <c r="B187"/>
      <c r="C187"/>
      <c r="D187"/>
      <c r="E187"/>
      <c r="F187"/>
      <c r="G187"/>
      <c r="H187"/>
      <c r="I187"/>
      <c r="J187"/>
      <c r="K187"/>
      <c r="L187"/>
      <c r="M187"/>
      <c r="N187"/>
      <c r="O187"/>
      <c r="P187"/>
      <c r="Q187"/>
      <c r="R187"/>
      <c r="S187"/>
      <c r="T187"/>
      <c r="U187"/>
      <c r="V187"/>
      <c r="W187"/>
      <c r="X187"/>
      <c r="Y187"/>
      <c r="Z187"/>
      <c r="AA187"/>
      <c r="AB187"/>
      <c r="AC187"/>
      <c r="AD187"/>
      <c r="AE187"/>
      <c r="AF187"/>
      <c r="AG187"/>
      <c r="AH187"/>
      <c r="AI187"/>
      <c r="AJ187"/>
      <c r="AK187"/>
      <c r="AL187"/>
      <c r="AM187"/>
      <c r="AN187"/>
      <c r="AO187"/>
      <c r="AP187"/>
      <c r="AQ187"/>
      <c r="AR187"/>
      <c r="AS187"/>
      <c r="AT187"/>
      <c r="AU187"/>
      <c r="AV187"/>
      <c r="AW187"/>
      <c r="AX187"/>
      <c r="AY187"/>
      <c r="AZ187"/>
      <c r="BA187"/>
      <c r="BB187"/>
      <c r="BC187"/>
      <c r="BD187"/>
      <c r="BE187"/>
      <c r="BF187"/>
      <c r="BG187"/>
      <c r="BH187"/>
      <c r="BI187"/>
      <c r="BJ187"/>
      <c r="BK187"/>
      <c r="BL187"/>
      <c r="BM187"/>
      <c r="BN187"/>
      <c r="BO187"/>
      <c r="BP187"/>
      <c r="BQ187"/>
      <c r="BR187"/>
      <c r="BS187"/>
      <c r="BT187"/>
      <c r="BU187"/>
      <c r="BV187"/>
      <c r="BW187"/>
      <c r="BX187"/>
      <c r="BY187"/>
      <c r="BZ187"/>
      <c r="CA187"/>
      <c r="CB187"/>
      <c r="CC187"/>
    </row>
    <row r="188" spans="1:81" x14ac:dyDescent="0.25">
      <c r="A188"/>
      <c r="B188"/>
      <c r="C188"/>
      <c r="D188"/>
      <c r="E188"/>
      <c r="F188"/>
      <c r="G188"/>
      <c r="H188"/>
      <c r="I188"/>
      <c r="J188"/>
      <c r="K188"/>
      <c r="L188"/>
      <c r="M188"/>
      <c r="N188"/>
      <c r="O188"/>
      <c r="P188"/>
      <c r="Q188"/>
      <c r="R188"/>
      <c r="S188"/>
      <c r="T188"/>
      <c r="U188"/>
      <c r="V188"/>
      <c r="W188"/>
      <c r="X188"/>
      <c r="Y188"/>
      <c r="Z188"/>
      <c r="AA188"/>
      <c r="AB188"/>
      <c r="AC188"/>
      <c r="AD188"/>
      <c r="AE188"/>
      <c r="AF188"/>
      <c r="AG188"/>
      <c r="AH188"/>
      <c r="AI188"/>
      <c r="AJ188"/>
      <c r="AK188"/>
      <c r="AL188"/>
      <c r="AM188"/>
      <c r="AN188"/>
      <c r="AO188"/>
      <c r="AP188"/>
      <c r="AQ188"/>
      <c r="AR188"/>
      <c r="AS188"/>
      <c r="AT188"/>
      <c r="AU188"/>
      <c r="AV188"/>
      <c r="AW188"/>
      <c r="AX188"/>
      <c r="AY188"/>
      <c r="AZ188"/>
      <c r="BA188"/>
      <c r="BB188"/>
      <c r="BC188"/>
      <c r="BD188"/>
      <c r="BE188"/>
      <c r="BF188"/>
      <c r="BG188"/>
      <c r="BH188"/>
      <c r="BI188"/>
      <c r="BJ188"/>
      <c r="BK188"/>
      <c r="BL188"/>
      <c r="BM188"/>
      <c r="BN188"/>
      <c r="BO188"/>
      <c r="BP188"/>
      <c r="BQ188"/>
      <c r="BR188"/>
      <c r="BS188"/>
      <c r="BT188"/>
      <c r="BU188"/>
      <c r="BV188"/>
      <c r="BW188"/>
      <c r="BX188"/>
      <c r="BY188"/>
      <c r="BZ188"/>
      <c r="CA188"/>
      <c r="CB188"/>
      <c r="CC188"/>
    </row>
    <row r="189" spans="1:81" x14ac:dyDescent="0.25">
      <c r="A189"/>
      <c r="B189"/>
      <c r="C189"/>
      <c r="D189"/>
      <c r="E189"/>
      <c r="F189"/>
      <c r="G189"/>
      <c r="H189"/>
      <c r="I189"/>
      <c r="J189"/>
      <c r="K189"/>
      <c r="L189"/>
      <c r="M189"/>
      <c r="N189"/>
      <c r="O189"/>
      <c r="P189"/>
      <c r="Q189"/>
      <c r="R189"/>
      <c r="S189"/>
      <c r="T189"/>
      <c r="U189"/>
      <c r="V189"/>
      <c r="W189"/>
      <c r="X189"/>
      <c r="Y189"/>
      <c r="Z189"/>
      <c r="AA189"/>
      <c r="AB189"/>
      <c r="AC189"/>
      <c r="AD189"/>
      <c r="AE189"/>
      <c r="AF189"/>
      <c r="AG189"/>
      <c r="AH189"/>
      <c r="AI189"/>
      <c r="AJ189"/>
      <c r="AK189"/>
      <c r="AL189"/>
      <c r="AM189"/>
      <c r="AN189"/>
      <c r="AO189"/>
      <c r="AP189"/>
      <c r="AQ189"/>
      <c r="AR189"/>
      <c r="AS189"/>
      <c r="AT189"/>
      <c r="AU189"/>
      <c r="AV189"/>
      <c r="AW189"/>
      <c r="AX189"/>
      <c r="AY189"/>
      <c r="AZ189"/>
      <c r="BA189"/>
      <c r="BB189"/>
      <c r="BC189"/>
      <c r="BD189"/>
      <c r="BE189"/>
      <c r="BF189"/>
      <c r="BG189"/>
      <c r="BH189"/>
      <c r="BI189"/>
      <c r="BJ189"/>
      <c r="BK189"/>
      <c r="BL189"/>
      <c r="BM189"/>
      <c r="BN189"/>
      <c r="BO189"/>
      <c r="BP189"/>
      <c r="BQ189"/>
      <c r="BR189"/>
      <c r="BS189"/>
      <c r="BT189"/>
      <c r="BU189"/>
      <c r="BV189"/>
      <c r="BW189"/>
      <c r="BX189"/>
      <c r="BY189"/>
      <c r="BZ189"/>
      <c r="CA189"/>
      <c r="CB189"/>
      <c r="CC189"/>
    </row>
    <row r="190" spans="1:81" x14ac:dyDescent="0.25">
      <c r="A190"/>
      <c r="B190"/>
      <c r="C190"/>
      <c r="D190"/>
      <c r="E190"/>
      <c r="F190"/>
      <c r="G190"/>
      <c r="H190"/>
      <c r="I190"/>
      <c r="J190"/>
      <c r="K190"/>
      <c r="L190"/>
      <c r="M190"/>
      <c r="N190"/>
      <c r="O190"/>
      <c r="P190"/>
      <c r="Q190"/>
      <c r="R190"/>
      <c r="S190"/>
      <c r="T190"/>
      <c r="U190"/>
      <c r="V190"/>
      <c r="W190"/>
      <c r="X190"/>
      <c r="Y190"/>
      <c r="Z190"/>
      <c r="AA190"/>
      <c r="AB190"/>
      <c r="AC190"/>
      <c r="AD190"/>
      <c r="AE190"/>
      <c r="AF190"/>
      <c r="AG190"/>
      <c r="AH190"/>
      <c r="AI190"/>
      <c r="AJ190"/>
      <c r="AK190"/>
      <c r="AL190"/>
      <c r="AM190"/>
      <c r="AN190"/>
      <c r="AO190"/>
      <c r="AP190"/>
      <c r="AQ190"/>
      <c r="AR190"/>
      <c r="AS190"/>
      <c r="AT190"/>
      <c r="AU190"/>
      <c r="AV190"/>
      <c r="AW190"/>
      <c r="AX190"/>
      <c r="AY190"/>
      <c r="AZ190"/>
      <c r="BA190"/>
      <c r="BB190"/>
      <c r="BC190"/>
      <c r="BD190"/>
      <c r="BE190"/>
      <c r="BF190"/>
      <c r="BG190"/>
      <c r="BH190"/>
      <c r="BI190"/>
      <c r="BJ190"/>
      <c r="BK190"/>
      <c r="BL190"/>
      <c r="BM190"/>
      <c r="BN190"/>
      <c r="BO190"/>
      <c r="BP190"/>
      <c r="BQ190"/>
      <c r="BR190"/>
      <c r="BS190"/>
      <c r="BT190"/>
      <c r="BU190"/>
      <c r="BV190"/>
      <c r="BW190"/>
      <c r="BX190"/>
      <c r="BY190"/>
      <c r="BZ190"/>
      <c r="CA190"/>
      <c r="CB190"/>
      <c r="CC190"/>
    </row>
    <row r="191" spans="1:81" x14ac:dyDescent="0.25">
      <c r="A191"/>
      <c r="B191"/>
      <c r="C191"/>
      <c r="D191"/>
      <c r="E191"/>
      <c r="F191"/>
      <c r="G191"/>
      <c r="H191"/>
      <c r="I191"/>
      <c r="J191"/>
      <c r="K191"/>
      <c r="L191"/>
      <c r="M191"/>
      <c r="N191"/>
      <c r="O191"/>
      <c r="P191"/>
      <c r="Q191"/>
      <c r="R191"/>
      <c r="S191"/>
      <c r="T191"/>
      <c r="U191"/>
      <c r="V191"/>
      <c r="W191"/>
      <c r="X191"/>
      <c r="Y191"/>
      <c r="Z191"/>
      <c r="AA191"/>
      <c r="AB191"/>
      <c r="AC191"/>
      <c r="AD191"/>
      <c r="AE191"/>
      <c r="AF191"/>
      <c r="AG191"/>
      <c r="AH191"/>
      <c r="AI191"/>
      <c r="AJ191"/>
      <c r="AK191"/>
      <c r="AL191"/>
      <c r="AM191"/>
      <c r="AN191"/>
      <c r="AO191"/>
      <c r="AP191"/>
      <c r="AQ191"/>
      <c r="AR191"/>
      <c r="AS191"/>
      <c r="AT191"/>
      <c r="AU191"/>
      <c r="AV191"/>
      <c r="AW191"/>
      <c r="AX191"/>
      <c r="AY191"/>
      <c r="AZ191"/>
      <c r="BA191"/>
      <c r="BB191"/>
      <c r="BC191"/>
      <c r="BD191"/>
      <c r="BE191"/>
      <c r="BF191"/>
      <c r="BG191"/>
      <c r="BH191"/>
      <c r="BI191"/>
      <c r="BJ191"/>
      <c r="BK191"/>
      <c r="BL191"/>
      <c r="BM191"/>
      <c r="BN191"/>
      <c r="BO191"/>
      <c r="BP191"/>
      <c r="BQ191"/>
      <c r="BR191"/>
      <c r="BS191"/>
      <c r="BT191"/>
      <c r="BU191"/>
      <c r="BV191"/>
      <c r="BW191"/>
      <c r="BX191"/>
      <c r="BY191"/>
      <c r="BZ191"/>
      <c r="CA191"/>
      <c r="CB191"/>
      <c r="CC191"/>
    </row>
    <row r="192" spans="1:81" x14ac:dyDescent="0.25">
      <c r="A192"/>
      <c r="B192"/>
      <c r="C192"/>
      <c r="D192"/>
      <c r="E192"/>
      <c r="F192"/>
      <c r="G192"/>
      <c r="H192"/>
      <c r="I192"/>
      <c r="J192"/>
      <c r="K192"/>
      <c r="L192"/>
      <c r="M192"/>
      <c r="N192"/>
      <c r="O192"/>
      <c r="P192"/>
      <c r="Q192"/>
      <c r="R192"/>
      <c r="S192"/>
      <c r="T192"/>
      <c r="U192"/>
      <c r="V192"/>
      <c r="W192"/>
      <c r="X192"/>
      <c r="Y192"/>
      <c r="Z192"/>
      <c r="AA192"/>
      <c r="AB192"/>
      <c r="AC192"/>
      <c r="AD192"/>
      <c r="AE192"/>
      <c r="AF192"/>
      <c r="AG192"/>
      <c r="AH192"/>
      <c r="AI192"/>
      <c r="AJ192"/>
      <c r="AK192"/>
      <c r="AL192"/>
      <c r="AM192"/>
      <c r="AN192"/>
      <c r="AO192"/>
      <c r="AP192"/>
      <c r="AQ192"/>
      <c r="AR192"/>
      <c r="AS192"/>
      <c r="AT192"/>
      <c r="AU192"/>
      <c r="AV192"/>
      <c r="AW192"/>
      <c r="AX192"/>
      <c r="AY192"/>
      <c r="AZ192"/>
      <c r="BA192"/>
      <c r="BB192"/>
      <c r="BC192"/>
      <c r="BD192"/>
      <c r="BE192"/>
      <c r="BF192"/>
      <c r="BG192"/>
      <c r="BH192"/>
      <c r="BI192"/>
      <c r="BJ192"/>
      <c r="BK192"/>
      <c r="BL192"/>
      <c r="BM192"/>
      <c r="BN192"/>
      <c r="BO192"/>
      <c r="BP192"/>
      <c r="BQ192"/>
      <c r="BR192"/>
      <c r="BS192"/>
      <c r="BT192"/>
      <c r="BU192"/>
      <c r="BV192"/>
      <c r="BW192"/>
      <c r="BX192"/>
      <c r="BY192"/>
      <c r="BZ192"/>
      <c r="CA192"/>
      <c r="CB192"/>
      <c r="CC192"/>
    </row>
    <row r="193" spans="1:81" x14ac:dyDescent="0.25">
      <c r="A193"/>
      <c r="B193"/>
      <c r="C193"/>
      <c r="D193"/>
      <c r="E193"/>
      <c r="F193"/>
      <c r="G193"/>
      <c r="H193"/>
      <c r="I193"/>
      <c r="J193"/>
      <c r="K193"/>
      <c r="L193"/>
      <c r="M193"/>
      <c r="N193"/>
      <c r="O193"/>
      <c r="P193"/>
      <c r="Q193"/>
      <c r="R193"/>
      <c r="S193"/>
      <c r="T193"/>
      <c r="U193"/>
      <c r="V193"/>
      <c r="W193"/>
      <c r="X193"/>
      <c r="Y193"/>
      <c r="Z193"/>
      <c r="AA193"/>
      <c r="AB193"/>
      <c r="AC193"/>
      <c r="AD193"/>
      <c r="AE193"/>
      <c r="AF193"/>
      <c r="AG193"/>
      <c r="AH193"/>
      <c r="AI193"/>
      <c r="AJ193"/>
      <c r="AK193"/>
      <c r="AL193"/>
      <c r="AM193"/>
      <c r="AN193"/>
      <c r="AO193"/>
      <c r="AP193"/>
      <c r="AQ193"/>
      <c r="AR193"/>
      <c r="AS193"/>
      <c r="AT193"/>
      <c r="AU193"/>
      <c r="AV193"/>
      <c r="AW193"/>
      <c r="AX193"/>
      <c r="AY193"/>
      <c r="AZ193"/>
      <c r="BA193"/>
      <c r="BB193"/>
      <c r="BC193"/>
      <c r="BD193"/>
      <c r="BE193"/>
      <c r="BF193"/>
      <c r="BG193"/>
      <c r="BH193"/>
      <c r="BI193"/>
      <c r="BJ193"/>
      <c r="BK193"/>
      <c r="BL193"/>
      <c r="BM193"/>
      <c r="BN193"/>
      <c r="BO193"/>
      <c r="BP193"/>
      <c r="BQ193"/>
      <c r="BR193"/>
      <c r="BS193"/>
      <c r="BT193"/>
      <c r="BU193"/>
      <c r="BV193"/>
      <c r="BW193"/>
      <c r="BX193"/>
      <c r="BY193"/>
      <c r="BZ193"/>
      <c r="CA193"/>
      <c r="CB193"/>
      <c r="CC193"/>
    </row>
    <row r="194" spans="1:81" x14ac:dyDescent="0.25">
      <c r="A194"/>
      <c r="B194"/>
      <c r="C194"/>
      <c r="D194"/>
      <c r="E194"/>
      <c r="F194"/>
      <c r="G194"/>
      <c r="H194"/>
      <c r="I194"/>
      <c r="J194"/>
      <c r="K194"/>
      <c r="L194"/>
      <c r="M194"/>
      <c r="N194"/>
      <c r="O194"/>
      <c r="P194"/>
      <c r="Q194"/>
      <c r="R194"/>
      <c r="S194"/>
      <c r="T194"/>
      <c r="U194"/>
      <c r="V194"/>
      <c r="W194"/>
      <c r="X194"/>
      <c r="Y194"/>
      <c r="Z194"/>
      <c r="AA194"/>
      <c r="AB194"/>
      <c r="AC194"/>
      <c r="AD194"/>
      <c r="AE194"/>
      <c r="AF194"/>
      <c r="AG194"/>
      <c r="AH194"/>
      <c r="AI194"/>
      <c r="AJ194"/>
      <c r="AK194"/>
      <c r="AL194"/>
      <c r="AM194"/>
      <c r="AN194"/>
      <c r="AO194"/>
      <c r="AP194"/>
      <c r="AQ194"/>
      <c r="AR194"/>
      <c r="AS194"/>
      <c r="AT194"/>
      <c r="AU194"/>
      <c r="AV194"/>
      <c r="AW194"/>
      <c r="AX194"/>
      <c r="AY194"/>
      <c r="AZ194"/>
      <c r="BA194"/>
      <c r="BB194"/>
      <c r="BC194"/>
      <c r="BD194"/>
      <c r="BE194"/>
      <c r="BF194"/>
      <c r="BG194"/>
      <c r="BH194"/>
      <c r="BI194"/>
      <c r="BJ194"/>
      <c r="BK194"/>
      <c r="BL194"/>
      <c r="BM194"/>
      <c r="BN194"/>
      <c r="BO194"/>
      <c r="BP194"/>
      <c r="BQ194"/>
      <c r="BR194"/>
      <c r="BS194"/>
      <c r="BT194"/>
      <c r="BU194"/>
      <c r="BV194"/>
      <c r="BW194"/>
      <c r="BX194"/>
      <c r="BY194"/>
      <c r="BZ194"/>
      <c r="CA194"/>
      <c r="CB194"/>
      <c r="CC194"/>
    </row>
    <row r="195" spans="1:81" x14ac:dyDescent="0.25">
      <c r="A195"/>
      <c r="B195"/>
      <c r="C195"/>
      <c r="D195"/>
      <c r="E195"/>
      <c r="F195"/>
      <c r="G195"/>
      <c r="H195"/>
      <c r="I195"/>
      <c r="J195"/>
      <c r="K195"/>
      <c r="L195"/>
      <c r="M195"/>
      <c r="N195"/>
      <c r="O195"/>
      <c r="P195"/>
      <c r="Q195"/>
      <c r="R195"/>
      <c r="S195"/>
      <c r="T195"/>
      <c r="U195"/>
      <c r="V195"/>
      <c r="W195"/>
      <c r="X195"/>
      <c r="Y195"/>
      <c r="Z195"/>
      <c r="AA195"/>
      <c r="AB195"/>
      <c r="AC195"/>
      <c r="AD195"/>
      <c r="AE195"/>
      <c r="AF195"/>
      <c r="AG195"/>
      <c r="AH195"/>
      <c r="AI195"/>
      <c r="AJ195"/>
      <c r="AK195"/>
      <c r="AL195"/>
      <c r="AM195"/>
      <c r="AN195"/>
      <c r="AO195"/>
      <c r="AP195"/>
      <c r="AQ195"/>
      <c r="AR195"/>
      <c r="AS195"/>
      <c r="AT195"/>
      <c r="AU195"/>
      <c r="AV195"/>
      <c r="AW195"/>
      <c r="AX195"/>
      <c r="AY195"/>
      <c r="AZ195"/>
      <c r="BA195"/>
      <c r="BB195"/>
      <c r="BC195"/>
      <c r="BD195"/>
      <c r="BE195"/>
      <c r="BF195"/>
      <c r="BG195"/>
      <c r="BH195"/>
      <c r="BI195"/>
      <c r="BJ195"/>
      <c r="BK195"/>
      <c r="BL195"/>
      <c r="BM195"/>
      <c r="BN195"/>
      <c r="BO195"/>
      <c r="BP195"/>
      <c r="BQ195"/>
      <c r="BR195"/>
      <c r="BS195"/>
      <c r="BT195"/>
      <c r="BU195"/>
      <c r="BV195"/>
      <c r="BW195"/>
      <c r="BX195"/>
      <c r="BY195"/>
      <c r="BZ195"/>
      <c r="CA195"/>
      <c r="CB195"/>
      <c r="CC195"/>
    </row>
    <row r="196" spans="1:81" x14ac:dyDescent="0.25">
      <c r="A196"/>
      <c r="B196"/>
      <c r="C196"/>
      <c r="D196"/>
      <c r="E196"/>
      <c r="F196"/>
      <c r="G196"/>
      <c r="H196"/>
      <c r="I196"/>
      <c r="J196"/>
      <c r="K196"/>
      <c r="L196"/>
      <c r="M196"/>
      <c r="N196"/>
      <c r="O196"/>
      <c r="P196"/>
      <c r="Q196"/>
      <c r="R196"/>
      <c r="S196"/>
      <c r="T196"/>
      <c r="U196"/>
      <c r="V196"/>
      <c r="W196"/>
      <c r="X196"/>
      <c r="Y196"/>
      <c r="Z196"/>
      <c r="AA196"/>
      <c r="AB196"/>
      <c r="AC196"/>
      <c r="AD196"/>
      <c r="AE196"/>
      <c r="AF196"/>
      <c r="AG196"/>
      <c r="AH196"/>
      <c r="AI196"/>
      <c r="AJ196"/>
      <c r="AK196"/>
      <c r="AL196"/>
      <c r="AM196"/>
      <c r="AN196"/>
      <c r="AO196"/>
      <c r="AP196"/>
      <c r="AQ196"/>
      <c r="AR196"/>
      <c r="AS196"/>
      <c r="AT196"/>
      <c r="AU196"/>
      <c r="AV196"/>
      <c r="AW196"/>
      <c r="AX196"/>
      <c r="AY196"/>
      <c r="AZ196"/>
      <c r="BA196"/>
      <c r="BB196"/>
      <c r="BC196"/>
      <c r="BD196"/>
      <c r="BE196"/>
      <c r="BF196"/>
      <c r="BG196"/>
      <c r="BH196"/>
      <c r="BI196"/>
      <c r="BJ196"/>
      <c r="BK196"/>
      <c r="BL196"/>
      <c r="BM196"/>
      <c r="BN196"/>
      <c r="BO196"/>
      <c r="BP196"/>
      <c r="BQ196"/>
      <c r="BR196"/>
      <c r="BS196"/>
      <c r="BT196"/>
      <c r="BU196"/>
      <c r="BV196"/>
      <c r="BW196"/>
      <c r="BX196"/>
      <c r="BY196"/>
      <c r="BZ196"/>
      <c r="CA196"/>
      <c r="CB196"/>
      <c r="CC196"/>
    </row>
    <row r="197" spans="1:81" x14ac:dyDescent="0.25">
      <c r="A197"/>
      <c r="B197"/>
      <c r="C197"/>
      <c r="D197"/>
      <c r="E197"/>
      <c r="F197"/>
      <c r="G197"/>
      <c r="H197"/>
      <c r="I197"/>
      <c r="J197"/>
      <c r="K197"/>
      <c r="L197"/>
      <c r="M197"/>
      <c r="N197"/>
      <c r="O197"/>
      <c r="P197"/>
      <c r="Q197"/>
      <c r="R197"/>
      <c r="S197"/>
      <c r="T197"/>
      <c r="U197"/>
      <c r="V197"/>
      <c r="W197"/>
      <c r="X197"/>
      <c r="Y197"/>
      <c r="Z197"/>
      <c r="AA197"/>
      <c r="AB197"/>
      <c r="AC197"/>
      <c r="AD197"/>
      <c r="AE197"/>
      <c r="AF197"/>
      <c r="AG197"/>
      <c r="AH197"/>
      <c r="AI197"/>
      <c r="AJ197"/>
      <c r="AK197"/>
      <c r="AL197"/>
      <c r="AM197"/>
      <c r="AN197"/>
      <c r="AO197"/>
      <c r="AP197"/>
      <c r="AQ197"/>
      <c r="AR197"/>
      <c r="AS197"/>
      <c r="AT197"/>
      <c r="AU197"/>
      <c r="AV197"/>
      <c r="AW197"/>
      <c r="AX197"/>
      <c r="AY197"/>
      <c r="AZ197"/>
      <c r="BA197"/>
      <c r="BB197"/>
      <c r="BC197"/>
      <c r="BD197"/>
      <c r="BE197"/>
      <c r="BF197"/>
      <c r="BG197"/>
      <c r="BH197"/>
      <c r="BI197"/>
      <c r="BJ197"/>
      <c r="BK197"/>
      <c r="BL197"/>
      <c r="BM197"/>
      <c r="BN197"/>
      <c r="BO197"/>
      <c r="BP197"/>
      <c r="BQ197"/>
      <c r="BR197"/>
      <c r="BS197"/>
      <c r="BT197"/>
      <c r="BU197"/>
      <c r="BV197"/>
      <c r="BW197"/>
      <c r="BX197"/>
      <c r="BY197"/>
      <c r="BZ197"/>
      <c r="CA197"/>
      <c r="CB197"/>
      <c r="CC197"/>
    </row>
    <row r="198" spans="1:81" x14ac:dyDescent="0.25">
      <c r="A198"/>
      <c r="B198"/>
      <c r="C198"/>
      <c r="D198"/>
      <c r="E198"/>
      <c r="F198"/>
      <c r="G198"/>
      <c r="H198"/>
      <c r="I198"/>
      <c r="J198"/>
      <c r="K198"/>
      <c r="L198"/>
      <c r="M198"/>
      <c r="N198"/>
      <c r="O198"/>
      <c r="P198"/>
      <c r="Q198"/>
      <c r="R198"/>
      <c r="S198"/>
      <c r="T198"/>
      <c r="U198"/>
      <c r="V198"/>
      <c r="W198"/>
      <c r="X198"/>
      <c r="Y198"/>
      <c r="Z198"/>
      <c r="AA198"/>
      <c r="AB198"/>
      <c r="AC198"/>
      <c r="AD198"/>
      <c r="AE198"/>
      <c r="AF198"/>
      <c r="AG198"/>
      <c r="AH198"/>
      <c r="AI198"/>
      <c r="AJ198"/>
      <c r="AK198"/>
      <c r="AL198"/>
      <c r="AM198"/>
      <c r="AN198"/>
      <c r="AO198"/>
      <c r="AP198"/>
      <c r="AQ198"/>
      <c r="AR198"/>
      <c r="AS198"/>
      <c r="AT198"/>
      <c r="AU198"/>
      <c r="AV198"/>
      <c r="AW198"/>
      <c r="AX198"/>
      <c r="AY198"/>
      <c r="AZ198"/>
      <c r="BA198"/>
      <c r="BB198"/>
      <c r="BC198"/>
      <c r="BD198"/>
      <c r="BE198"/>
      <c r="BF198"/>
      <c r="BG198"/>
      <c r="BH198"/>
      <c r="BI198"/>
      <c r="BJ198"/>
      <c r="BK198"/>
      <c r="BL198"/>
      <c r="BM198"/>
      <c r="BN198"/>
      <c r="BO198"/>
      <c r="BP198"/>
      <c r="BQ198"/>
      <c r="BR198"/>
      <c r="BS198"/>
      <c r="BT198"/>
      <c r="BU198"/>
      <c r="BV198"/>
      <c r="BW198"/>
      <c r="BX198"/>
      <c r="BY198"/>
      <c r="BZ198"/>
      <c r="CA198"/>
      <c r="CB198"/>
      <c r="CC198"/>
    </row>
    <row r="199" spans="1:81" x14ac:dyDescent="0.25">
      <c r="A199"/>
      <c r="B199"/>
      <c r="C199"/>
      <c r="D199"/>
      <c r="E199"/>
      <c r="F199"/>
      <c r="G199"/>
      <c r="H199"/>
      <c r="I199"/>
      <c r="J199"/>
      <c r="K199"/>
      <c r="L199"/>
      <c r="M199"/>
      <c r="N199"/>
      <c r="O199"/>
      <c r="P199"/>
      <c r="Q199"/>
      <c r="R199"/>
      <c r="S199"/>
      <c r="T199"/>
      <c r="U199"/>
      <c r="V199"/>
      <c r="W199"/>
      <c r="X199"/>
      <c r="Y199"/>
      <c r="Z199"/>
      <c r="AA199"/>
      <c r="AB199"/>
      <c r="AC199"/>
      <c r="AD199"/>
      <c r="AE199"/>
      <c r="AF199"/>
      <c r="AG199"/>
      <c r="AH199"/>
      <c r="AI199"/>
      <c r="AJ199"/>
      <c r="AK199"/>
      <c r="AL199"/>
      <c r="AM199"/>
      <c r="AN199"/>
      <c r="AO199"/>
      <c r="AP199"/>
      <c r="AQ199"/>
      <c r="AR199"/>
      <c r="AS199"/>
      <c r="AT199"/>
      <c r="AU199"/>
      <c r="AV199"/>
      <c r="AW199"/>
      <c r="AX199"/>
      <c r="AY199"/>
      <c r="AZ199"/>
      <c r="BA199"/>
      <c r="BB199"/>
      <c r="BC199"/>
      <c r="BD199"/>
      <c r="BE199"/>
      <c r="BF199"/>
      <c r="BG199"/>
      <c r="BH199"/>
      <c r="BI199"/>
      <c r="BJ199"/>
      <c r="BK199"/>
      <c r="BL199"/>
      <c r="BM199"/>
      <c r="BN199"/>
      <c r="BO199"/>
      <c r="BP199"/>
      <c r="BQ199"/>
      <c r="BR199"/>
      <c r="BS199"/>
      <c r="BT199"/>
      <c r="BU199"/>
      <c r="BV199"/>
      <c r="BW199"/>
      <c r="BX199"/>
      <c r="BY199"/>
      <c r="BZ199"/>
      <c r="CA199"/>
      <c r="CB199"/>
      <c r="CC199"/>
    </row>
    <row r="200" spans="1:81" x14ac:dyDescent="0.25">
      <c r="A200"/>
      <c r="B200"/>
      <c r="C200"/>
      <c r="D200"/>
      <c r="E200"/>
      <c r="F200"/>
      <c r="G200"/>
      <c r="H200"/>
      <c r="I200"/>
      <c r="J200"/>
      <c r="K200"/>
      <c r="L200"/>
      <c r="M200"/>
      <c r="N200"/>
      <c r="O200"/>
      <c r="P200"/>
      <c r="Q200"/>
      <c r="R200"/>
      <c r="S200"/>
      <c r="T200"/>
      <c r="U200"/>
      <c r="V200"/>
      <c r="W200"/>
      <c r="X200"/>
      <c r="Y200"/>
      <c r="Z200"/>
      <c r="AA200"/>
      <c r="AB200"/>
      <c r="AC200"/>
      <c r="AD200"/>
      <c r="AE200"/>
      <c r="AF200"/>
      <c r="AG200"/>
      <c r="AH200"/>
      <c r="AI200"/>
      <c r="AJ200"/>
      <c r="AK200"/>
      <c r="AL200"/>
      <c r="AM200"/>
      <c r="AN200"/>
      <c r="AO200"/>
      <c r="AP200"/>
      <c r="AQ200"/>
      <c r="AR200"/>
      <c r="AS200"/>
      <c r="AT200"/>
      <c r="AU200"/>
      <c r="AV200"/>
      <c r="AW200"/>
      <c r="AX200"/>
      <c r="AY200"/>
      <c r="AZ200"/>
      <c r="BA200"/>
      <c r="BB200"/>
      <c r="BC200"/>
      <c r="BD200"/>
      <c r="BE200"/>
      <c r="BF200"/>
      <c r="BG200"/>
      <c r="BH200"/>
      <c r="BI200"/>
      <c r="BJ200"/>
      <c r="BK200"/>
      <c r="BL200"/>
      <c r="BM200"/>
      <c r="BN200"/>
      <c r="BO200"/>
      <c r="BP200"/>
      <c r="BQ200"/>
      <c r="BR200"/>
      <c r="BS200"/>
      <c r="BT200"/>
      <c r="BU200"/>
      <c r="BV200"/>
      <c r="BW200"/>
      <c r="BX200"/>
      <c r="BY200"/>
      <c r="BZ200"/>
      <c r="CA200"/>
      <c r="CB200"/>
      <c r="CC200"/>
    </row>
    <row r="201" spans="1:81" x14ac:dyDescent="0.25">
      <c r="A201"/>
      <c r="B201"/>
      <c r="C201"/>
      <c r="D201"/>
      <c r="E201"/>
      <c r="F201"/>
      <c r="G201"/>
      <c r="H201"/>
      <c r="I201"/>
      <c r="J201"/>
      <c r="K201"/>
      <c r="L201"/>
      <c r="M201"/>
      <c r="N201"/>
      <c r="O201"/>
      <c r="P201"/>
      <c r="Q201"/>
      <c r="R201"/>
      <c r="S201"/>
      <c r="T201"/>
      <c r="U201"/>
      <c r="V201"/>
      <c r="W201"/>
      <c r="X201"/>
      <c r="Y201"/>
      <c r="Z201"/>
      <c r="AA201"/>
      <c r="AB201"/>
      <c r="AC201"/>
      <c r="AD201"/>
      <c r="AE201"/>
      <c r="AF201"/>
      <c r="AG201"/>
      <c r="AH201"/>
      <c r="AI201"/>
      <c r="AJ201"/>
      <c r="AK201"/>
      <c r="AL201"/>
      <c r="AM201"/>
      <c r="AN201"/>
      <c r="AO201"/>
      <c r="AP201"/>
      <c r="AQ201"/>
      <c r="AR201"/>
      <c r="AS201"/>
      <c r="AT201"/>
      <c r="AU201"/>
      <c r="AV201"/>
      <c r="AW201"/>
      <c r="AX201"/>
      <c r="AY201"/>
      <c r="AZ201"/>
      <c r="BA201"/>
      <c r="BB201"/>
      <c r="BC201"/>
      <c r="BD201"/>
      <c r="BE201"/>
      <c r="BF201"/>
      <c r="BG201"/>
      <c r="BH201"/>
      <c r="BI201"/>
      <c r="BJ201"/>
      <c r="BK201"/>
      <c r="BL201"/>
      <c r="BM201"/>
      <c r="BN201"/>
      <c r="BO201"/>
      <c r="BP201"/>
      <c r="BQ201"/>
      <c r="BR201"/>
      <c r="BS201"/>
      <c r="BT201"/>
      <c r="BU201"/>
      <c r="BV201"/>
      <c r="BW201"/>
      <c r="BX201"/>
      <c r="BY201"/>
      <c r="BZ201"/>
      <c r="CA201"/>
      <c r="CB201"/>
      <c r="CC201"/>
    </row>
    <row r="202" spans="1:81" x14ac:dyDescent="0.25">
      <c r="A202"/>
      <c r="B202"/>
      <c r="C202"/>
      <c r="D202"/>
      <c r="E202"/>
      <c r="F202"/>
      <c r="G202"/>
      <c r="H202"/>
      <c r="I202"/>
      <c r="J202"/>
      <c r="K202"/>
      <c r="L202"/>
      <c r="M202"/>
      <c r="N202"/>
      <c r="O202"/>
      <c r="P202"/>
      <c r="Q202"/>
      <c r="R202"/>
      <c r="S202"/>
      <c r="T202"/>
      <c r="U202"/>
      <c r="V202"/>
      <c r="W202"/>
      <c r="X202"/>
      <c r="Y202"/>
      <c r="Z202"/>
      <c r="AA202"/>
      <c r="AB202"/>
      <c r="AC202"/>
      <c r="AD202"/>
      <c r="AE202"/>
      <c r="AF202"/>
      <c r="AG202"/>
      <c r="AH202"/>
      <c r="AI202"/>
      <c r="AJ202"/>
      <c r="AK202"/>
      <c r="AL202"/>
      <c r="AM202"/>
      <c r="AN202"/>
      <c r="AO202"/>
      <c r="AP202"/>
      <c r="AQ202"/>
      <c r="AR202"/>
      <c r="AS202"/>
      <c r="AT202"/>
      <c r="AU202"/>
      <c r="AV202"/>
      <c r="AW202"/>
      <c r="AX202"/>
      <c r="AY202"/>
      <c r="AZ202"/>
      <c r="BA202"/>
      <c r="BB202"/>
      <c r="BC202"/>
      <c r="BD202"/>
      <c r="BE202"/>
      <c r="BF202"/>
      <c r="BG202"/>
      <c r="BH202"/>
      <c r="BI202"/>
      <c r="BJ202"/>
      <c r="BK202"/>
      <c r="BL202"/>
      <c r="BM202"/>
      <c r="BN202"/>
      <c r="BO202"/>
      <c r="BP202"/>
      <c r="BQ202"/>
      <c r="BR202"/>
      <c r="BS202"/>
      <c r="BT202"/>
      <c r="BU202"/>
      <c r="BV202"/>
      <c r="BW202"/>
      <c r="BX202"/>
      <c r="BY202"/>
      <c r="BZ202"/>
      <c r="CA202"/>
      <c r="CB202"/>
      <c r="CC202"/>
    </row>
    <row r="203" spans="1:81" x14ac:dyDescent="0.25">
      <c r="A203"/>
      <c r="B203"/>
      <c r="C203"/>
      <c r="D203"/>
      <c r="E203"/>
      <c r="F203"/>
      <c r="G203"/>
      <c r="H203"/>
      <c r="I203"/>
      <c r="J203"/>
      <c r="K203"/>
      <c r="L203"/>
      <c r="M203"/>
      <c r="N203"/>
      <c r="O203"/>
      <c r="P203"/>
      <c r="Q203"/>
      <c r="R203"/>
      <c r="S203"/>
      <c r="T203"/>
      <c r="U203"/>
      <c r="V203"/>
      <c r="W203"/>
      <c r="X203"/>
      <c r="Y203"/>
      <c r="Z203"/>
      <c r="AA203"/>
      <c r="AB203"/>
      <c r="AC203"/>
      <c r="AD203"/>
      <c r="AE203"/>
      <c r="AF203"/>
      <c r="AG203"/>
      <c r="AH203"/>
      <c r="AI203"/>
      <c r="AJ203"/>
      <c r="AK203"/>
      <c r="AL203"/>
      <c r="AM203"/>
      <c r="AN203"/>
      <c r="AO203"/>
      <c r="AP203"/>
      <c r="AQ203"/>
      <c r="AR203"/>
      <c r="AS203"/>
      <c r="AT203"/>
      <c r="AU203"/>
      <c r="AV203"/>
      <c r="AW203"/>
      <c r="AX203"/>
      <c r="AY203"/>
      <c r="AZ203"/>
      <c r="BA203"/>
      <c r="BB203"/>
      <c r="BC203"/>
      <c r="BD203"/>
      <c r="BE203"/>
      <c r="BF203"/>
      <c r="BG203"/>
      <c r="BH203"/>
      <c r="BI203"/>
      <c r="BJ203"/>
      <c r="BK203"/>
      <c r="BL203"/>
      <c r="BM203"/>
      <c r="BN203"/>
      <c r="BO203"/>
      <c r="BP203"/>
      <c r="BQ203"/>
      <c r="BR203"/>
      <c r="BS203"/>
      <c r="BT203"/>
      <c r="BU203"/>
      <c r="BV203"/>
      <c r="BW203"/>
      <c r="BX203"/>
      <c r="BY203"/>
      <c r="BZ203"/>
      <c r="CA203"/>
      <c r="CB203"/>
      <c r="CC203"/>
    </row>
    <row r="204" spans="1:81" x14ac:dyDescent="0.25">
      <c r="A204"/>
      <c r="B204"/>
      <c r="C204"/>
      <c r="D204"/>
      <c r="E204"/>
      <c r="F204"/>
      <c r="G204"/>
      <c r="H204"/>
      <c r="I204"/>
      <c r="J204"/>
      <c r="K204"/>
      <c r="L204"/>
      <c r="M204"/>
      <c r="N204"/>
      <c r="O204"/>
      <c r="P204"/>
      <c r="Q204"/>
      <c r="R204"/>
      <c r="S204"/>
      <c r="T204"/>
      <c r="U204"/>
      <c r="V204"/>
      <c r="W204"/>
      <c r="X204"/>
      <c r="Y204"/>
      <c r="Z204"/>
      <c r="AA204"/>
      <c r="AB204"/>
      <c r="AC204"/>
      <c r="AD204"/>
      <c r="AE204"/>
      <c r="AF204"/>
      <c r="AG204"/>
      <c r="AH204"/>
      <c r="AI204"/>
      <c r="AJ204"/>
      <c r="AK204"/>
      <c r="AL204"/>
      <c r="AM204"/>
      <c r="AN204"/>
      <c r="AO204"/>
      <c r="AP204"/>
      <c r="AQ204"/>
      <c r="AR204"/>
      <c r="AS204"/>
      <c r="AT204"/>
      <c r="AU204"/>
      <c r="AV204"/>
      <c r="AW204"/>
      <c r="AX204"/>
      <c r="AY204"/>
      <c r="AZ204"/>
      <c r="BA204"/>
      <c r="BB204"/>
      <c r="BC204"/>
      <c r="BD204"/>
      <c r="BE204"/>
      <c r="BF204"/>
      <c r="BG204"/>
      <c r="BH204"/>
      <c r="BI204"/>
      <c r="BJ204"/>
      <c r="BK204"/>
      <c r="BL204"/>
      <c r="BM204"/>
      <c r="BN204"/>
      <c r="BO204"/>
      <c r="BP204"/>
      <c r="BQ204"/>
      <c r="BR204"/>
      <c r="BS204"/>
      <c r="BT204"/>
      <c r="BU204"/>
      <c r="BV204"/>
      <c r="BW204"/>
      <c r="BX204"/>
      <c r="BY204"/>
      <c r="BZ204"/>
      <c r="CA204"/>
      <c r="CB204"/>
      <c r="CC204"/>
    </row>
    <row r="205" spans="1:81" x14ac:dyDescent="0.25">
      <c r="A205"/>
      <c r="B205"/>
      <c r="C205"/>
      <c r="D205"/>
      <c r="E205"/>
      <c r="F205"/>
      <c r="G205"/>
      <c r="H205"/>
      <c r="I205"/>
      <c r="J205"/>
      <c r="K205"/>
      <c r="L205"/>
      <c r="M205"/>
      <c r="N205"/>
      <c r="O205"/>
      <c r="P205"/>
      <c r="Q205"/>
      <c r="R205"/>
      <c r="S205"/>
      <c r="T205"/>
      <c r="U205"/>
      <c r="V205"/>
      <c r="W205"/>
      <c r="X205"/>
      <c r="Y205"/>
      <c r="Z205"/>
      <c r="AA205"/>
      <c r="AB205"/>
      <c r="AC205"/>
      <c r="AD205"/>
      <c r="AE205"/>
      <c r="AF205"/>
      <c r="AG205"/>
      <c r="AH205"/>
      <c r="AI205"/>
      <c r="AJ205"/>
      <c r="AK205"/>
      <c r="AL205"/>
      <c r="AM205"/>
      <c r="AN205"/>
      <c r="AO205"/>
      <c r="AP205"/>
      <c r="AQ205"/>
      <c r="AR205"/>
      <c r="AS205"/>
      <c r="AT205"/>
      <c r="AU205"/>
      <c r="AV205"/>
      <c r="AW205"/>
      <c r="AX205"/>
      <c r="AY205"/>
      <c r="AZ205"/>
      <c r="BA205"/>
      <c r="BB205"/>
      <c r="BC205"/>
      <c r="BD205"/>
      <c r="BE205"/>
      <c r="BF205"/>
      <c r="BG205"/>
      <c r="BH205"/>
      <c r="BI205"/>
      <c r="BJ205"/>
      <c r="BK205"/>
      <c r="BL205"/>
      <c r="BM205"/>
      <c r="BN205"/>
      <c r="BO205"/>
      <c r="BP205"/>
      <c r="BQ205"/>
      <c r="BR205"/>
      <c r="BS205"/>
      <c r="BT205"/>
      <c r="BU205"/>
      <c r="BV205"/>
      <c r="BW205"/>
      <c r="BX205"/>
      <c r="BY205"/>
      <c r="BZ205"/>
      <c r="CA205"/>
      <c r="CB205"/>
      <c r="CC205"/>
    </row>
    <row r="206" spans="1:81" x14ac:dyDescent="0.25">
      <c r="A206"/>
      <c r="B206"/>
      <c r="C206"/>
      <c r="D206"/>
      <c r="E206"/>
      <c r="F206"/>
      <c r="G206"/>
      <c r="H206"/>
      <c r="I206"/>
      <c r="J206"/>
      <c r="K206"/>
      <c r="L206"/>
      <c r="M206"/>
      <c r="N206"/>
      <c r="O206"/>
      <c r="P206"/>
      <c r="Q206"/>
      <c r="R206"/>
      <c r="S206"/>
      <c r="T206"/>
      <c r="U206"/>
      <c r="V206"/>
      <c r="W206"/>
      <c r="X206"/>
      <c r="Y206"/>
      <c r="Z206"/>
      <c r="AA206"/>
      <c r="AB206"/>
      <c r="AC206"/>
      <c r="AD206"/>
      <c r="AE206"/>
      <c r="AF206"/>
      <c r="AG206"/>
      <c r="AH206"/>
      <c r="AI206"/>
      <c r="AJ206"/>
      <c r="AK206"/>
      <c r="AL206"/>
      <c r="AM206"/>
      <c r="AN206"/>
      <c r="AO206"/>
      <c r="AP206"/>
      <c r="AQ206"/>
      <c r="AR206"/>
      <c r="AS206"/>
      <c r="AT206"/>
      <c r="AU206"/>
      <c r="AV206"/>
      <c r="AW206"/>
      <c r="AX206"/>
      <c r="AY206"/>
      <c r="AZ206"/>
      <c r="BA206"/>
      <c r="BB206"/>
      <c r="BC206"/>
      <c r="BD206"/>
      <c r="BE206"/>
      <c r="BF206"/>
      <c r="BG206"/>
      <c r="BH206"/>
      <c r="BI206"/>
      <c r="BJ206"/>
      <c r="BK206"/>
      <c r="BL206"/>
      <c r="BM206"/>
      <c r="BN206"/>
      <c r="BO206"/>
      <c r="BP206"/>
      <c r="BQ206"/>
      <c r="BR206"/>
      <c r="BS206"/>
      <c r="BT206"/>
      <c r="BU206"/>
      <c r="BV206"/>
      <c r="BW206"/>
      <c r="BX206"/>
      <c r="BY206"/>
      <c r="BZ206"/>
      <c r="CA206"/>
      <c r="CB206"/>
      <c r="CC206"/>
    </row>
    <row r="207" spans="1:81" x14ac:dyDescent="0.25">
      <c r="A207"/>
      <c r="B207"/>
      <c r="C207"/>
      <c r="D207"/>
      <c r="E207"/>
      <c r="F207"/>
      <c r="G207"/>
      <c r="H207"/>
      <c r="I207"/>
      <c r="J207"/>
      <c r="K207"/>
      <c r="L207"/>
      <c r="M207"/>
      <c r="N207"/>
      <c r="O207"/>
      <c r="P207"/>
      <c r="Q207"/>
      <c r="R207"/>
      <c r="S207"/>
      <c r="T207"/>
      <c r="U207"/>
      <c r="V207"/>
      <c r="W207"/>
      <c r="X207"/>
      <c r="Y207"/>
      <c r="Z207"/>
      <c r="AA207"/>
      <c r="AB207"/>
      <c r="AC207"/>
      <c r="AD207"/>
      <c r="AE207"/>
      <c r="AF207"/>
      <c r="AG207"/>
      <c r="AH207"/>
      <c r="AI207"/>
      <c r="AJ207"/>
      <c r="AK207"/>
      <c r="AL207"/>
      <c r="AM207"/>
      <c r="AN207"/>
      <c r="AO207"/>
      <c r="AP207"/>
      <c r="AQ207"/>
      <c r="AR207"/>
      <c r="AS207"/>
      <c r="AT207"/>
      <c r="AU207"/>
      <c r="AV207"/>
      <c r="AW207"/>
      <c r="AX207"/>
      <c r="AY207"/>
      <c r="AZ207"/>
      <c r="BA207"/>
      <c r="BB207"/>
      <c r="BC207"/>
      <c r="BD207"/>
      <c r="BE207"/>
      <c r="BF207"/>
      <c r="BG207"/>
      <c r="BH207"/>
      <c r="BI207"/>
      <c r="BJ207"/>
      <c r="BK207"/>
      <c r="BL207"/>
      <c r="BM207"/>
      <c r="BN207"/>
      <c r="BO207"/>
      <c r="BP207"/>
      <c r="BQ207"/>
      <c r="BR207"/>
      <c r="BS207"/>
      <c r="BT207"/>
      <c r="BU207"/>
      <c r="BV207"/>
      <c r="BW207"/>
      <c r="BX207"/>
      <c r="BY207"/>
      <c r="BZ207"/>
      <c r="CA207"/>
      <c r="CB207"/>
      <c r="CC207"/>
    </row>
    <row r="208" spans="1:81" x14ac:dyDescent="0.25">
      <c r="A208"/>
      <c r="B208"/>
      <c r="C208"/>
      <c r="D208"/>
      <c r="E208"/>
      <c r="F208"/>
      <c r="G208"/>
      <c r="H208"/>
      <c r="I208"/>
      <c r="J208"/>
      <c r="K208"/>
      <c r="L208"/>
      <c r="M208"/>
      <c r="N208"/>
      <c r="O208"/>
      <c r="P208"/>
      <c r="Q208"/>
      <c r="R208"/>
      <c r="S208"/>
      <c r="T208"/>
      <c r="U208"/>
      <c r="V208"/>
      <c r="W208"/>
      <c r="X208"/>
      <c r="Y208"/>
      <c r="Z208"/>
      <c r="AA208"/>
      <c r="AB208"/>
      <c r="AC208"/>
      <c r="AD208"/>
      <c r="AE208"/>
      <c r="AF208"/>
      <c r="AG208"/>
      <c r="AH208"/>
      <c r="AI208"/>
      <c r="AJ208"/>
      <c r="AK208"/>
      <c r="AL208"/>
      <c r="AM208"/>
      <c r="AN208"/>
      <c r="AO208"/>
      <c r="AP208"/>
      <c r="AQ208"/>
      <c r="AR208"/>
      <c r="AS208"/>
      <c r="AT208"/>
      <c r="AU208"/>
      <c r="AV208"/>
      <c r="AW208"/>
      <c r="AX208"/>
      <c r="AY208"/>
      <c r="AZ208"/>
      <c r="BA208"/>
      <c r="BB208"/>
      <c r="BC208"/>
      <c r="BD208"/>
      <c r="BE208"/>
      <c r="BF208"/>
      <c r="BG208"/>
      <c r="BH208"/>
      <c r="BI208"/>
      <c r="BJ208"/>
      <c r="BK208"/>
      <c r="BL208"/>
      <c r="BM208"/>
      <c r="BN208"/>
      <c r="BO208"/>
      <c r="BP208"/>
      <c r="BQ208"/>
      <c r="BR208"/>
      <c r="BS208"/>
      <c r="BT208"/>
      <c r="BU208"/>
      <c r="BV208"/>
      <c r="BW208"/>
      <c r="BX208"/>
      <c r="BY208"/>
      <c r="BZ208"/>
      <c r="CA208"/>
      <c r="CB208"/>
      <c r="CC208"/>
    </row>
    <row r="209" spans="1:81" x14ac:dyDescent="0.25">
      <c r="A209"/>
      <c r="B209"/>
      <c r="C209"/>
      <c r="D209"/>
      <c r="E209"/>
      <c r="F209"/>
      <c r="G209"/>
      <c r="H209"/>
      <c r="I209"/>
      <c r="J209"/>
      <c r="K209"/>
      <c r="L209"/>
      <c r="M209"/>
      <c r="N209"/>
      <c r="O209"/>
      <c r="P209"/>
      <c r="Q209"/>
      <c r="R209"/>
      <c r="S209"/>
      <c r="T209"/>
      <c r="U209"/>
      <c r="V209"/>
      <c r="W209"/>
      <c r="X209"/>
      <c r="Y209"/>
      <c r="Z209"/>
      <c r="AA209"/>
      <c r="AB209"/>
      <c r="AC209"/>
      <c r="AD209"/>
      <c r="AE209"/>
      <c r="AF209"/>
      <c r="AG209"/>
      <c r="AH209"/>
      <c r="AI209"/>
      <c r="AJ209"/>
      <c r="AK209"/>
      <c r="AL209"/>
      <c r="AM209"/>
      <c r="AN209"/>
      <c r="AO209"/>
      <c r="AP209"/>
      <c r="AQ209"/>
      <c r="AR209"/>
      <c r="AS209"/>
      <c r="AT209"/>
      <c r="AU209"/>
      <c r="AV209"/>
      <c r="AW209"/>
      <c r="AX209"/>
      <c r="AY209"/>
      <c r="AZ209"/>
      <c r="BA209"/>
      <c r="BB209"/>
      <c r="BC209"/>
      <c r="BD209"/>
      <c r="BE209"/>
      <c r="BF209"/>
      <c r="BG209"/>
      <c r="BH209"/>
      <c r="BI209"/>
      <c r="BJ209"/>
      <c r="BK209"/>
      <c r="BL209"/>
      <c r="BM209"/>
      <c r="BN209"/>
      <c r="BO209"/>
      <c r="BP209"/>
      <c r="BQ209"/>
      <c r="BR209"/>
      <c r="BS209"/>
      <c r="BT209"/>
      <c r="BU209"/>
      <c r="BV209"/>
      <c r="BW209"/>
      <c r="BX209"/>
      <c r="BY209"/>
      <c r="BZ209"/>
      <c r="CA209"/>
      <c r="CB209"/>
      <c r="CC209"/>
    </row>
    <row r="210" spans="1:81" x14ac:dyDescent="0.25">
      <c r="A210"/>
      <c r="B210"/>
      <c r="C210"/>
      <c r="D210"/>
      <c r="E210"/>
      <c r="F210"/>
      <c r="G210"/>
      <c r="H210"/>
      <c r="I210"/>
      <c r="J210"/>
      <c r="K210"/>
      <c r="L210"/>
      <c r="M210"/>
      <c r="N210"/>
      <c r="O210"/>
      <c r="P210"/>
      <c r="Q210"/>
      <c r="R210"/>
      <c r="S210"/>
      <c r="T210"/>
      <c r="U210"/>
      <c r="V210"/>
      <c r="W210"/>
      <c r="X210"/>
      <c r="Y210"/>
      <c r="Z210"/>
      <c r="AA210"/>
      <c r="AB210"/>
      <c r="AC210"/>
      <c r="AD210"/>
      <c r="AE210"/>
      <c r="AF210"/>
      <c r="AG210"/>
      <c r="AH210"/>
      <c r="AI210"/>
      <c r="AJ210"/>
      <c r="AK210"/>
      <c r="AL210"/>
      <c r="AM210"/>
      <c r="AN210"/>
      <c r="AO210"/>
      <c r="AP210"/>
      <c r="AQ210"/>
      <c r="AR210"/>
      <c r="AS210"/>
      <c r="AT210"/>
      <c r="AU210"/>
      <c r="AV210"/>
      <c r="AW210"/>
      <c r="AX210"/>
      <c r="AY210"/>
      <c r="AZ210"/>
      <c r="BA210"/>
      <c r="BB210"/>
      <c r="BC210"/>
      <c r="BD210"/>
      <c r="BE210"/>
      <c r="BF210"/>
      <c r="BG210"/>
      <c r="BH210"/>
      <c r="BI210"/>
      <c r="BJ210"/>
      <c r="BK210"/>
      <c r="BL210"/>
      <c r="BM210"/>
      <c r="BN210"/>
      <c r="BO210"/>
      <c r="BP210"/>
      <c r="BQ210"/>
      <c r="BR210"/>
      <c r="BS210"/>
      <c r="BT210"/>
      <c r="BU210"/>
      <c r="BV210"/>
      <c r="BW210"/>
      <c r="BX210"/>
      <c r="BY210"/>
      <c r="BZ210"/>
      <c r="CA210"/>
      <c r="CB210"/>
      <c r="CC210"/>
    </row>
    <row r="211" spans="1:81" x14ac:dyDescent="0.25">
      <c r="A211"/>
      <c r="B211"/>
      <c r="C211"/>
      <c r="D211"/>
      <c r="E211"/>
      <c r="F211"/>
      <c r="G211"/>
      <c r="H211"/>
      <c r="I211"/>
      <c r="J211"/>
      <c r="K211"/>
      <c r="L211"/>
      <c r="M211"/>
      <c r="N211"/>
      <c r="O211"/>
      <c r="P211"/>
      <c r="Q211"/>
      <c r="R211"/>
      <c r="S211"/>
      <c r="T211"/>
      <c r="U211"/>
      <c r="V211"/>
      <c r="W211"/>
      <c r="X211"/>
      <c r="Y211"/>
      <c r="Z211"/>
      <c r="AA211"/>
      <c r="AB211"/>
      <c r="AC211"/>
      <c r="AD211"/>
      <c r="AE211"/>
      <c r="AF211"/>
      <c r="AG211"/>
      <c r="AH211"/>
      <c r="AI211"/>
      <c r="AJ211"/>
      <c r="AK211"/>
      <c r="AL211"/>
      <c r="AM211"/>
      <c r="AN211"/>
      <c r="AO211"/>
      <c r="AP211"/>
      <c r="AQ211"/>
      <c r="AR211"/>
      <c r="AS211"/>
      <c r="AT211"/>
      <c r="AU211"/>
      <c r="AV211"/>
      <c r="AW211"/>
      <c r="AX211"/>
      <c r="AY211"/>
      <c r="AZ211"/>
      <c r="BA211"/>
      <c r="BB211"/>
      <c r="BC211"/>
      <c r="BD211"/>
      <c r="BE211"/>
      <c r="BF211"/>
      <c r="BG211"/>
      <c r="BH211"/>
      <c r="BI211"/>
      <c r="BJ211"/>
      <c r="BK211"/>
      <c r="BL211"/>
      <c r="BM211"/>
      <c r="BN211"/>
      <c r="BO211"/>
      <c r="BP211"/>
      <c r="BQ211"/>
      <c r="BR211"/>
      <c r="BS211"/>
      <c r="BT211"/>
      <c r="BU211"/>
      <c r="BV211"/>
      <c r="BW211"/>
      <c r="BX211"/>
      <c r="BY211"/>
      <c r="BZ211"/>
      <c r="CA211"/>
      <c r="CB211"/>
      <c r="CC211"/>
    </row>
    <row r="212" spans="1:81" x14ac:dyDescent="0.25">
      <c r="A212"/>
      <c r="B212"/>
      <c r="C212"/>
      <c r="D212"/>
      <c r="E212"/>
      <c r="F212"/>
      <c r="G212"/>
      <c r="H212"/>
      <c r="I212"/>
      <c r="J212"/>
      <c r="K212"/>
      <c r="L212"/>
      <c r="M212"/>
      <c r="N212"/>
      <c r="O212"/>
      <c r="P212"/>
      <c r="Q212"/>
      <c r="R212"/>
      <c r="S212"/>
      <c r="T212"/>
      <c r="U212"/>
      <c r="V212"/>
      <c r="W212"/>
      <c r="X212"/>
      <c r="Y212"/>
      <c r="Z212"/>
      <c r="AA212"/>
      <c r="AB212"/>
      <c r="AC212"/>
      <c r="AD212"/>
      <c r="AE212"/>
      <c r="AF212"/>
      <c r="AG212"/>
      <c r="AH212"/>
      <c r="AI212"/>
      <c r="AJ212"/>
      <c r="AK212"/>
      <c r="AL212"/>
      <c r="AM212"/>
      <c r="AN212"/>
      <c r="AO212"/>
      <c r="AP212"/>
      <c r="AQ212"/>
      <c r="AR212"/>
      <c r="AS212"/>
      <c r="AT212"/>
      <c r="AU212"/>
      <c r="AV212"/>
      <c r="AW212"/>
      <c r="AX212"/>
      <c r="AY212"/>
      <c r="AZ212"/>
      <c r="BA212"/>
      <c r="BB212"/>
      <c r="BC212"/>
      <c r="BD212"/>
      <c r="BE212"/>
      <c r="BF212"/>
      <c r="BG212"/>
      <c r="BH212"/>
      <c r="BI212"/>
      <c r="BJ212"/>
      <c r="BK212"/>
      <c r="BL212"/>
      <c r="BM212"/>
      <c r="BN212"/>
      <c r="BO212"/>
      <c r="BP212"/>
      <c r="BQ212"/>
      <c r="BR212"/>
      <c r="BS212"/>
      <c r="BT212"/>
      <c r="BU212"/>
      <c r="BV212"/>
      <c r="BW212"/>
      <c r="BX212"/>
      <c r="BY212"/>
      <c r="BZ212"/>
      <c r="CA212"/>
      <c r="CB212"/>
      <c r="CC212"/>
    </row>
    <row r="213" spans="1:81" x14ac:dyDescent="0.25">
      <c r="A213"/>
      <c r="B213"/>
      <c r="C213"/>
      <c r="D213"/>
      <c r="E213"/>
      <c r="F213"/>
      <c r="G213"/>
      <c r="H213"/>
      <c r="I213"/>
      <c r="J213"/>
      <c r="K213"/>
      <c r="L213"/>
      <c r="M213"/>
      <c r="N213"/>
      <c r="O213"/>
      <c r="P213"/>
      <c r="Q213"/>
      <c r="R213"/>
      <c r="S213"/>
      <c r="T213"/>
      <c r="U213"/>
      <c r="V213"/>
      <c r="W213"/>
      <c r="X213"/>
      <c r="Y213"/>
      <c r="Z213"/>
      <c r="AA213"/>
      <c r="AB213"/>
      <c r="AC213"/>
      <c r="AD213"/>
      <c r="AE213"/>
      <c r="AF213"/>
      <c r="AG213"/>
      <c r="AH213"/>
      <c r="AI213"/>
      <c r="AJ213"/>
      <c r="AK213"/>
      <c r="AL213"/>
      <c r="AM213"/>
      <c r="AN213"/>
      <c r="AO213"/>
      <c r="AP213"/>
      <c r="AQ213"/>
      <c r="AR213"/>
      <c r="AS213"/>
      <c r="AT213"/>
      <c r="AU213"/>
      <c r="AV213"/>
      <c r="AW213"/>
      <c r="AX213"/>
      <c r="AY213"/>
      <c r="AZ213"/>
      <c r="BA213"/>
      <c r="BB213"/>
      <c r="BC213"/>
      <c r="BD213"/>
      <c r="BE213"/>
      <c r="BF213"/>
      <c r="BG213"/>
      <c r="BH213"/>
      <c r="BI213"/>
      <c r="BJ213"/>
      <c r="BK213"/>
      <c r="BL213"/>
      <c r="BM213"/>
      <c r="BN213"/>
      <c r="BO213"/>
      <c r="BP213"/>
      <c r="BQ213"/>
      <c r="BR213"/>
      <c r="BS213"/>
      <c r="BT213"/>
      <c r="BU213"/>
      <c r="BV213"/>
      <c r="BW213"/>
      <c r="BX213"/>
      <c r="BY213"/>
      <c r="BZ213"/>
      <c r="CA213"/>
      <c r="CB213"/>
      <c r="CC213"/>
    </row>
    <row r="214" spans="1:81" x14ac:dyDescent="0.25">
      <c r="A214"/>
      <c r="B214"/>
      <c r="C214"/>
      <c r="D214"/>
      <c r="E214"/>
      <c r="F214"/>
      <c r="G214"/>
      <c r="H214"/>
      <c r="I214"/>
      <c r="J214"/>
      <c r="K214"/>
      <c r="L214"/>
      <c r="M214"/>
      <c r="N214"/>
      <c r="O214"/>
      <c r="P214"/>
      <c r="Q214"/>
      <c r="R214"/>
      <c r="S214"/>
      <c r="T214"/>
      <c r="U214"/>
      <c r="V214"/>
      <c r="W214"/>
      <c r="X214"/>
      <c r="Y214"/>
      <c r="Z214"/>
      <c r="AA214"/>
      <c r="AB214"/>
      <c r="AC214"/>
      <c r="AD214"/>
      <c r="AE214"/>
      <c r="AF214"/>
      <c r="AG214"/>
      <c r="AH214"/>
      <c r="AI214"/>
      <c r="AJ214"/>
      <c r="AK214"/>
      <c r="AL214"/>
      <c r="AM214"/>
      <c r="AN214"/>
      <c r="AO214"/>
      <c r="AP214"/>
      <c r="AQ214"/>
      <c r="AR214"/>
      <c r="AS214"/>
      <c r="AT214"/>
      <c r="AU214"/>
      <c r="AV214"/>
      <c r="AW214"/>
      <c r="AX214"/>
      <c r="AY214"/>
      <c r="AZ214"/>
      <c r="BA214"/>
      <c r="BB214"/>
      <c r="BC214"/>
      <c r="BD214"/>
      <c r="BE214"/>
      <c r="BF214"/>
      <c r="BG214"/>
      <c r="BH214"/>
      <c r="BI214"/>
      <c r="BJ214"/>
      <c r="BK214"/>
      <c r="BL214"/>
      <c r="BM214"/>
      <c r="BN214"/>
      <c r="BO214"/>
      <c r="BP214"/>
      <c r="BQ214"/>
      <c r="BR214"/>
      <c r="BS214"/>
      <c r="BT214"/>
      <c r="BU214"/>
      <c r="BV214"/>
      <c r="BW214"/>
      <c r="BX214"/>
      <c r="BY214"/>
      <c r="BZ214"/>
      <c r="CA214"/>
      <c r="CB214"/>
      <c r="CC214"/>
    </row>
    <row r="215" spans="1:81" x14ac:dyDescent="0.25">
      <c r="A215"/>
      <c r="B215"/>
      <c r="C215"/>
      <c r="D215"/>
      <c r="E215"/>
      <c r="F215"/>
      <c r="G215"/>
      <c r="H215"/>
      <c r="I215"/>
      <c r="J215"/>
      <c r="K215"/>
      <c r="L215"/>
      <c r="M215"/>
      <c r="N215"/>
      <c r="O215"/>
      <c r="P215"/>
      <c r="Q215"/>
      <c r="R215"/>
      <c r="S215"/>
      <c r="T215"/>
      <c r="U215"/>
      <c r="V215"/>
      <c r="W215"/>
      <c r="X215"/>
      <c r="Y215"/>
      <c r="Z215"/>
      <c r="AA215"/>
      <c r="AB215"/>
      <c r="AC215"/>
      <c r="AD215"/>
      <c r="AE215"/>
      <c r="AF215"/>
      <c r="AG215"/>
      <c r="AH215"/>
      <c r="AI215"/>
      <c r="AJ215"/>
      <c r="AK215"/>
      <c r="AL215"/>
      <c r="AM215"/>
      <c r="AN215"/>
      <c r="AO215"/>
      <c r="AP215"/>
      <c r="AQ215"/>
      <c r="AR215"/>
      <c r="AS215"/>
      <c r="AT215"/>
      <c r="AU215"/>
      <c r="AV215"/>
      <c r="AW215"/>
      <c r="AX215"/>
      <c r="AY215"/>
      <c r="AZ215"/>
      <c r="BA215"/>
      <c r="BB215"/>
      <c r="BC215"/>
      <c r="BD215"/>
      <c r="BE215"/>
      <c r="BF215"/>
      <c r="BG215"/>
      <c r="BH215"/>
      <c r="BI215"/>
      <c r="BJ215"/>
      <c r="BK215"/>
      <c r="BL215"/>
      <c r="BM215"/>
      <c r="BN215"/>
      <c r="BO215"/>
      <c r="BP215"/>
      <c r="BQ215"/>
      <c r="BR215"/>
      <c r="BS215"/>
      <c r="BT215"/>
      <c r="BU215"/>
      <c r="BV215"/>
      <c r="BW215"/>
      <c r="BX215"/>
      <c r="BY215"/>
      <c r="BZ215"/>
      <c r="CA215"/>
      <c r="CB215"/>
      <c r="CC215"/>
    </row>
    <row r="216" spans="1:81" x14ac:dyDescent="0.25">
      <c r="A216"/>
      <c r="B216"/>
      <c r="C216"/>
      <c r="D216"/>
      <c r="E216"/>
      <c r="F216"/>
      <c r="G216"/>
      <c r="H216"/>
      <c r="I216"/>
      <c r="J216"/>
      <c r="K216"/>
      <c r="L216"/>
      <c r="M216"/>
      <c r="N216"/>
      <c r="O216"/>
      <c r="P216"/>
      <c r="Q216"/>
      <c r="R216"/>
      <c r="S216"/>
      <c r="T216"/>
      <c r="U216"/>
      <c r="V216"/>
      <c r="W216"/>
      <c r="X216"/>
      <c r="Y216"/>
      <c r="Z216"/>
      <c r="AA216"/>
      <c r="AB216"/>
      <c r="AC216"/>
      <c r="AD216"/>
      <c r="AE216"/>
      <c r="AF216"/>
      <c r="AG216"/>
      <c r="AH216"/>
      <c r="AI216"/>
      <c r="AJ216"/>
      <c r="AK216"/>
      <c r="AL216"/>
      <c r="AM216"/>
      <c r="AN216"/>
      <c r="AO216"/>
      <c r="AP216"/>
      <c r="AQ216"/>
      <c r="AR216"/>
      <c r="AS216"/>
      <c r="AT216"/>
      <c r="AU216"/>
      <c r="AV216"/>
      <c r="AW216"/>
      <c r="AX216"/>
      <c r="AY216"/>
      <c r="AZ216"/>
      <c r="BA216"/>
      <c r="BB216"/>
      <c r="BC216"/>
      <c r="BD216"/>
      <c r="BE216"/>
      <c r="BF216"/>
      <c r="BG216"/>
      <c r="BH216"/>
      <c r="BI216"/>
      <c r="BJ216"/>
      <c r="BK216"/>
      <c r="BL216"/>
      <c r="BM216"/>
      <c r="BN216"/>
      <c r="BO216"/>
      <c r="BP216"/>
      <c r="BQ216"/>
      <c r="BR216"/>
      <c r="BS216"/>
      <c r="BT216"/>
      <c r="BU216"/>
      <c r="BV216"/>
      <c r="BW216"/>
      <c r="BX216"/>
      <c r="BY216"/>
      <c r="BZ216"/>
      <c r="CA216"/>
      <c r="CB216"/>
      <c r="CC216"/>
    </row>
    <row r="217" spans="1:81" x14ac:dyDescent="0.25">
      <c r="A217"/>
      <c r="B217"/>
      <c r="C217"/>
      <c r="D217"/>
      <c r="E217"/>
      <c r="F217"/>
      <c r="G217"/>
      <c r="H217"/>
      <c r="I217"/>
      <c r="J217"/>
      <c r="K217"/>
      <c r="L217"/>
      <c r="M217"/>
      <c r="N217"/>
      <c r="O217"/>
      <c r="P217"/>
      <c r="Q217"/>
      <c r="R217"/>
      <c r="S217"/>
      <c r="T217"/>
      <c r="U217"/>
      <c r="V217"/>
      <c r="W217"/>
      <c r="X217"/>
      <c r="Y217"/>
      <c r="Z217"/>
      <c r="AA217"/>
      <c r="AB217"/>
      <c r="AC217"/>
      <c r="AD217"/>
      <c r="AE217"/>
      <c r="AF217"/>
      <c r="AG217"/>
      <c r="AH217"/>
      <c r="AI217"/>
      <c r="AJ217"/>
      <c r="AK217"/>
      <c r="AL217"/>
      <c r="AM217"/>
      <c r="AN217"/>
      <c r="AO217"/>
      <c r="AP217"/>
      <c r="AQ217"/>
      <c r="AR217"/>
      <c r="AS217"/>
      <c r="AT217"/>
      <c r="AU217"/>
      <c r="AV217"/>
      <c r="AW217"/>
      <c r="AX217"/>
      <c r="AY217"/>
      <c r="AZ217"/>
      <c r="BA217"/>
      <c r="BB217"/>
      <c r="BC217"/>
      <c r="BD217"/>
      <c r="BE217"/>
      <c r="BF217"/>
      <c r="BG217"/>
      <c r="BH217"/>
      <c r="BI217"/>
      <c r="BJ217"/>
      <c r="BK217"/>
      <c r="BL217"/>
      <c r="BM217"/>
      <c r="BN217"/>
      <c r="BO217"/>
      <c r="BP217"/>
      <c r="BQ217"/>
      <c r="BR217"/>
      <c r="BS217"/>
      <c r="BT217"/>
      <c r="BU217"/>
      <c r="BV217"/>
      <c r="BW217"/>
      <c r="BX217"/>
      <c r="BY217"/>
      <c r="BZ217"/>
      <c r="CA217"/>
      <c r="CB217"/>
      <c r="CC217"/>
    </row>
    <row r="218" spans="1:81" x14ac:dyDescent="0.25">
      <c r="A218"/>
      <c r="B218"/>
      <c r="C218"/>
      <c r="D218"/>
      <c r="E218"/>
      <c r="F218"/>
      <c r="G218"/>
      <c r="H218"/>
      <c r="I218"/>
      <c r="J218"/>
      <c r="K218"/>
      <c r="L218"/>
      <c r="M218"/>
      <c r="N218"/>
      <c r="O218"/>
      <c r="P218"/>
      <c r="Q218"/>
      <c r="R218"/>
      <c r="S218"/>
      <c r="T218"/>
      <c r="U218"/>
      <c r="V218"/>
      <c r="W218"/>
      <c r="X218"/>
      <c r="Y218"/>
      <c r="Z218"/>
      <c r="AA218"/>
      <c r="AB218"/>
      <c r="AC218"/>
      <c r="AD218"/>
      <c r="AE218"/>
      <c r="AF218"/>
      <c r="AG218"/>
      <c r="AH218"/>
      <c r="AI218"/>
      <c r="AJ218"/>
      <c r="AK218"/>
      <c r="AL218"/>
      <c r="AM218"/>
      <c r="AN218"/>
      <c r="AO218"/>
      <c r="AP218"/>
      <c r="AQ218"/>
      <c r="AR218"/>
      <c r="AS218"/>
      <c r="AT218"/>
      <c r="AU218"/>
      <c r="AV218"/>
      <c r="AW218"/>
      <c r="AX218"/>
      <c r="AY218"/>
      <c r="AZ218"/>
      <c r="BA218"/>
      <c r="BB218"/>
      <c r="BC218"/>
      <c r="BD218"/>
      <c r="BE218"/>
      <c r="BF218"/>
      <c r="BG218"/>
      <c r="BH218"/>
      <c r="BI218"/>
      <c r="BJ218"/>
      <c r="BK218"/>
      <c r="BL218"/>
      <c r="BM218"/>
      <c r="BN218"/>
      <c r="BO218"/>
      <c r="BP218"/>
      <c r="BQ218"/>
      <c r="BR218"/>
      <c r="BS218"/>
      <c r="BT218"/>
      <c r="BU218"/>
      <c r="BV218"/>
      <c r="BW218"/>
      <c r="BX218"/>
      <c r="BY218"/>
      <c r="BZ218"/>
      <c r="CA218"/>
      <c r="CB218"/>
      <c r="CC218"/>
    </row>
    <row r="219" spans="1:81" x14ac:dyDescent="0.25">
      <c r="A219"/>
      <c r="B219"/>
      <c r="C219"/>
      <c r="D219"/>
      <c r="E219"/>
      <c r="F219"/>
      <c r="G219"/>
      <c r="H219"/>
      <c r="I219"/>
      <c r="J219"/>
      <c r="K219"/>
      <c r="L219"/>
      <c r="M219"/>
      <c r="N219"/>
      <c r="O219"/>
      <c r="P219"/>
      <c r="Q219"/>
      <c r="R219"/>
      <c r="S219"/>
      <c r="T219"/>
      <c r="U219"/>
      <c r="V219"/>
      <c r="W219"/>
      <c r="X219"/>
      <c r="Y219"/>
      <c r="Z219"/>
      <c r="AA219"/>
      <c r="AB219"/>
      <c r="AC219"/>
      <c r="AD219"/>
      <c r="AE219"/>
      <c r="AF219"/>
      <c r="AG219"/>
      <c r="AH219"/>
      <c r="AI219"/>
      <c r="AJ219"/>
      <c r="AK219"/>
      <c r="AL219"/>
      <c r="AM219"/>
      <c r="AN219"/>
      <c r="AO219"/>
      <c r="AP219"/>
      <c r="AQ219"/>
      <c r="AR219"/>
      <c r="AS219"/>
      <c r="AT219"/>
      <c r="AU219"/>
      <c r="AV219"/>
      <c r="AW219"/>
      <c r="AX219"/>
      <c r="AY219"/>
      <c r="AZ219"/>
      <c r="BA219"/>
      <c r="BB219"/>
      <c r="BC219"/>
      <c r="BD219"/>
      <c r="BE219"/>
      <c r="BF219"/>
      <c r="BG219"/>
      <c r="BH219"/>
      <c r="BI219"/>
      <c r="BJ219"/>
      <c r="BK219"/>
      <c r="BL219"/>
      <c r="BM219"/>
      <c r="BN219"/>
      <c r="BO219"/>
      <c r="BP219"/>
      <c r="BQ219"/>
      <c r="BR219"/>
      <c r="BS219"/>
      <c r="BT219"/>
      <c r="BU219"/>
      <c r="BV219"/>
      <c r="BW219"/>
      <c r="BX219"/>
      <c r="BY219"/>
      <c r="BZ219"/>
      <c r="CA219"/>
      <c r="CB219"/>
      <c r="CC219"/>
    </row>
    <row r="220" spans="1:81" x14ac:dyDescent="0.25">
      <c r="A220"/>
      <c r="B220"/>
      <c r="C220"/>
      <c r="D220"/>
      <c r="E220"/>
      <c r="F220"/>
      <c r="G220"/>
      <c r="H220"/>
      <c r="I220"/>
      <c r="J220"/>
      <c r="K220"/>
      <c r="L220"/>
      <c r="M220"/>
      <c r="N220"/>
      <c r="O220"/>
      <c r="P220"/>
      <c r="Q220"/>
      <c r="R220"/>
      <c r="S220"/>
      <c r="T220"/>
      <c r="U220"/>
      <c r="V220"/>
      <c r="W220"/>
      <c r="X220"/>
      <c r="Y220"/>
      <c r="Z220"/>
      <c r="AA220"/>
      <c r="AB220"/>
      <c r="AC220"/>
      <c r="AD220"/>
      <c r="AE220"/>
      <c r="AF220"/>
      <c r="AG220"/>
      <c r="AH220"/>
      <c r="AI220"/>
      <c r="AJ220"/>
      <c r="AK220"/>
      <c r="AL220"/>
      <c r="AM220"/>
      <c r="AN220"/>
      <c r="AO220"/>
      <c r="AP220"/>
      <c r="AQ220"/>
      <c r="AR220"/>
      <c r="AS220"/>
      <c r="AT220"/>
      <c r="AU220"/>
      <c r="AV220"/>
      <c r="AW220"/>
      <c r="AX220"/>
      <c r="AY220"/>
      <c r="AZ220"/>
      <c r="BA220"/>
      <c r="BB220"/>
      <c r="BC220"/>
      <c r="BD220"/>
      <c r="BE220"/>
      <c r="BF220"/>
      <c r="BG220"/>
      <c r="BH220"/>
      <c r="BI220"/>
      <c r="BJ220"/>
      <c r="BK220"/>
      <c r="BL220"/>
      <c r="BM220"/>
      <c r="BN220"/>
      <c r="BO220"/>
      <c r="BP220"/>
      <c r="BQ220"/>
      <c r="BR220"/>
      <c r="BS220"/>
      <c r="BT220"/>
      <c r="BU220"/>
      <c r="BV220"/>
      <c r="BW220"/>
      <c r="BX220"/>
      <c r="BY220"/>
      <c r="BZ220"/>
      <c r="CA220"/>
      <c r="CB220"/>
      <c r="CC220"/>
    </row>
    <row r="221" spans="1:81" x14ac:dyDescent="0.25">
      <c r="A221"/>
      <c r="B221"/>
      <c r="C221"/>
      <c r="D221"/>
      <c r="E221"/>
      <c r="F221"/>
      <c r="G221"/>
      <c r="H221"/>
      <c r="I221"/>
      <c r="J221"/>
      <c r="K221"/>
      <c r="L221"/>
      <c r="M221"/>
      <c r="N221"/>
      <c r="O221"/>
      <c r="P221"/>
      <c r="Q221"/>
      <c r="R221"/>
      <c r="S221"/>
      <c r="T221"/>
      <c r="U221"/>
      <c r="V221"/>
      <c r="W221"/>
      <c r="X221"/>
      <c r="Y221"/>
      <c r="Z221"/>
      <c r="AA221"/>
      <c r="AB221"/>
      <c r="AC221"/>
      <c r="AD221"/>
      <c r="AE221"/>
      <c r="AF221"/>
      <c r="AG221"/>
      <c r="AH221"/>
      <c r="AI221"/>
      <c r="AJ221"/>
      <c r="AK221"/>
      <c r="AL221"/>
      <c r="AM221"/>
      <c r="AN221"/>
      <c r="AO221"/>
      <c r="AP221"/>
      <c r="AQ221"/>
      <c r="AR221"/>
      <c r="AS221"/>
      <c r="AT221"/>
      <c r="AU221"/>
      <c r="AV221"/>
      <c r="AW221"/>
      <c r="AX221"/>
      <c r="AY221"/>
      <c r="AZ221"/>
      <c r="BA221"/>
      <c r="BB221"/>
      <c r="BC221"/>
      <c r="BD221"/>
      <c r="BE221"/>
      <c r="BF221"/>
      <c r="BG221"/>
      <c r="BH221"/>
      <c r="BI221"/>
      <c r="BJ221"/>
      <c r="BK221"/>
      <c r="BL221"/>
      <c r="BM221"/>
      <c r="BN221"/>
      <c r="BO221"/>
      <c r="BP221"/>
      <c r="BQ221"/>
      <c r="BR221"/>
      <c r="BS221"/>
      <c r="BT221"/>
      <c r="BU221"/>
      <c r="BV221"/>
      <c r="BW221"/>
      <c r="BX221"/>
      <c r="BY221"/>
      <c r="BZ221"/>
      <c r="CA221"/>
      <c r="CB221"/>
      <c r="CC221"/>
    </row>
    <row r="222" spans="1:81" x14ac:dyDescent="0.25">
      <c r="A222"/>
      <c r="B222"/>
      <c r="C222"/>
      <c r="D222"/>
      <c r="E222"/>
      <c r="F222"/>
      <c r="G222"/>
      <c r="H222"/>
      <c r="I222"/>
      <c r="J222"/>
      <c r="K222"/>
      <c r="L222"/>
      <c r="M222"/>
      <c r="N222"/>
      <c r="O222"/>
      <c r="P222"/>
      <c r="Q222"/>
      <c r="R222"/>
      <c r="S222"/>
      <c r="T222"/>
      <c r="U222"/>
      <c r="V222"/>
      <c r="W222"/>
      <c r="X222"/>
      <c r="Y222"/>
      <c r="Z222"/>
      <c r="AA222"/>
      <c r="AB222"/>
      <c r="AC222"/>
      <c r="AD222"/>
      <c r="AE222"/>
      <c r="AF222"/>
      <c r="AG222"/>
      <c r="AH222"/>
      <c r="AI222"/>
      <c r="AJ222"/>
      <c r="AK222"/>
      <c r="AL222"/>
      <c r="AM222"/>
      <c r="AN222"/>
      <c r="AO222"/>
      <c r="AP222"/>
      <c r="AQ222"/>
      <c r="AR222"/>
      <c r="AS222"/>
      <c r="AT222"/>
      <c r="AU222"/>
      <c r="AV222"/>
      <c r="AW222"/>
      <c r="AX222"/>
      <c r="AY222"/>
      <c r="AZ222"/>
      <c r="BA222"/>
      <c r="BB222"/>
      <c r="BC222"/>
      <c r="BD222"/>
      <c r="BE222"/>
      <c r="BF222"/>
      <c r="BG222"/>
      <c r="BH222"/>
      <c r="BI222"/>
      <c r="BJ222"/>
      <c r="BK222"/>
      <c r="BL222"/>
      <c r="BM222"/>
      <c r="BN222"/>
      <c r="BO222"/>
      <c r="BP222"/>
      <c r="BQ222"/>
      <c r="BR222"/>
      <c r="BS222"/>
      <c r="BT222"/>
      <c r="BU222"/>
      <c r="BV222"/>
      <c r="BW222"/>
      <c r="BX222"/>
      <c r="BY222"/>
      <c r="BZ222"/>
      <c r="CA222"/>
      <c r="CB222"/>
      <c r="CC222"/>
    </row>
    <row r="223" spans="1:81" x14ac:dyDescent="0.25">
      <c r="A223"/>
      <c r="B223"/>
      <c r="C223"/>
      <c r="D223"/>
      <c r="E223"/>
      <c r="F223"/>
      <c r="G223"/>
      <c r="H223"/>
      <c r="I223"/>
      <c r="J223"/>
      <c r="K223"/>
      <c r="L223"/>
      <c r="M223"/>
      <c r="N223"/>
      <c r="O223"/>
      <c r="P223"/>
      <c r="Q223"/>
      <c r="R223"/>
      <c r="S223"/>
      <c r="T223"/>
      <c r="U223"/>
      <c r="V223"/>
      <c r="W223"/>
      <c r="X223"/>
      <c r="Y223"/>
      <c r="Z223"/>
      <c r="AA223"/>
      <c r="AB223"/>
      <c r="AC223"/>
      <c r="AD223"/>
      <c r="AE223"/>
      <c r="AF223"/>
      <c r="AG223"/>
      <c r="AH223"/>
      <c r="AI223"/>
      <c r="AJ223"/>
      <c r="AK223"/>
      <c r="AL223"/>
      <c r="AM223"/>
      <c r="AN223"/>
      <c r="AO223"/>
      <c r="AP223"/>
      <c r="AQ223"/>
      <c r="AR223"/>
      <c r="AS223"/>
      <c r="AT223"/>
      <c r="AU223"/>
      <c r="AV223"/>
      <c r="AW223"/>
      <c r="AX223"/>
      <c r="AY223"/>
      <c r="AZ223"/>
      <c r="BA223"/>
      <c r="BB223"/>
      <c r="BC223"/>
      <c r="BD223"/>
      <c r="BE223"/>
      <c r="BF223"/>
      <c r="BG223"/>
      <c r="BH223"/>
      <c r="BI223"/>
      <c r="BJ223"/>
      <c r="BK223"/>
      <c r="BL223"/>
      <c r="BM223"/>
      <c r="BN223"/>
      <c r="BO223"/>
      <c r="BP223"/>
      <c r="BQ223"/>
      <c r="BR223"/>
      <c r="BS223"/>
      <c r="BT223"/>
      <c r="BU223"/>
      <c r="BV223"/>
      <c r="BW223"/>
      <c r="BX223"/>
      <c r="BY223"/>
      <c r="BZ223"/>
      <c r="CA223"/>
      <c r="CB223"/>
      <c r="CC223"/>
    </row>
    <row r="224" spans="1:81" x14ac:dyDescent="0.25">
      <c r="A224"/>
      <c r="B224"/>
      <c r="C224"/>
      <c r="D224"/>
      <c r="E224"/>
      <c r="F224"/>
      <c r="G224"/>
      <c r="H224"/>
      <c r="I224"/>
      <c r="J224"/>
      <c r="K224"/>
      <c r="L224"/>
      <c r="M224"/>
      <c r="N224"/>
      <c r="O224"/>
      <c r="P224"/>
      <c r="Q224"/>
      <c r="R224"/>
      <c r="S224"/>
      <c r="T224"/>
      <c r="U224"/>
      <c r="V224"/>
      <c r="W224"/>
      <c r="X224"/>
      <c r="Y224"/>
      <c r="Z224"/>
      <c r="AA224"/>
      <c r="AB224"/>
      <c r="AC224"/>
      <c r="AD224"/>
      <c r="AE224"/>
      <c r="AF224"/>
      <c r="AG224"/>
      <c r="AH224"/>
      <c r="AI224"/>
      <c r="AJ224"/>
      <c r="AK224"/>
      <c r="AL224"/>
      <c r="AM224"/>
      <c r="AN224"/>
      <c r="AO224"/>
      <c r="AP224"/>
      <c r="AQ224"/>
      <c r="AR224"/>
      <c r="AS224"/>
      <c r="AT224"/>
      <c r="AU224"/>
      <c r="AV224"/>
      <c r="AW224"/>
      <c r="AX224"/>
      <c r="AY224"/>
      <c r="AZ224"/>
      <c r="BA224"/>
      <c r="BB224"/>
      <c r="BC224"/>
      <c r="BD224"/>
      <c r="BE224"/>
      <c r="BF224"/>
      <c r="BG224"/>
      <c r="BH224"/>
      <c r="BI224"/>
      <c r="BJ224"/>
      <c r="BK224"/>
      <c r="BL224"/>
      <c r="BM224"/>
      <c r="BN224"/>
      <c r="BO224"/>
      <c r="BP224"/>
      <c r="BQ224"/>
      <c r="BR224"/>
      <c r="BS224"/>
      <c r="BT224"/>
      <c r="BU224"/>
      <c r="BV224"/>
      <c r="BW224"/>
      <c r="BX224"/>
      <c r="BY224"/>
      <c r="BZ224"/>
      <c r="CA224"/>
      <c r="CB224"/>
      <c r="CC224"/>
    </row>
    <row r="225" spans="1:81" x14ac:dyDescent="0.25">
      <c r="A225"/>
      <c r="B225"/>
      <c r="C225"/>
      <c r="D225"/>
      <c r="E225"/>
      <c r="F225"/>
      <c r="G225"/>
      <c r="H225"/>
      <c r="I225"/>
      <c r="J225"/>
      <c r="K225"/>
      <c r="L225"/>
      <c r="M225"/>
      <c r="N225"/>
      <c r="O225"/>
      <c r="P225"/>
      <c r="Q225"/>
      <c r="R225"/>
      <c r="S225"/>
      <c r="T225"/>
      <c r="U225"/>
      <c r="V225"/>
      <c r="W225"/>
      <c r="X225"/>
      <c r="Y225"/>
      <c r="Z225"/>
      <c r="AA225"/>
      <c r="AB225"/>
      <c r="AC225"/>
      <c r="AD225"/>
      <c r="AE225"/>
      <c r="AF225"/>
      <c r="AG225"/>
      <c r="AH225"/>
      <c r="AI225"/>
      <c r="AJ225"/>
      <c r="AK225"/>
      <c r="AL225"/>
      <c r="AM225"/>
      <c r="AN225"/>
      <c r="AO225"/>
      <c r="AP225"/>
      <c r="AQ225"/>
      <c r="AR225"/>
      <c r="AS225"/>
      <c r="AT225"/>
      <c r="AU225"/>
      <c r="AV225"/>
      <c r="AW225"/>
      <c r="AX225"/>
      <c r="AY225"/>
      <c r="AZ225"/>
      <c r="BA225"/>
      <c r="BB225"/>
      <c r="BC225"/>
      <c r="BD225"/>
      <c r="BE225"/>
      <c r="BF225"/>
      <c r="BG225"/>
      <c r="BH225"/>
      <c r="BI225"/>
      <c r="BJ225"/>
      <c r="BK225"/>
      <c r="BL225"/>
      <c r="BM225"/>
      <c r="BN225"/>
      <c r="BO225"/>
      <c r="BP225"/>
      <c r="BQ225"/>
      <c r="BR225"/>
      <c r="BS225"/>
      <c r="BT225"/>
      <c r="BU225"/>
      <c r="BV225"/>
      <c r="BW225"/>
      <c r="BX225"/>
      <c r="BY225"/>
      <c r="BZ225"/>
      <c r="CA225"/>
      <c r="CB225"/>
      <c r="CC225"/>
    </row>
    <row r="226" spans="1:81" x14ac:dyDescent="0.25">
      <c r="A226"/>
      <c r="B226"/>
      <c r="C226"/>
      <c r="D226"/>
      <c r="E226"/>
      <c r="F226"/>
      <c r="G226"/>
      <c r="H226"/>
      <c r="I226"/>
      <c r="J226"/>
      <c r="K226"/>
      <c r="L226"/>
      <c r="M226"/>
      <c r="N226"/>
      <c r="O226"/>
      <c r="P226"/>
      <c r="Q226"/>
      <c r="R226"/>
      <c r="S226"/>
      <c r="T226"/>
      <c r="U226"/>
      <c r="V226"/>
      <c r="W226"/>
      <c r="X226"/>
      <c r="Y226"/>
      <c r="Z226"/>
      <c r="AA226"/>
      <c r="AB226"/>
      <c r="AC226"/>
      <c r="AD226"/>
      <c r="AE226"/>
      <c r="AF226"/>
      <c r="AG226"/>
      <c r="AH226"/>
      <c r="AI226"/>
      <c r="AJ226"/>
      <c r="AK226"/>
      <c r="AL226"/>
      <c r="AM226"/>
      <c r="AN226"/>
      <c r="AO226"/>
      <c r="AP226"/>
      <c r="AQ226"/>
      <c r="AR226"/>
      <c r="AS226"/>
      <c r="AT226"/>
      <c r="AU226"/>
      <c r="AV226"/>
      <c r="AW226"/>
      <c r="AX226"/>
      <c r="AY226"/>
      <c r="AZ226"/>
      <c r="BA226"/>
      <c r="BB226"/>
      <c r="BC226"/>
      <c r="BD226"/>
      <c r="BE226"/>
      <c r="BF226"/>
      <c r="BG226"/>
      <c r="BH226"/>
      <c r="BI226"/>
      <c r="BJ226"/>
      <c r="BK226"/>
      <c r="BL226"/>
      <c r="BM226"/>
      <c r="BN226"/>
      <c r="BO226"/>
      <c r="BP226"/>
      <c r="BQ226"/>
      <c r="BR226"/>
      <c r="BS226"/>
      <c r="BT226"/>
      <c r="BU226"/>
      <c r="BV226"/>
      <c r="BW226"/>
      <c r="BX226"/>
      <c r="BY226"/>
      <c r="BZ226"/>
      <c r="CA226"/>
      <c r="CB226"/>
      <c r="CC226"/>
    </row>
    <row r="227" spans="1:81" x14ac:dyDescent="0.25">
      <c r="A227"/>
      <c r="B227"/>
      <c r="C227"/>
      <c r="D227"/>
      <c r="E227"/>
      <c r="F227"/>
      <c r="G227"/>
      <c r="H227"/>
      <c r="I227"/>
      <c r="J227"/>
      <c r="K227"/>
      <c r="L227"/>
      <c r="M227"/>
      <c r="N227"/>
      <c r="O227"/>
      <c r="P227"/>
      <c r="Q227"/>
      <c r="R227"/>
      <c r="S227"/>
      <c r="T227"/>
      <c r="U227"/>
      <c r="V227"/>
      <c r="W227"/>
      <c r="X227"/>
      <c r="Y227"/>
      <c r="Z227"/>
      <c r="AA227"/>
      <c r="AB227"/>
      <c r="AC227"/>
      <c r="AD227"/>
      <c r="AE227"/>
      <c r="AF227"/>
      <c r="AG227"/>
      <c r="AH227"/>
      <c r="AI227"/>
      <c r="AJ227"/>
      <c r="AK227"/>
      <c r="AL227"/>
      <c r="AM227"/>
      <c r="AN227"/>
      <c r="AO227"/>
      <c r="AP227"/>
      <c r="AQ227"/>
      <c r="AR227"/>
      <c r="AS227"/>
      <c r="AT227"/>
      <c r="AU227"/>
      <c r="AV227"/>
      <c r="AW227"/>
      <c r="AX227"/>
      <c r="AY227"/>
      <c r="AZ227"/>
      <c r="BA227"/>
      <c r="BB227"/>
      <c r="BC227"/>
      <c r="BD227"/>
      <c r="BE227"/>
      <c r="BF227"/>
      <c r="BG227"/>
      <c r="BH227"/>
      <c r="BI227"/>
      <c r="BJ227"/>
      <c r="BK227"/>
      <c r="BL227"/>
      <c r="BM227"/>
      <c r="BN227"/>
      <c r="BO227"/>
      <c r="BP227"/>
      <c r="BQ227"/>
      <c r="BR227"/>
      <c r="BS227"/>
      <c r="BT227"/>
      <c r="BU227"/>
      <c r="BV227"/>
      <c r="BW227"/>
      <c r="BX227"/>
      <c r="BY227"/>
      <c r="BZ227"/>
      <c r="CA227"/>
      <c r="CB227"/>
      <c r="CC227"/>
    </row>
    <row r="228" spans="1:81" x14ac:dyDescent="0.25">
      <c r="A228"/>
      <c r="B228"/>
      <c r="C228"/>
      <c r="D228"/>
      <c r="E228"/>
      <c r="F228"/>
      <c r="G228"/>
      <c r="H228"/>
      <c r="I228"/>
      <c r="J228"/>
      <c r="K228"/>
      <c r="L228"/>
      <c r="M228"/>
      <c r="N228"/>
      <c r="O228"/>
      <c r="P228"/>
      <c r="Q228"/>
      <c r="R228"/>
      <c r="S228"/>
      <c r="T228"/>
      <c r="U228"/>
      <c r="V228"/>
      <c r="W228"/>
      <c r="X228"/>
      <c r="Y228"/>
      <c r="Z228"/>
      <c r="AA228"/>
      <c r="AB228"/>
      <c r="AC228"/>
      <c r="AD228"/>
      <c r="AE228"/>
      <c r="AF228"/>
      <c r="AG228"/>
      <c r="AH228"/>
      <c r="AI228"/>
      <c r="AJ228"/>
      <c r="AK228"/>
      <c r="AL228"/>
      <c r="AM228"/>
      <c r="AN228"/>
      <c r="AO228"/>
      <c r="AP228"/>
      <c r="AQ228"/>
      <c r="AR228"/>
      <c r="AS228"/>
      <c r="AT228"/>
      <c r="AU228"/>
      <c r="AV228"/>
      <c r="AW228"/>
      <c r="AX228"/>
      <c r="AY228"/>
      <c r="AZ228"/>
      <c r="BA228"/>
      <c r="BB228"/>
      <c r="BC228"/>
      <c r="BD228"/>
      <c r="BE228"/>
      <c r="BF228"/>
      <c r="BG228"/>
      <c r="BH228"/>
      <c r="BI228"/>
      <c r="BJ228"/>
      <c r="BK228"/>
      <c r="BL228"/>
      <c r="BM228"/>
      <c r="BN228"/>
      <c r="BO228"/>
      <c r="BP228"/>
      <c r="BQ228"/>
      <c r="BR228"/>
      <c r="BS228"/>
      <c r="BT228"/>
      <c r="BU228"/>
      <c r="BV228"/>
      <c r="BW228"/>
      <c r="BX228"/>
      <c r="BY228"/>
      <c r="BZ228"/>
      <c r="CA228"/>
      <c r="CB228"/>
      <c r="CC228"/>
    </row>
    <row r="229" spans="1:81" x14ac:dyDescent="0.25">
      <c r="A229"/>
      <c r="B229"/>
      <c r="C229"/>
      <c r="D229"/>
      <c r="E229"/>
      <c r="F229"/>
      <c r="G229"/>
      <c r="H229"/>
      <c r="I229"/>
      <c r="J229"/>
      <c r="K229"/>
      <c r="L229"/>
      <c r="M229"/>
      <c r="N229"/>
      <c r="O229"/>
      <c r="P229"/>
      <c r="Q229"/>
      <c r="R229"/>
      <c r="S229"/>
      <c r="T229"/>
      <c r="U229"/>
      <c r="V229"/>
      <c r="W229"/>
      <c r="X229"/>
      <c r="Y229"/>
      <c r="Z229"/>
      <c r="AA229"/>
      <c r="AB229"/>
      <c r="AC229"/>
      <c r="AD229"/>
      <c r="AE229"/>
      <c r="AF229"/>
      <c r="AG229"/>
      <c r="AH229"/>
      <c r="AI229"/>
      <c r="AJ229"/>
      <c r="AK229"/>
      <c r="AL229"/>
      <c r="AM229"/>
      <c r="AN229"/>
      <c r="AO229"/>
      <c r="AP229"/>
      <c r="AQ229"/>
      <c r="AR229"/>
      <c r="AS229"/>
      <c r="AT229"/>
      <c r="AU229"/>
      <c r="AV229"/>
      <c r="AW229"/>
      <c r="AX229"/>
      <c r="AY229"/>
      <c r="AZ229"/>
      <c r="BA229"/>
      <c r="BB229"/>
      <c r="BC229"/>
      <c r="BD229"/>
      <c r="BE229"/>
      <c r="BF229"/>
      <c r="BG229"/>
      <c r="BH229"/>
      <c r="BI229"/>
      <c r="BJ229"/>
      <c r="BK229"/>
      <c r="BL229"/>
      <c r="BM229"/>
      <c r="BN229"/>
      <c r="BO229"/>
      <c r="BP229"/>
      <c r="BQ229"/>
      <c r="BR229"/>
      <c r="BS229"/>
      <c r="BT229"/>
      <c r="BU229"/>
      <c r="BV229"/>
      <c r="BW229"/>
      <c r="BX229"/>
      <c r="BY229"/>
      <c r="BZ229"/>
      <c r="CA229"/>
      <c r="CB229"/>
      <c r="CC229"/>
    </row>
    <row r="230" spans="1:81" x14ac:dyDescent="0.25">
      <c r="A230"/>
      <c r="B230"/>
      <c r="C230"/>
      <c r="D230"/>
      <c r="E230"/>
      <c r="F230"/>
      <c r="G230"/>
      <c r="H230"/>
      <c r="I230"/>
      <c r="J230"/>
      <c r="K230"/>
      <c r="L230"/>
      <c r="M230"/>
      <c r="N230"/>
      <c r="O230"/>
      <c r="P230"/>
      <c r="Q230"/>
      <c r="R230"/>
      <c r="S230"/>
      <c r="T230"/>
      <c r="U230"/>
      <c r="V230"/>
      <c r="W230"/>
      <c r="X230"/>
      <c r="Y230"/>
      <c r="Z230"/>
      <c r="AA230"/>
      <c r="AB230"/>
      <c r="AC230"/>
      <c r="AD230"/>
      <c r="AE230"/>
      <c r="AF230"/>
      <c r="AG230"/>
      <c r="AH230"/>
      <c r="AI230"/>
      <c r="AJ230"/>
      <c r="AK230"/>
      <c r="AL230"/>
      <c r="AM230"/>
      <c r="AN230"/>
      <c r="AO230"/>
      <c r="AP230"/>
      <c r="AQ230"/>
      <c r="AR230"/>
      <c r="AS230"/>
      <c r="AT230"/>
      <c r="AU230"/>
      <c r="AV230"/>
      <c r="AW230"/>
      <c r="AX230"/>
      <c r="AY230"/>
      <c r="AZ230"/>
      <c r="BA230"/>
      <c r="BB230"/>
      <c r="BC230"/>
      <c r="BD230"/>
      <c r="BE230"/>
      <c r="BF230"/>
      <c r="BG230"/>
      <c r="BH230"/>
      <c r="BI230"/>
      <c r="BJ230"/>
      <c r="BK230"/>
      <c r="BL230"/>
      <c r="BM230"/>
      <c r="BN230"/>
      <c r="BO230"/>
      <c r="BP230"/>
      <c r="BQ230"/>
      <c r="BR230"/>
      <c r="BS230"/>
      <c r="BT230"/>
      <c r="BU230"/>
      <c r="BV230"/>
      <c r="BW230"/>
      <c r="BX230"/>
      <c r="BY230"/>
      <c r="BZ230"/>
      <c r="CA230"/>
      <c r="CB230"/>
      <c r="CC230"/>
    </row>
    <row r="231" spans="1:81" x14ac:dyDescent="0.25">
      <c r="A231"/>
      <c r="B231"/>
      <c r="C231"/>
      <c r="D231"/>
      <c r="E231"/>
      <c r="F231"/>
      <c r="G231"/>
      <c r="H231"/>
      <c r="I231"/>
      <c r="J231"/>
      <c r="K231"/>
      <c r="L231"/>
      <c r="M231"/>
      <c r="N231"/>
      <c r="O231"/>
      <c r="P231"/>
      <c r="Q231"/>
      <c r="R231"/>
      <c r="S231"/>
      <c r="T231"/>
      <c r="U231"/>
      <c r="V231"/>
      <c r="W231"/>
      <c r="X231"/>
      <c r="Y231"/>
      <c r="Z231"/>
      <c r="AA231"/>
      <c r="AB231"/>
      <c r="AC231"/>
      <c r="AD231"/>
      <c r="AE231"/>
      <c r="AF231"/>
      <c r="AG231"/>
      <c r="AH231"/>
      <c r="AI231"/>
      <c r="AJ231"/>
      <c r="AK231"/>
      <c r="AL231"/>
      <c r="AM231"/>
      <c r="AN231"/>
      <c r="AO231"/>
      <c r="AP231"/>
      <c r="AQ231"/>
      <c r="AR231"/>
      <c r="AS231"/>
      <c r="AT231"/>
      <c r="AU231"/>
      <c r="AV231"/>
      <c r="AW231"/>
      <c r="AX231"/>
      <c r="AY231"/>
      <c r="AZ231"/>
      <c r="BA231"/>
      <c r="BB231"/>
      <c r="BC231"/>
      <c r="BD231"/>
      <c r="BE231"/>
      <c r="BF231"/>
      <c r="BG231"/>
      <c r="BH231"/>
      <c r="BI231"/>
      <c r="BJ231"/>
      <c r="BK231"/>
      <c r="BL231"/>
      <c r="BM231"/>
      <c r="BN231"/>
      <c r="BO231"/>
      <c r="BP231"/>
      <c r="BQ231"/>
      <c r="BR231"/>
      <c r="BS231"/>
      <c r="BT231"/>
      <c r="BU231"/>
      <c r="BV231"/>
      <c r="BW231"/>
      <c r="BX231"/>
      <c r="BY231"/>
      <c r="BZ231"/>
      <c r="CA231"/>
      <c r="CB231"/>
      <c r="CC231"/>
    </row>
    <row r="232" spans="1:81" x14ac:dyDescent="0.25">
      <c r="A232"/>
      <c r="B232"/>
      <c r="C232"/>
      <c r="D232"/>
      <c r="E232"/>
      <c r="F232"/>
      <c r="G232"/>
      <c r="H232"/>
      <c r="I232"/>
      <c r="J232"/>
      <c r="K232"/>
      <c r="L232"/>
      <c r="M232"/>
      <c r="N232"/>
      <c r="O232"/>
      <c r="P232"/>
      <c r="Q232"/>
      <c r="R232"/>
      <c r="S232"/>
      <c r="T232"/>
      <c r="U232"/>
      <c r="V232"/>
      <c r="W232"/>
      <c r="X232"/>
      <c r="Y232"/>
      <c r="Z232"/>
      <c r="AA232"/>
      <c r="AB232"/>
      <c r="AC232"/>
      <c r="AD232"/>
      <c r="AE232"/>
      <c r="AF232"/>
      <c r="AG232"/>
      <c r="AH232"/>
      <c r="AI232"/>
      <c r="AJ232"/>
      <c r="AK232"/>
      <c r="AL232"/>
      <c r="AM232"/>
      <c r="AN232"/>
      <c r="AO232"/>
      <c r="AP232"/>
      <c r="AQ232"/>
      <c r="AR232"/>
      <c r="AS232"/>
      <c r="AT232"/>
      <c r="AU232"/>
      <c r="AV232"/>
      <c r="AW232"/>
      <c r="AX232"/>
      <c r="AY232"/>
      <c r="AZ232"/>
      <c r="BA232"/>
      <c r="BB232"/>
      <c r="BC232"/>
      <c r="BD232"/>
      <c r="BE232"/>
      <c r="BF232"/>
      <c r="BG232"/>
      <c r="BH232"/>
      <c r="BI232"/>
      <c r="BJ232"/>
      <c r="BK232"/>
      <c r="BL232"/>
      <c r="BM232"/>
      <c r="BN232"/>
      <c r="BO232"/>
      <c r="BP232"/>
      <c r="BQ232"/>
      <c r="BR232"/>
      <c r="BS232"/>
      <c r="BT232"/>
      <c r="BU232"/>
      <c r="BV232"/>
      <c r="BW232"/>
      <c r="BX232"/>
      <c r="BY232"/>
      <c r="BZ232"/>
      <c r="CA232"/>
      <c r="CB232"/>
      <c r="CC232"/>
    </row>
    <row r="233" spans="1:81" x14ac:dyDescent="0.25">
      <c r="A233"/>
      <c r="B233"/>
      <c r="C233"/>
      <c r="D233"/>
      <c r="E233"/>
      <c r="F233"/>
      <c r="G233"/>
      <c r="H233"/>
      <c r="I233"/>
      <c r="J233"/>
      <c r="K233"/>
      <c r="L233"/>
      <c r="M233"/>
      <c r="N233"/>
      <c r="O233"/>
      <c r="P233"/>
      <c r="Q233"/>
      <c r="R233"/>
      <c r="S233"/>
      <c r="T233"/>
      <c r="U233"/>
      <c r="V233"/>
      <c r="W233"/>
      <c r="X233"/>
      <c r="Y233"/>
      <c r="Z233"/>
      <c r="AA233"/>
      <c r="AB233"/>
      <c r="AC233"/>
      <c r="AD233"/>
      <c r="AE233"/>
      <c r="AF233"/>
      <c r="AG233"/>
      <c r="AH233"/>
      <c r="AI233"/>
      <c r="AJ233"/>
      <c r="AK233"/>
      <c r="AL233"/>
      <c r="AM233"/>
      <c r="AN233"/>
      <c r="AO233"/>
      <c r="AP233"/>
      <c r="AQ233"/>
      <c r="AR233"/>
      <c r="AS233"/>
      <c r="AT233"/>
      <c r="AU233"/>
      <c r="AV233"/>
      <c r="AW233"/>
      <c r="AX233"/>
      <c r="AY233"/>
      <c r="AZ233"/>
      <c r="BA233"/>
      <c r="BB233"/>
      <c r="BC233"/>
      <c r="BD233"/>
      <c r="BE233"/>
      <c r="BF233"/>
      <c r="BG233"/>
      <c r="BH233"/>
      <c r="BI233"/>
      <c r="BJ233"/>
      <c r="BK233"/>
      <c r="BL233"/>
      <c r="BM233"/>
      <c r="BN233"/>
      <c r="BO233"/>
      <c r="BP233"/>
      <c r="BQ233"/>
      <c r="BR233"/>
      <c r="BS233"/>
      <c r="BT233"/>
      <c r="BU233"/>
      <c r="BV233"/>
      <c r="BW233"/>
      <c r="BX233"/>
      <c r="BY233"/>
      <c r="BZ233"/>
      <c r="CA233"/>
      <c r="CB233"/>
      <c r="CC233"/>
    </row>
    <row r="234" spans="1:81" x14ac:dyDescent="0.25">
      <c r="A234"/>
      <c r="B234"/>
      <c r="C234"/>
      <c r="D234"/>
      <c r="E234"/>
      <c r="F234"/>
      <c r="G234"/>
      <c r="H234"/>
      <c r="I234"/>
      <c r="J234"/>
      <c r="K234"/>
      <c r="L234"/>
      <c r="M234"/>
      <c r="N234"/>
      <c r="O234"/>
      <c r="P234"/>
      <c r="Q234"/>
      <c r="R234"/>
      <c r="S234"/>
      <c r="T234"/>
      <c r="U234"/>
      <c r="V234"/>
      <c r="W234"/>
      <c r="X234"/>
      <c r="Y234"/>
      <c r="Z234"/>
      <c r="AA234"/>
      <c r="AB234"/>
      <c r="AC234"/>
      <c r="AD234"/>
      <c r="AE234"/>
      <c r="AF234"/>
      <c r="AG234"/>
      <c r="AH234"/>
      <c r="AI234"/>
      <c r="AJ234"/>
      <c r="AK234"/>
      <c r="AL234"/>
      <c r="AM234"/>
      <c r="AN234"/>
      <c r="AO234"/>
      <c r="AP234"/>
      <c r="AQ234"/>
      <c r="AR234"/>
      <c r="AS234"/>
      <c r="AT234"/>
      <c r="AU234"/>
      <c r="AV234"/>
      <c r="AW234"/>
      <c r="AX234"/>
      <c r="AY234"/>
      <c r="AZ234"/>
      <c r="BA234"/>
      <c r="BB234"/>
      <c r="BC234"/>
      <c r="BD234"/>
      <c r="BE234"/>
      <c r="BF234"/>
      <c r="BG234"/>
      <c r="BH234"/>
      <c r="BI234"/>
      <c r="BJ234"/>
      <c r="BK234"/>
      <c r="BL234"/>
      <c r="BM234"/>
      <c r="BN234"/>
      <c r="BO234"/>
      <c r="BP234"/>
      <c r="BQ234"/>
      <c r="BR234"/>
      <c r="BS234"/>
      <c r="BT234"/>
      <c r="BU234"/>
      <c r="BV234"/>
      <c r="BW234"/>
      <c r="BX234"/>
      <c r="BY234"/>
      <c r="BZ234"/>
      <c r="CA234"/>
      <c r="CB234"/>
      <c r="CC234"/>
    </row>
    <row r="235" spans="1:81" x14ac:dyDescent="0.25">
      <c r="A235"/>
      <c r="B235"/>
      <c r="C235"/>
      <c r="D235"/>
      <c r="E235"/>
      <c r="F235"/>
      <c r="G235"/>
      <c r="H235"/>
      <c r="I235"/>
      <c r="J235"/>
      <c r="K235"/>
      <c r="L235"/>
      <c r="M235"/>
      <c r="N235"/>
      <c r="O235"/>
      <c r="P235"/>
      <c r="Q235"/>
      <c r="R235"/>
      <c r="S235"/>
      <c r="T235"/>
      <c r="U235"/>
      <c r="V235"/>
      <c r="W235"/>
      <c r="X235"/>
      <c r="Y235"/>
      <c r="Z235"/>
      <c r="AA235"/>
      <c r="AB235"/>
      <c r="AC235"/>
      <c r="AD235"/>
      <c r="AE235"/>
      <c r="AF235"/>
      <c r="AG235"/>
      <c r="AH235"/>
      <c r="AI235"/>
      <c r="AJ235"/>
      <c r="AK235"/>
      <c r="AL235"/>
      <c r="AM235"/>
      <c r="AN235"/>
      <c r="AO235"/>
      <c r="AP235"/>
      <c r="AQ235"/>
      <c r="AR235"/>
      <c r="AS235"/>
      <c r="AT235"/>
      <c r="AU235"/>
      <c r="AV235"/>
      <c r="AW235"/>
      <c r="AX235"/>
      <c r="AY235"/>
      <c r="AZ235"/>
      <c r="BA235"/>
      <c r="BB235"/>
      <c r="BC235"/>
      <c r="BD235"/>
      <c r="BE235"/>
      <c r="BF235"/>
      <c r="BG235"/>
      <c r="BH235"/>
      <c r="BI235"/>
      <c r="BJ235"/>
      <c r="BK235"/>
      <c r="BL235"/>
      <c r="BM235"/>
      <c r="BN235"/>
      <c r="BO235"/>
      <c r="BP235"/>
      <c r="BQ235"/>
      <c r="BR235"/>
      <c r="BS235"/>
      <c r="BT235"/>
      <c r="BU235"/>
      <c r="BV235"/>
      <c r="BW235"/>
      <c r="BX235"/>
      <c r="BY235"/>
      <c r="BZ235"/>
      <c r="CA235"/>
      <c r="CB235"/>
      <c r="CC235"/>
    </row>
    <row r="236" spans="1:81" x14ac:dyDescent="0.25">
      <c r="A236"/>
      <c r="B236"/>
      <c r="C236"/>
      <c r="D236"/>
      <c r="E236"/>
      <c r="F236"/>
      <c r="G236"/>
      <c r="H236"/>
      <c r="I236"/>
      <c r="J236"/>
      <c r="K236"/>
      <c r="L236"/>
      <c r="M236"/>
      <c r="N236"/>
      <c r="O236"/>
      <c r="P236"/>
      <c r="Q236"/>
      <c r="R236"/>
      <c r="S236"/>
      <c r="T236"/>
      <c r="U236"/>
      <c r="V236"/>
      <c r="W236"/>
      <c r="X236"/>
      <c r="Y236"/>
      <c r="Z236"/>
      <c r="AA236"/>
      <c r="AB236"/>
      <c r="AC236"/>
      <c r="AD236"/>
      <c r="AE236"/>
      <c r="AF236"/>
      <c r="AG236"/>
      <c r="AH236"/>
      <c r="AI236"/>
      <c r="AJ236"/>
      <c r="AK236"/>
      <c r="AL236"/>
      <c r="AM236"/>
      <c r="AN236"/>
      <c r="AO236"/>
      <c r="AP236"/>
      <c r="AQ236"/>
      <c r="AR236"/>
      <c r="AS236"/>
      <c r="AT236"/>
      <c r="AU236"/>
      <c r="AV236"/>
      <c r="AW236"/>
      <c r="AX236"/>
      <c r="AY236"/>
      <c r="AZ236"/>
      <c r="BA236"/>
      <c r="BB236"/>
      <c r="BC236"/>
      <c r="BD236"/>
      <c r="BE236"/>
      <c r="BF236"/>
      <c r="BG236"/>
      <c r="BH236"/>
      <c r="BI236"/>
      <c r="BJ236"/>
      <c r="BK236"/>
      <c r="BL236"/>
      <c r="BM236"/>
      <c r="BN236"/>
      <c r="BO236"/>
      <c r="BP236"/>
      <c r="BQ236"/>
      <c r="BR236"/>
      <c r="BS236"/>
      <c r="BT236"/>
      <c r="BU236"/>
      <c r="BV236"/>
      <c r="BW236"/>
      <c r="BX236"/>
      <c r="BY236"/>
      <c r="BZ236"/>
      <c r="CA236"/>
      <c r="CB236"/>
      <c r="CC236"/>
    </row>
    <row r="237" spans="1:81" x14ac:dyDescent="0.25">
      <c r="A237"/>
      <c r="B237"/>
      <c r="C237"/>
      <c r="D237"/>
      <c r="E237"/>
      <c r="F237"/>
      <c r="G237"/>
      <c r="H237"/>
      <c r="I237"/>
      <c r="J237"/>
      <c r="K237"/>
      <c r="L237"/>
      <c r="M237"/>
      <c r="N237"/>
      <c r="O237"/>
      <c r="P237"/>
      <c r="Q237"/>
      <c r="R237"/>
      <c r="S237"/>
      <c r="T237"/>
      <c r="U237"/>
      <c r="V237"/>
      <c r="W237"/>
      <c r="X237"/>
      <c r="Y237"/>
      <c r="Z237"/>
      <c r="AA237"/>
      <c r="AB237"/>
      <c r="AC237"/>
      <c r="AD237"/>
      <c r="AE237"/>
      <c r="AF237"/>
      <c r="AG237"/>
      <c r="AH237"/>
      <c r="AI237"/>
      <c r="AJ237"/>
      <c r="AK237"/>
      <c r="AL237"/>
      <c r="AM237"/>
      <c r="AN237"/>
      <c r="AO237"/>
      <c r="AP237"/>
      <c r="AQ237"/>
      <c r="AR237"/>
      <c r="AS237"/>
      <c r="AT237"/>
      <c r="AU237"/>
      <c r="AV237"/>
      <c r="AW237"/>
      <c r="AX237"/>
      <c r="AY237"/>
      <c r="AZ237"/>
      <c r="BA237"/>
      <c r="BB237"/>
      <c r="BC237"/>
      <c r="BD237"/>
      <c r="BE237"/>
      <c r="BF237"/>
      <c r="BG237"/>
      <c r="BH237"/>
      <c r="BI237"/>
      <c r="BJ237"/>
      <c r="BK237"/>
      <c r="BL237"/>
      <c r="BM237"/>
      <c r="BN237"/>
      <c r="BO237"/>
      <c r="BP237"/>
      <c r="BQ237"/>
      <c r="BR237"/>
      <c r="BS237"/>
      <c r="BT237"/>
      <c r="BU237"/>
      <c r="BV237"/>
      <c r="BW237"/>
      <c r="BX237"/>
      <c r="BY237"/>
      <c r="BZ237"/>
      <c r="CA237"/>
      <c r="CB237"/>
      <c r="CC237"/>
    </row>
    <row r="238" spans="1:81" x14ac:dyDescent="0.25">
      <c r="A238"/>
      <c r="B238"/>
      <c r="C238"/>
      <c r="D238"/>
      <c r="E238"/>
      <c r="F238"/>
      <c r="G238"/>
      <c r="H238"/>
      <c r="I238"/>
      <c r="J238"/>
      <c r="K238"/>
      <c r="L238"/>
      <c r="M238"/>
      <c r="N238"/>
      <c r="O238"/>
      <c r="P238"/>
      <c r="Q238"/>
      <c r="R238"/>
      <c r="S238"/>
      <c r="T238"/>
      <c r="U238"/>
      <c r="V238"/>
      <c r="W238"/>
      <c r="X238"/>
      <c r="Y238"/>
      <c r="Z238"/>
      <c r="AA238"/>
      <c r="AB238"/>
      <c r="AC238"/>
      <c r="AD238"/>
      <c r="AE238"/>
      <c r="AF238"/>
      <c r="AG238"/>
      <c r="AH238"/>
      <c r="AI238"/>
      <c r="AJ238"/>
      <c r="AK238"/>
      <c r="AL238"/>
      <c r="AM238"/>
      <c r="AN238"/>
      <c r="AO238"/>
      <c r="AP238"/>
      <c r="AQ238"/>
      <c r="AR238"/>
      <c r="AS238"/>
      <c r="AT238"/>
      <c r="AU238"/>
      <c r="AV238"/>
      <c r="AW238"/>
      <c r="AX238"/>
      <c r="AY238"/>
      <c r="AZ238"/>
      <c r="BA238"/>
      <c r="BB238"/>
      <c r="BC238"/>
      <c r="BD238"/>
      <c r="BE238"/>
      <c r="BF238"/>
      <c r="BG238"/>
      <c r="BH238"/>
      <c r="BI238"/>
      <c r="BJ238"/>
      <c r="BK238"/>
      <c r="BL238"/>
      <c r="BM238"/>
      <c r="BN238"/>
      <c r="BO238"/>
      <c r="BP238"/>
      <c r="BQ238"/>
      <c r="BR238"/>
      <c r="BS238"/>
      <c r="BT238"/>
      <c r="BU238"/>
      <c r="BV238"/>
      <c r="BW238"/>
      <c r="BX238"/>
      <c r="BY238"/>
      <c r="BZ238"/>
      <c r="CA238"/>
      <c r="CB238"/>
      <c r="CC238"/>
    </row>
    <row r="239" spans="1:81" x14ac:dyDescent="0.25">
      <c r="A239"/>
      <c r="B239"/>
      <c r="C239"/>
      <c r="D239"/>
      <c r="E239"/>
      <c r="F239"/>
      <c r="G239"/>
      <c r="H239"/>
      <c r="I239"/>
      <c r="J239"/>
      <c r="K239"/>
      <c r="L239"/>
      <c r="M239"/>
      <c r="N239"/>
      <c r="O239"/>
      <c r="P239"/>
      <c r="Q239"/>
      <c r="R239"/>
      <c r="S239"/>
      <c r="T239"/>
      <c r="U239"/>
      <c r="V239"/>
      <c r="W239"/>
      <c r="X239"/>
      <c r="Y239"/>
      <c r="Z239"/>
      <c r="AA239"/>
      <c r="AB239"/>
      <c r="AC239"/>
      <c r="AD239"/>
      <c r="AE239"/>
      <c r="AF239"/>
      <c r="AG239"/>
      <c r="AH239"/>
      <c r="AI239"/>
      <c r="AJ239"/>
      <c r="AK239"/>
      <c r="AL239"/>
      <c r="AM239"/>
      <c r="AN239"/>
      <c r="AO239"/>
      <c r="AP239"/>
      <c r="AQ239"/>
      <c r="AR239"/>
      <c r="AS239"/>
      <c r="AT239"/>
      <c r="AU239"/>
      <c r="AV239"/>
      <c r="AW239"/>
      <c r="AX239"/>
      <c r="AY239"/>
      <c r="AZ239"/>
      <c r="BA239"/>
      <c r="BB239"/>
      <c r="BC239"/>
      <c r="BD239"/>
      <c r="BE239"/>
      <c r="BF239"/>
      <c r="BG239"/>
      <c r="BH239"/>
      <c r="BI239"/>
      <c r="BJ239"/>
      <c r="BK239"/>
      <c r="BL239"/>
      <c r="BM239"/>
      <c r="BN239"/>
      <c r="BO239"/>
      <c r="BP239"/>
      <c r="BQ239"/>
      <c r="BR239"/>
      <c r="BS239"/>
      <c r="BT239"/>
      <c r="BU239"/>
      <c r="BV239"/>
      <c r="BW239"/>
      <c r="BX239"/>
      <c r="BY239"/>
      <c r="BZ239"/>
      <c r="CA239"/>
      <c r="CB239"/>
      <c r="CC239"/>
    </row>
    <row r="240" spans="1:81" x14ac:dyDescent="0.25">
      <c r="A240"/>
      <c r="B240"/>
      <c r="C240"/>
      <c r="D240"/>
      <c r="E240"/>
      <c r="F240"/>
      <c r="G240"/>
      <c r="H240"/>
      <c r="I240"/>
      <c r="J240"/>
      <c r="K240"/>
      <c r="L240"/>
      <c r="M240"/>
      <c r="N240"/>
      <c r="O240"/>
      <c r="P240"/>
      <c r="Q240"/>
      <c r="R240"/>
      <c r="S240"/>
      <c r="T240"/>
      <c r="U240"/>
      <c r="V240"/>
      <c r="W240"/>
      <c r="X240"/>
      <c r="Y240"/>
      <c r="Z240"/>
      <c r="AA240"/>
      <c r="AB240"/>
      <c r="AC240"/>
      <c r="AD240"/>
      <c r="AE240"/>
      <c r="AF240"/>
      <c r="AG240"/>
      <c r="AH240"/>
      <c r="AI240"/>
      <c r="AJ240"/>
      <c r="AK240"/>
      <c r="AL240"/>
      <c r="AM240"/>
      <c r="AN240"/>
      <c r="AO240"/>
      <c r="AP240"/>
      <c r="AQ240"/>
      <c r="AR240"/>
      <c r="AS240"/>
      <c r="AT240"/>
      <c r="AU240"/>
      <c r="AV240"/>
      <c r="AW240"/>
      <c r="AX240"/>
      <c r="AY240"/>
      <c r="AZ240"/>
      <c r="BA240"/>
      <c r="BB240"/>
      <c r="BC240"/>
      <c r="BD240"/>
      <c r="BE240"/>
      <c r="BF240"/>
      <c r="BG240"/>
      <c r="BH240"/>
      <c r="BI240"/>
      <c r="BJ240"/>
      <c r="BK240"/>
      <c r="BL240"/>
      <c r="BM240"/>
      <c r="BN240"/>
      <c r="BO240"/>
      <c r="BP240"/>
      <c r="BQ240"/>
      <c r="BR240"/>
      <c r="BS240"/>
      <c r="BT240"/>
      <c r="BU240"/>
      <c r="BV240"/>
      <c r="BW240"/>
      <c r="BX240"/>
      <c r="BY240"/>
      <c r="BZ240"/>
      <c r="CA240"/>
      <c r="CB240"/>
      <c r="CC240"/>
    </row>
    <row r="241" spans="1:81" x14ac:dyDescent="0.25">
      <c r="A241"/>
      <c r="B241"/>
      <c r="C241"/>
      <c r="D241"/>
      <c r="E241"/>
      <c r="F241"/>
      <c r="G241"/>
      <c r="H241"/>
      <c r="I241"/>
      <c r="J241"/>
      <c r="K241"/>
      <c r="L241"/>
      <c r="M241"/>
      <c r="N241"/>
      <c r="O241"/>
      <c r="P241"/>
      <c r="Q241"/>
      <c r="R241"/>
      <c r="S241"/>
      <c r="T241"/>
      <c r="U241"/>
      <c r="V241"/>
      <c r="W241"/>
      <c r="X241"/>
      <c r="Y241"/>
      <c r="Z241"/>
      <c r="AA241"/>
      <c r="AB241"/>
      <c r="AC241"/>
      <c r="AD241"/>
      <c r="AE241"/>
      <c r="AF241"/>
      <c r="AG241"/>
      <c r="AH241"/>
      <c r="AI241"/>
      <c r="AJ241"/>
      <c r="AK241"/>
      <c r="AL241"/>
      <c r="AM241"/>
      <c r="AN241"/>
      <c r="AO241"/>
      <c r="AP241"/>
      <c r="AQ241"/>
      <c r="AR241"/>
      <c r="AS241"/>
      <c r="AT241"/>
      <c r="AU241"/>
      <c r="AV241"/>
      <c r="AW241"/>
      <c r="AX241"/>
      <c r="AY241"/>
      <c r="AZ241"/>
      <c r="BA241"/>
      <c r="BB241"/>
      <c r="BC241"/>
      <c r="BD241"/>
      <c r="BE241"/>
      <c r="BF241"/>
      <c r="BG241"/>
      <c r="BH241"/>
      <c r="BI241"/>
      <c r="BJ241"/>
      <c r="BK241"/>
      <c r="BL241"/>
      <c r="BM241"/>
      <c r="BN241"/>
      <c r="BO241"/>
      <c r="BP241"/>
      <c r="BQ241"/>
      <c r="BR241"/>
      <c r="BS241"/>
      <c r="BT241"/>
      <c r="BU241"/>
      <c r="BV241"/>
      <c r="BW241"/>
      <c r="BX241"/>
      <c r="BY241"/>
      <c r="BZ241"/>
      <c r="CA241"/>
      <c r="CB241"/>
      <c r="CC241"/>
    </row>
    <row r="242" spans="1:81" x14ac:dyDescent="0.25">
      <c r="A242"/>
      <c r="B242"/>
      <c r="C242"/>
      <c r="D242"/>
      <c r="E242"/>
      <c r="F242"/>
      <c r="G242"/>
      <c r="H242"/>
      <c r="I242"/>
      <c r="J242"/>
      <c r="K242"/>
      <c r="L242"/>
      <c r="M242"/>
      <c r="N242"/>
      <c r="O242"/>
      <c r="P242"/>
      <c r="Q242"/>
      <c r="R242"/>
      <c r="S242"/>
      <c r="T242"/>
      <c r="U242"/>
      <c r="V242"/>
      <c r="W242"/>
      <c r="X242"/>
      <c r="Y242"/>
      <c r="Z242"/>
      <c r="AA242"/>
      <c r="AB242"/>
      <c r="AC242"/>
      <c r="AD242"/>
      <c r="AE242"/>
      <c r="AF242"/>
      <c r="AG242"/>
      <c r="AH242"/>
      <c r="AI242"/>
      <c r="AJ242"/>
      <c r="AK242"/>
      <c r="AL242"/>
      <c r="AM242"/>
      <c r="AN242"/>
      <c r="AO242"/>
      <c r="AP242"/>
      <c r="AQ242"/>
      <c r="AR242"/>
      <c r="AS242"/>
      <c r="AT242"/>
      <c r="AU242"/>
      <c r="AV242"/>
      <c r="AW242"/>
      <c r="AX242"/>
      <c r="AY242"/>
      <c r="AZ242"/>
      <c r="BA242"/>
      <c r="BB242"/>
      <c r="BC242"/>
      <c r="BD242"/>
      <c r="BE242"/>
      <c r="BF242"/>
      <c r="BG242"/>
      <c r="BH242"/>
      <c r="BI242"/>
      <c r="BJ242"/>
      <c r="BK242"/>
      <c r="BL242"/>
      <c r="BM242"/>
      <c r="BN242"/>
      <c r="BO242"/>
      <c r="BP242"/>
      <c r="BQ242"/>
      <c r="BR242"/>
      <c r="BS242"/>
      <c r="BT242"/>
      <c r="BU242"/>
      <c r="BV242"/>
      <c r="BW242"/>
      <c r="BX242"/>
      <c r="BY242"/>
      <c r="BZ242"/>
      <c r="CA242"/>
      <c r="CB242"/>
      <c r="CC242"/>
    </row>
    <row r="243" spans="1:81" x14ac:dyDescent="0.25">
      <c r="A243"/>
      <c r="B243"/>
      <c r="C243"/>
      <c r="D243"/>
      <c r="E243"/>
      <c r="F243"/>
      <c r="G243"/>
      <c r="H243"/>
      <c r="I243"/>
      <c r="J243"/>
      <c r="K243"/>
      <c r="L243"/>
      <c r="M243"/>
      <c r="N243"/>
      <c r="O243"/>
      <c r="P243"/>
      <c r="Q243"/>
      <c r="R243"/>
      <c r="S243"/>
      <c r="T243"/>
      <c r="U243"/>
      <c r="V243"/>
      <c r="W243"/>
      <c r="X243"/>
      <c r="Y243"/>
      <c r="Z243"/>
      <c r="AA243"/>
      <c r="AB243"/>
      <c r="AC243"/>
      <c r="AD243"/>
      <c r="AE243"/>
      <c r="AF243"/>
      <c r="AG243"/>
      <c r="AH243"/>
      <c r="AI243"/>
      <c r="AJ243"/>
      <c r="AK243"/>
      <c r="AL243"/>
      <c r="AM243"/>
      <c r="AN243"/>
      <c r="AO243"/>
      <c r="AP243"/>
      <c r="AQ243"/>
      <c r="AR243"/>
      <c r="AS243"/>
      <c r="AT243"/>
      <c r="AU243"/>
      <c r="AV243"/>
      <c r="AW243"/>
      <c r="AX243"/>
      <c r="AY243"/>
      <c r="AZ243"/>
      <c r="BA243"/>
      <c r="BB243"/>
      <c r="BC243"/>
      <c r="BD243"/>
      <c r="BE243"/>
      <c r="BF243"/>
      <c r="BG243"/>
      <c r="BH243"/>
      <c r="BI243"/>
      <c r="BJ243"/>
      <c r="BK243"/>
      <c r="BL243"/>
      <c r="BM243"/>
      <c r="BN243"/>
      <c r="BO243"/>
      <c r="BP243"/>
      <c r="BQ243"/>
      <c r="BR243"/>
      <c r="BS243"/>
      <c r="BT243"/>
      <c r="BU243"/>
      <c r="BV243"/>
      <c r="BW243"/>
      <c r="BX243"/>
      <c r="BY243"/>
      <c r="BZ243"/>
      <c r="CA243"/>
      <c r="CB243"/>
      <c r="CC243"/>
    </row>
    <row r="244" spans="1:81" x14ac:dyDescent="0.25">
      <c r="A244"/>
      <c r="B244"/>
      <c r="C244"/>
      <c r="D244"/>
      <c r="E244"/>
      <c r="F244"/>
      <c r="G244"/>
      <c r="H244"/>
      <c r="I244"/>
      <c r="J244"/>
      <c r="K244"/>
      <c r="L244"/>
      <c r="M244"/>
      <c r="N244"/>
      <c r="O244"/>
      <c r="P244"/>
      <c r="Q244"/>
      <c r="R244"/>
      <c r="S244"/>
      <c r="T244"/>
      <c r="U244"/>
      <c r="V244"/>
      <c r="W244"/>
      <c r="X244"/>
      <c r="Y244"/>
      <c r="Z244"/>
      <c r="AA244"/>
      <c r="AB244"/>
      <c r="AC244"/>
      <c r="AD244"/>
      <c r="AE244"/>
      <c r="AF244"/>
      <c r="AG244"/>
      <c r="AH244"/>
      <c r="AI244"/>
      <c r="AJ244"/>
      <c r="AK244"/>
      <c r="AL244"/>
      <c r="AM244"/>
      <c r="AN244"/>
      <c r="AO244"/>
      <c r="AP244"/>
      <c r="AQ244"/>
      <c r="AR244"/>
      <c r="AS244"/>
      <c r="AT244"/>
      <c r="AU244"/>
      <c r="AV244"/>
      <c r="AW244"/>
      <c r="AX244"/>
      <c r="AY244"/>
      <c r="AZ244"/>
      <c r="BA244"/>
      <c r="BB244"/>
      <c r="BC244"/>
      <c r="BD244"/>
      <c r="BE244"/>
      <c r="BF244"/>
      <c r="BG244"/>
      <c r="BH244"/>
      <c r="BI244"/>
      <c r="BJ244"/>
      <c r="BK244"/>
      <c r="BL244"/>
      <c r="BM244"/>
      <c r="BN244"/>
      <c r="BO244"/>
      <c r="BP244"/>
      <c r="BQ244"/>
      <c r="BR244"/>
      <c r="BS244"/>
      <c r="BT244"/>
      <c r="BU244"/>
      <c r="BV244"/>
      <c r="BW244"/>
      <c r="BX244"/>
      <c r="BY244"/>
      <c r="BZ244"/>
      <c r="CA244"/>
      <c r="CB244"/>
      <c r="CC244"/>
    </row>
    <row r="245" spans="1:81" x14ac:dyDescent="0.25">
      <c r="A245"/>
      <c r="B245"/>
      <c r="C245"/>
      <c r="D245"/>
      <c r="E245"/>
      <c r="F245"/>
      <c r="G245"/>
      <c r="H245"/>
      <c r="I245"/>
      <c r="J245"/>
      <c r="K245"/>
      <c r="L245"/>
      <c r="M245"/>
      <c r="N245"/>
      <c r="O245"/>
      <c r="P245"/>
      <c r="Q245"/>
      <c r="R245"/>
      <c r="S245"/>
      <c r="T245"/>
      <c r="U245"/>
      <c r="V245"/>
      <c r="W245"/>
      <c r="X245"/>
      <c r="Y245"/>
      <c r="Z245"/>
      <c r="AA245"/>
      <c r="AB245"/>
      <c r="AC245"/>
      <c r="AD245"/>
      <c r="AE245"/>
      <c r="AF245"/>
      <c r="AG245"/>
      <c r="AH245"/>
      <c r="AI245"/>
      <c r="AJ245"/>
      <c r="AK245"/>
      <c r="AL245"/>
      <c r="AM245"/>
      <c r="AN245"/>
      <c r="AO245"/>
      <c r="AP245"/>
      <c r="AQ245"/>
      <c r="AR245"/>
      <c r="AS245"/>
      <c r="AT245"/>
      <c r="AU245"/>
      <c r="AV245"/>
      <c r="AW245"/>
      <c r="AX245"/>
      <c r="AY245"/>
      <c r="AZ245"/>
      <c r="BA245"/>
      <c r="BB245"/>
      <c r="BC245"/>
      <c r="BD245"/>
      <c r="BE245"/>
      <c r="BF245"/>
      <c r="BG245"/>
      <c r="BH245"/>
      <c r="BI245"/>
      <c r="BJ245"/>
      <c r="BK245"/>
      <c r="BL245"/>
      <c r="BM245"/>
      <c r="BN245"/>
      <c r="BO245"/>
      <c r="BP245"/>
      <c r="BQ245"/>
      <c r="BR245"/>
      <c r="BS245"/>
      <c r="BT245"/>
      <c r="BU245"/>
      <c r="BV245"/>
      <c r="BW245"/>
      <c r="BX245"/>
      <c r="BY245"/>
      <c r="BZ245"/>
      <c r="CA245"/>
      <c r="CB245"/>
      <c r="CC245"/>
    </row>
    <row r="246" spans="1:81" x14ac:dyDescent="0.25">
      <c r="A246"/>
      <c r="B246"/>
      <c r="C246"/>
      <c r="D246"/>
      <c r="E246"/>
      <c r="F246"/>
      <c r="G246"/>
      <c r="H246"/>
      <c r="I246"/>
      <c r="J246"/>
      <c r="K246"/>
      <c r="L246"/>
      <c r="M246"/>
      <c r="N246"/>
      <c r="O246"/>
      <c r="P246"/>
      <c r="Q246"/>
      <c r="R246"/>
      <c r="S246"/>
      <c r="T246"/>
      <c r="U246"/>
      <c r="V246"/>
      <c r="W246"/>
      <c r="X246"/>
      <c r="Y246"/>
      <c r="Z246"/>
      <c r="AA246"/>
      <c r="AB246"/>
      <c r="AC246"/>
      <c r="AD246"/>
      <c r="AE246"/>
      <c r="AF246"/>
      <c r="AG246"/>
      <c r="AH246"/>
      <c r="AI246"/>
      <c r="AJ246"/>
      <c r="AK246"/>
      <c r="AL246"/>
      <c r="AM246"/>
      <c r="AN246"/>
      <c r="AO246"/>
      <c r="AP246"/>
      <c r="AQ246"/>
      <c r="AR246"/>
      <c r="AS246"/>
      <c r="AT246"/>
      <c r="AU246"/>
      <c r="AV246"/>
      <c r="AW246"/>
      <c r="AX246"/>
      <c r="AY246"/>
      <c r="AZ246"/>
      <c r="BA246"/>
      <c r="BB246"/>
      <c r="BC246"/>
      <c r="BD246"/>
      <c r="BE246"/>
      <c r="BF246"/>
      <c r="BG246"/>
      <c r="BH246"/>
      <c r="BI246"/>
      <c r="BJ246"/>
      <c r="BK246"/>
      <c r="BL246"/>
      <c r="BM246"/>
      <c r="BN246"/>
      <c r="BO246"/>
      <c r="BP246"/>
      <c r="BQ246"/>
      <c r="BR246"/>
      <c r="BS246"/>
      <c r="BT246"/>
      <c r="BU246"/>
      <c r="BV246"/>
      <c r="BW246"/>
      <c r="BX246"/>
      <c r="BY246"/>
      <c r="BZ246"/>
      <c r="CA246"/>
      <c r="CB246"/>
      <c r="CC246"/>
    </row>
    <row r="247" spans="1:81" x14ac:dyDescent="0.25">
      <c r="A247"/>
      <c r="B247"/>
      <c r="C247"/>
      <c r="D247"/>
      <c r="E247"/>
      <c r="F247"/>
      <c r="G247"/>
      <c r="H247"/>
      <c r="I247"/>
      <c r="J247"/>
      <c r="K247"/>
      <c r="L247"/>
      <c r="M247"/>
      <c r="N247"/>
      <c r="O247"/>
      <c r="P247"/>
      <c r="Q247"/>
      <c r="R247"/>
      <c r="S247"/>
      <c r="T247"/>
      <c r="U247"/>
      <c r="V247"/>
      <c r="W247"/>
      <c r="X247"/>
      <c r="Y247"/>
      <c r="Z247"/>
      <c r="AA247"/>
      <c r="AB247"/>
      <c r="AC247"/>
      <c r="AD247"/>
      <c r="AE247"/>
      <c r="AF247"/>
      <c r="AG247"/>
      <c r="AH247"/>
      <c r="AI247"/>
      <c r="AJ247"/>
      <c r="AK247"/>
      <c r="AL247"/>
      <c r="AM247"/>
      <c r="AN247"/>
      <c r="AO247"/>
      <c r="AP247"/>
      <c r="AQ247"/>
      <c r="AR247"/>
      <c r="AS247"/>
      <c r="AT247"/>
      <c r="AU247"/>
      <c r="AV247"/>
      <c r="AW247"/>
      <c r="AX247"/>
      <c r="AY247"/>
      <c r="AZ247"/>
      <c r="BA247"/>
      <c r="BB247"/>
      <c r="BC247"/>
      <c r="BD247"/>
      <c r="BE247"/>
      <c r="BF247"/>
      <c r="BG247"/>
      <c r="BH247"/>
      <c r="BI247"/>
      <c r="BJ247"/>
      <c r="BK247"/>
      <c r="BL247"/>
      <c r="BM247"/>
      <c r="BN247"/>
      <c r="BO247"/>
      <c r="BP247"/>
      <c r="BQ247"/>
      <c r="BR247"/>
      <c r="BS247"/>
      <c r="BT247"/>
      <c r="BU247"/>
      <c r="BV247"/>
      <c r="BW247"/>
      <c r="BX247"/>
      <c r="BY247"/>
      <c r="BZ247"/>
      <c r="CA247"/>
      <c r="CB247"/>
      <c r="CC247"/>
    </row>
    <row r="248" spans="1:81" x14ac:dyDescent="0.25">
      <c r="A248"/>
      <c r="B248"/>
      <c r="C248"/>
      <c r="D248"/>
      <c r="E248"/>
      <c r="F248"/>
      <c r="G248"/>
      <c r="H248"/>
      <c r="I248"/>
      <c r="J248"/>
      <c r="K248"/>
      <c r="L248"/>
      <c r="M248"/>
      <c r="N248"/>
      <c r="O248"/>
      <c r="P248"/>
      <c r="Q248"/>
      <c r="R248"/>
      <c r="S248"/>
      <c r="T248"/>
      <c r="U248"/>
      <c r="V248"/>
      <c r="W248"/>
      <c r="X248"/>
      <c r="Y248"/>
      <c r="Z248"/>
      <c r="AA248"/>
      <c r="AB248"/>
      <c r="AC248"/>
      <c r="AD248"/>
      <c r="AE248"/>
      <c r="AF248"/>
      <c r="AG248"/>
      <c r="AH248"/>
      <c r="AI248"/>
      <c r="AJ248"/>
      <c r="AK248"/>
      <c r="AL248"/>
      <c r="AM248"/>
      <c r="AN248"/>
      <c r="AO248"/>
      <c r="AP248"/>
      <c r="AQ248"/>
      <c r="AR248"/>
      <c r="AS248"/>
      <c r="AT248"/>
      <c r="AU248"/>
      <c r="AV248"/>
      <c r="AW248"/>
      <c r="AX248"/>
      <c r="AY248"/>
      <c r="AZ248"/>
      <c r="BA248"/>
      <c r="BB248"/>
      <c r="BC248"/>
      <c r="BD248"/>
      <c r="BE248"/>
      <c r="BF248"/>
      <c r="BG248"/>
      <c r="BH248"/>
      <c r="BI248"/>
      <c r="BJ248"/>
      <c r="BK248"/>
      <c r="BL248"/>
      <c r="BM248"/>
      <c r="BN248"/>
      <c r="BO248"/>
      <c r="BP248"/>
      <c r="BQ248"/>
      <c r="BR248"/>
      <c r="BS248"/>
      <c r="BT248"/>
      <c r="BU248"/>
      <c r="BV248"/>
      <c r="BW248"/>
      <c r="BX248"/>
      <c r="BY248"/>
      <c r="BZ248"/>
      <c r="CA248"/>
      <c r="CB248"/>
      <c r="CC248"/>
    </row>
    <row r="249" spans="1:81" x14ac:dyDescent="0.25">
      <c r="A249"/>
      <c r="B249"/>
      <c r="C249"/>
      <c r="D249"/>
      <c r="E249"/>
      <c r="F249"/>
      <c r="G249"/>
      <c r="H249"/>
      <c r="I249"/>
      <c r="J249"/>
      <c r="K249"/>
      <c r="L249"/>
      <c r="M249"/>
      <c r="N249"/>
      <c r="O249"/>
      <c r="P249"/>
      <c r="Q249"/>
      <c r="R249"/>
      <c r="S249"/>
      <c r="T249"/>
      <c r="U249"/>
      <c r="V249"/>
      <c r="W249"/>
      <c r="X249"/>
      <c r="Y249"/>
      <c r="Z249"/>
      <c r="AA249"/>
      <c r="AB249"/>
      <c r="AC249"/>
      <c r="AD249"/>
      <c r="AE249"/>
      <c r="AF249"/>
      <c r="AG249"/>
      <c r="AH249"/>
      <c r="AI249"/>
      <c r="AJ249"/>
      <c r="AK249"/>
      <c r="AL249"/>
      <c r="AM249"/>
      <c r="AN249"/>
      <c r="AO249"/>
      <c r="AP249"/>
      <c r="AQ249"/>
      <c r="AR249"/>
      <c r="AS249"/>
      <c r="AT249"/>
      <c r="AU249"/>
      <c r="AV249"/>
      <c r="AW249"/>
      <c r="AX249"/>
      <c r="AY249"/>
      <c r="AZ249"/>
      <c r="BA249"/>
      <c r="BB249"/>
      <c r="BC249"/>
      <c r="BD249"/>
      <c r="BE249"/>
      <c r="BF249"/>
      <c r="BG249"/>
      <c r="BH249"/>
      <c r="BI249"/>
      <c r="BJ249"/>
      <c r="BK249"/>
      <c r="BL249"/>
      <c r="BM249"/>
      <c r="BN249"/>
      <c r="BO249"/>
      <c r="BP249"/>
      <c r="BQ249"/>
      <c r="BR249"/>
      <c r="BS249"/>
      <c r="BT249"/>
      <c r="BU249"/>
      <c r="BV249"/>
      <c r="BW249"/>
      <c r="BX249"/>
      <c r="BY249"/>
      <c r="BZ249"/>
      <c r="CA249"/>
      <c r="CB249"/>
      <c r="CC249"/>
    </row>
    <row r="250" spans="1:81" x14ac:dyDescent="0.25">
      <c r="A250"/>
      <c r="B250"/>
      <c r="C250"/>
      <c r="D250"/>
      <c r="E250"/>
      <c r="F250"/>
      <c r="G250"/>
      <c r="H250"/>
      <c r="I250"/>
      <c r="J250"/>
      <c r="K250"/>
      <c r="L250"/>
      <c r="M250"/>
      <c r="N250"/>
      <c r="O250"/>
      <c r="P250"/>
      <c r="Q250"/>
      <c r="R250"/>
      <c r="S250"/>
      <c r="T250"/>
      <c r="U250"/>
      <c r="V250"/>
      <c r="W250"/>
      <c r="X250"/>
      <c r="Y250"/>
      <c r="Z250"/>
      <c r="AA250"/>
      <c r="AB250"/>
      <c r="AC250"/>
      <c r="AD250"/>
      <c r="AE250"/>
      <c r="AF250"/>
      <c r="AG250"/>
      <c r="AH250"/>
      <c r="AI250"/>
      <c r="AJ250"/>
      <c r="AK250"/>
      <c r="AL250"/>
      <c r="AM250"/>
      <c r="AN250"/>
      <c r="AO250"/>
      <c r="AP250"/>
      <c r="AQ250"/>
      <c r="AR250"/>
      <c r="AS250"/>
      <c r="AT250"/>
      <c r="AU250"/>
      <c r="AV250"/>
      <c r="AW250"/>
      <c r="AX250"/>
      <c r="AY250"/>
      <c r="AZ250"/>
      <c r="BA250"/>
      <c r="BB250"/>
      <c r="BC250"/>
      <c r="BD250"/>
      <c r="BE250"/>
      <c r="BF250"/>
      <c r="BG250"/>
      <c r="BH250"/>
      <c r="BI250"/>
      <c r="BJ250"/>
      <c r="BK250"/>
      <c r="BL250"/>
      <c r="BM250"/>
      <c r="BN250"/>
      <c r="BO250"/>
      <c r="BP250"/>
      <c r="BQ250"/>
      <c r="BR250"/>
      <c r="BS250"/>
      <c r="BT250"/>
      <c r="BU250"/>
      <c r="BV250"/>
      <c r="BW250"/>
      <c r="BX250"/>
      <c r="BY250"/>
      <c r="BZ250"/>
      <c r="CA250"/>
      <c r="CB250"/>
      <c r="CC250"/>
    </row>
    <row r="251" spans="1:81" x14ac:dyDescent="0.25">
      <c r="A251"/>
      <c r="B251"/>
      <c r="C251"/>
      <c r="D251"/>
      <c r="E251"/>
      <c r="F251"/>
      <c r="G251"/>
      <c r="H251"/>
      <c r="I251"/>
      <c r="J251"/>
      <c r="K251"/>
      <c r="L251"/>
      <c r="M251"/>
      <c r="N251"/>
      <c r="O251"/>
      <c r="P251"/>
      <c r="Q251"/>
      <c r="R251"/>
      <c r="S251"/>
      <c r="T251"/>
      <c r="U251"/>
      <c r="V251"/>
      <c r="W251"/>
      <c r="X251"/>
      <c r="Y251"/>
      <c r="Z251"/>
      <c r="AA251"/>
      <c r="AB251"/>
      <c r="AC251"/>
      <c r="AD251"/>
      <c r="AE251"/>
      <c r="AF251"/>
      <c r="AG251"/>
      <c r="AH251"/>
      <c r="AI251"/>
      <c r="AJ251"/>
      <c r="AK251"/>
      <c r="AL251"/>
      <c r="AM251"/>
      <c r="AN251"/>
      <c r="AO251"/>
      <c r="AP251"/>
      <c r="AQ251"/>
      <c r="AR251"/>
      <c r="AS251"/>
      <c r="AT251"/>
      <c r="AU251"/>
      <c r="AV251"/>
      <c r="AW251"/>
      <c r="AX251"/>
      <c r="AY251"/>
      <c r="AZ251"/>
      <c r="BA251"/>
      <c r="BB251"/>
      <c r="BC251"/>
      <c r="BD251"/>
      <c r="BE251"/>
      <c r="BF251"/>
      <c r="BG251"/>
      <c r="BH251"/>
      <c r="BI251"/>
      <c r="BJ251"/>
      <c r="BK251"/>
      <c r="BL251"/>
      <c r="BM251"/>
      <c r="BN251"/>
      <c r="BO251"/>
      <c r="BP251"/>
      <c r="BQ251"/>
      <c r="BR251"/>
      <c r="BS251"/>
      <c r="BT251"/>
      <c r="BU251"/>
      <c r="BV251"/>
      <c r="BW251"/>
      <c r="BX251"/>
      <c r="BY251"/>
      <c r="BZ251"/>
      <c r="CA251"/>
      <c r="CB251"/>
      <c r="CC251"/>
    </row>
    <row r="252" spans="1:81" x14ac:dyDescent="0.25">
      <c r="A252"/>
      <c r="B252"/>
      <c r="C252"/>
      <c r="D252"/>
      <c r="E252"/>
      <c r="F252"/>
      <c r="G252"/>
      <c r="H252"/>
      <c r="I252"/>
      <c r="J252"/>
      <c r="K252"/>
      <c r="L252"/>
      <c r="M252"/>
      <c r="N252"/>
      <c r="O252"/>
      <c r="P252"/>
      <c r="Q252"/>
      <c r="R252"/>
      <c r="S252"/>
      <c r="T252"/>
      <c r="U252"/>
      <c r="V252"/>
      <c r="W252"/>
      <c r="X252"/>
      <c r="Y252"/>
      <c r="Z252"/>
      <c r="AA252"/>
      <c r="AB252"/>
      <c r="AC252"/>
      <c r="AD252"/>
      <c r="AE252"/>
      <c r="AF252"/>
      <c r="AG252"/>
      <c r="AH252"/>
      <c r="AI252"/>
      <c r="AJ252"/>
      <c r="AK252"/>
      <c r="AL252"/>
      <c r="AM252"/>
      <c r="AN252"/>
      <c r="AO252"/>
      <c r="AP252"/>
      <c r="AQ252"/>
      <c r="AR252"/>
      <c r="AS252"/>
      <c r="AT252"/>
      <c r="AU252"/>
      <c r="AV252"/>
      <c r="AW252"/>
      <c r="AX252"/>
      <c r="AY252"/>
      <c r="AZ252"/>
      <c r="BA252"/>
      <c r="BB252"/>
      <c r="BC252"/>
      <c r="BD252"/>
      <c r="BE252"/>
      <c r="BF252"/>
      <c r="BG252"/>
      <c r="BH252"/>
      <c r="BI252"/>
      <c r="BJ252"/>
      <c r="BK252"/>
      <c r="BL252"/>
      <c r="BM252"/>
      <c r="BN252"/>
      <c r="BO252"/>
      <c r="BP252"/>
      <c r="BQ252"/>
      <c r="BR252"/>
      <c r="BS252"/>
      <c r="BT252"/>
      <c r="BU252"/>
      <c r="BV252"/>
      <c r="BW252"/>
      <c r="BX252"/>
      <c r="BY252"/>
      <c r="BZ252"/>
      <c r="CA252"/>
      <c r="CB252"/>
      <c r="CC252"/>
    </row>
    <row r="253" spans="1:81" x14ac:dyDescent="0.25">
      <c r="A253"/>
      <c r="B253"/>
      <c r="C253"/>
      <c r="D253"/>
      <c r="E253"/>
      <c r="F253"/>
      <c r="G253"/>
      <c r="H253"/>
      <c r="I253"/>
      <c r="J253"/>
      <c r="K253"/>
      <c r="L253"/>
      <c r="M253"/>
      <c r="N253"/>
      <c r="O253"/>
      <c r="P253"/>
      <c r="Q253"/>
      <c r="R253"/>
      <c r="S253"/>
      <c r="T253"/>
      <c r="U253"/>
      <c r="V253"/>
      <c r="W253"/>
      <c r="X253"/>
      <c r="Y253"/>
      <c r="Z253"/>
      <c r="AA253"/>
      <c r="AB253"/>
      <c r="AC253"/>
      <c r="AD253"/>
      <c r="AE253"/>
      <c r="AF253"/>
      <c r="AG253"/>
      <c r="AH253"/>
      <c r="AI253"/>
      <c r="AJ253"/>
      <c r="AK253"/>
      <c r="AL253"/>
      <c r="AM253"/>
      <c r="AN253"/>
      <c r="AO253"/>
      <c r="AP253"/>
      <c r="AQ253"/>
      <c r="AR253"/>
      <c r="AS253"/>
      <c r="AT253"/>
      <c r="AU253"/>
      <c r="AV253"/>
      <c r="AW253"/>
      <c r="AX253"/>
      <c r="AY253"/>
      <c r="AZ253"/>
      <c r="BA253"/>
      <c r="BB253"/>
      <c r="BC253"/>
      <c r="BD253"/>
      <c r="BE253"/>
      <c r="BF253"/>
      <c r="BG253"/>
      <c r="BH253"/>
      <c r="BI253"/>
      <c r="BJ253"/>
      <c r="BK253"/>
      <c r="BL253"/>
      <c r="BM253"/>
      <c r="BN253"/>
      <c r="BO253"/>
      <c r="BP253"/>
      <c r="BQ253"/>
      <c r="BR253"/>
      <c r="BS253"/>
      <c r="BT253"/>
      <c r="BU253"/>
      <c r="BV253"/>
      <c r="BW253"/>
      <c r="BX253"/>
      <c r="BY253"/>
      <c r="BZ253"/>
      <c r="CA253"/>
      <c r="CB253"/>
      <c r="CC253"/>
    </row>
    <row r="254" spans="1:81" x14ac:dyDescent="0.25">
      <c r="A254"/>
      <c r="B254"/>
      <c r="C254"/>
      <c r="D254"/>
      <c r="E254"/>
      <c r="F254"/>
      <c r="G254"/>
      <c r="H254"/>
      <c r="I254"/>
      <c r="J254"/>
      <c r="K254"/>
      <c r="L254"/>
      <c r="M254"/>
      <c r="N254"/>
      <c r="O254"/>
      <c r="P254"/>
      <c r="Q254"/>
      <c r="R254"/>
      <c r="S254"/>
      <c r="T254"/>
      <c r="U254"/>
      <c r="V254"/>
      <c r="W254"/>
      <c r="X254"/>
      <c r="Y254"/>
      <c r="Z254"/>
      <c r="AA254"/>
      <c r="AB254"/>
      <c r="AC254"/>
      <c r="AD254"/>
      <c r="AE254"/>
      <c r="AF254"/>
      <c r="AG254"/>
      <c r="AH254"/>
      <c r="AI254"/>
      <c r="AJ254"/>
      <c r="AK254"/>
      <c r="AL254"/>
      <c r="AM254"/>
      <c r="AN254"/>
      <c r="AO254"/>
      <c r="AP254"/>
      <c r="AQ254"/>
      <c r="AR254"/>
      <c r="AS254"/>
      <c r="AT254"/>
      <c r="AU254"/>
      <c r="AV254"/>
      <c r="AW254"/>
      <c r="AX254"/>
      <c r="AY254"/>
      <c r="AZ254"/>
      <c r="BA254"/>
      <c r="BB254"/>
      <c r="BC254"/>
      <c r="BD254"/>
      <c r="BE254"/>
      <c r="BF254"/>
      <c r="BG254"/>
      <c r="BH254"/>
      <c r="BI254"/>
      <c r="BJ254"/>
      <c r="BK254"/>
      <c r="BL254"/>
      <c r="BM254"/>
      <c r="BN254"/>
      <c r="BO254"/>
      <c r="BP254"/>
      <c r="BQ254"/>
      <c r="BR254"/>
      <c r="BS254"/>
      <c r="BT254"/>
      <c r="BU254"/>
      <c r="BV254"/>
      <c r="BW254"/>
      <c r="BX254"/>
      <c r="BY254"/>
      <c r="BZ254"/>
      <c r="CA254"/>
      <c r="CB254"/>
      <c r="CC254"/>
    </row>
    <row r="255" spans="1:81" x14ac:dyDescent="0.25">
      <c r="A255"/>
      <c r="B255"/>
      <c r="C255"/>
      <c r="D255"/>
      <c r="E255"/>
      <c r="F255"/>
      <c r="G255"/>
      <c r="H255"/>
      <c r="I255"/>
      <c r="J255"/>
      <c r="K255"/>
      <c r="L255"/>
      <c r="M255"/>
      <c r="N255"/>
      <c r="O255"/>
      <c r="P255"/>
      <c r="Q255"/>
      <c r="R255"/>
      <c r="S255"/>
      <c r="T255"/>
      <c r="U255"/>
      <c r="V255"/>
      <c r="W255"/>
      <c r="X255"/>
      <c r="Y255"/>
      <c r="Z255"/>
      <c r="AA255"/>
      <c r="AB255"/>
      <c r="AC255"/>
      <c r="AD255"/>
      <c r="AE255"/>
      <c r="AF255"/>
      <c r="AG255"/>
      <c r="AH255"/>
      <c r="AI255"/>
      <c r="AJ255"/>
      <c r="AK255"/>
      <c r="AL255"/>
      <c r="AM255"/>
      <c r="AN255"/>
      <c r="AO255"/>
      <c r="AP255"/>
      <c r="AQ255"/>
      <c r="AR255"/>
      <c r="AS255"/>
      <c r="AT255"/>
      <c r="AU255"/>
      <c r="AV255"/>
      <c r="AW255"/>
      <c r="AX255"/>
      <c r="AY255"/>
      <c r="AZ255"/>
      <c r="BA255"/>
      <c r="BB255"/>
      <c r="BC255"/>
      <c r="BD255"/>
      <c r="BE255"/>
      <c r="BF255"/>
      <c r="BG255"/>
      <c r="BH255"/>
      <c r="BI255"/>
      <c r="BJ255"/>
      <c r="BK255"/>
      <c r="BL255"/>
      <c r="BM255"/>
      <c r="BN255"/>
      <c r="BO255"/>
      <c r="BP255"/>
      <c r="BQ255"/>
      <c r="BR255"/>
      <c r="BS255"/>
      <c r="BT255"/>
      <c r="BU255"/>
      <c r="BV255"/>
      <c r="BW255"/>
      <c r="BX255"/>
      <c r="BY255"/>
      <c r="BZ255"/>
      <c r="CA255"/>
      <c r="CB255"/>
      <c r="CC255"/>
    </row>
    <row r="256" spans="1:81" x14ac:dyDescent="0.25">
      <c r="A256"/>
      <c r="B256"/>
      <c r="C256"/>
      <c r="D256"/>
      <c r="E256"/>
      <c r="F256"/>
      <c r="G256"/>
      <c r="H256"/>
      <c r="I256"/>
      <c r="J256"/>
      <c r="K256"/>
      <c r="L256"/>
      <c r="M256"/>
      <c r="N256"/>
      <c r="O256"/>
      <c r="P256"/>
      <c r="Q256"/>
      <c r="R256"/>
      <c r="S256"/>
      <c r="T256"/>
      <c r="U256"/>
      <c r="V256"/>
      <c r="W256"/>
      <c r="X256"/>
      <c r="Y256"/>
      <c r="Z256"/>
      <c r="AA256"/>
      <c r="AB256"/>
      <c r="AC256"/>
      <c r="AD256"/>
      <c r="AE256"/>
      <c r="AF256"/>
      <c r="AG256"/>
      <c r="AH256"/>
      <c r="AI256"/>
      <c r="AJ256"/>
      <c r="AK256"/>
      <c r="AL256"/>
      <c r="AM256"/>
      <c r="AN256"/>
      <c r="AO256"/>
      <c r="AP256"/>
      <c r="AQ256"/>
      <c r="AR256"/>
      <c r="AS256"/>
      <c r="AT256"/>
      <c r="AU256"/>
      <c r="AV256"/>
      <c r="AW256"/>
      <c r="AX256"/>
      <c r="AY256"/>
      <c r="AZ256"/>
      <c r="BA256"/>
      <c r="BB256"/>
      <c r="BC256"/>
      <c r="BD256"/>
      <c r="BE256"/>
      <c r="BF256"/>
      <c r="BG256"/>
      <c r="BH256"/>
      <c r="BI256"/>
      <c r="BJ256"/>
      <c r="BK256"/>
      <c r="BL256"/>
      <c r="BM256"/>
      <c r="BN256"/>
      <c r="BO256"/>
      <c r="BP256"/>
      <c r="BQ256"/>
      <c r="BR256"/>
      <c r="BS256"/>
      <c r="BT256"/>
      <c r="BU256"/>
      <c r="BV256"/>
      <c r="BW256"/>
      <c r="BX256"/>
      <c r="BY256"/>
      <c r="BZ256"/>
      <c r="CA256"/>
      <c r="CB256"/>
      <c r="CC256"/>
    </row>
    <row r="257" spans="1:81" x14ac:dyDescent="0.25">
      <c r="A257"/>
      <c r="B257"/>
      <c r="C257"/>
      <c r="D257"/>
      <c r="E257"/>
      <c r="F257"/>
      <c r="G257"/>
      <c r="H257"/>
      <c r="I257"/>
      <c r="J257"/>
      <c r="K257"/>
      <c r="L257"/>
      <c r="M257"/>
      <c r="N257"/>
      <c r="O257"/>
      <c r="P257"/>
      <c r="Q257"/>
      <c r="R257"/>
      <c r="S257"/>
      <c r="T257"/>
      <c r="U257"/>
      <c r="V257"/>
      <c r="W257"/>
      <c r="X257"/>
      <c r="Y257"/>
      <c r="Z257"/>
      <c r="AA257"/>
      <c r="AB257"/>
      <c r="AC257"/>
      <c r="AD257"/>
      <c r="AE257"/>
      <c r="AF257"/>
      <c r="AG257"/>
      <c r="AH257"/>
      <c r="AI257"/>
      <c r="AJ257"/>
      <c r="AK257"/>
      <c r="AL257"/>
      <c r="AM257"/>
      <c r="AN257"/>
      <c r="AO257"/>
      <c r="AP257"/>
      <c r="AQ257"/>
      <c r="AR257"/>
      <c r="AS257"/>
      <c r="AT257"/>
      <c r="AU257"/>
      <c r="AV257"/>
      <c r="AW257"/>
      <c r="AX257"/>
      <c r="AY257"/>
      <c r="AZ257"/>
      <c r="BA257"/>
      <c r="BB257"/>
      <c r="BC257"/>
      <c r="BD257"/>
      <c r="BE257"/>
      <c r="BF257"/>
      <c r="BG257"/>
      <c r="BH257"/>
      <c r="BI257"/>
      <c r="BJ257"/>
      <c r="BK257"/>
      <c r="BL257"/>
      <c r="BM257"/>
      <c r="BN257"/>
      <c r="BO257"/>
      <c r="BP257"/>
      <c r="BQ257"/>
      <c r="BR257"/>
      <c r="BS257"/>
      <c r="BT257"/>
      <c r="BU257"/>
      <c r="BV257"/>
      <c r="BW257"/>
      <c r="BX257"/>
      <c r="BY257"/>
      <c r="BZ257"/>
      <c r="CA257"/>
      <c r="CB257"/>
      <c r="CC257"/>
    </row>
    <row r="258" spans="1:81" x14ac:dyDescent="0.25">
      <c r="A258"/>
      <c r="B258"/>
      <c r="C258"/>
      <c r="D258"/>
      <c r="E258"/>
      <c r="F258"/>
      <c r="G258"/>
      <c r="H258"/>
      <c r="I258"/>
      <c r="J258"/>
      <c r="K258"/>
      <c r="L258"/>
      <c r="M258"/>
      <c r="N258"/>
      <c r="O258"/>
      <c r="P258"/>
      <c r="Q258"/>
      <c r="R258"/>
      <c r="S258"/>
      <c r="T258"/>
      <c r="U258"/>
      <c r="V258"/>
      <c r="W258"/>
      <c r="X258"/>
      <c r="Y258"/>
      <c r="Z258"/>
      <c r="AA258"/>
      <c r="AB258"/>
      <c r="AC258"/>
      <c r="AD258"/>
      <c r="AE258"/>
      <c r="AF258"/>
      <c r="AG258"/>
      <c r="AH258"/>
      <c r="AI258"/>
      <c r="AJ258"/>
      <c r="AK258"/>
      <c r="AL258"/>
      <c r="AM258"/>
      <c r="AN258"/>
      <c r="AO258"/>
      <c r="AP258"/>
      <c r="AQ258"/>
      <c r="AR258"/>
      <c r="AS258"/>
      <c r="AT258"/>
      <c r="AU258"/>
      <c r="AV258"/>
      <c r="AW258"/>
      <c r="AX258"/>
      <c r="AY258"/>
      <c r="AZ258"/>
      <c r="BA258"/>
      <c r="BB258"/>
      <c r="BC258"/>
      <c r="BD258"/>
      <c r="BE258"/>
      <c r="BF258"/>
      <c r="BG258"/>
      <c r="BH258"/>
      <c r="BI258"/>
      <c r="BJ258"/>
      <c r="BK258"/>
      <c r="BL258"/>
      <c r="BM258"/>
      <c r="BN258"/>
      <c r="BO258"/>
      <c r="BP258"/>
      <c r="BQ258"/>
      <c r="BR258"/>
      <c r="BS258"/>
      <c r="BT258"/>
      <c r="BU258"/>
      <c r="BV258"/>
      <c r="BW258"/>
      <c r="BX258"/>
      <c r="BY258"/>
      <c r="BZ258"/>
      <c r="CA258"/>
      <c r="CB258"/>
      <c r="CC258"/>
    </row>
    <row r="259" spans="1:81" x14ac:dyDescent="0.25">
      <c r="A259"/>
      <c r="B259"/>
      <c r="C259"/>
      <c r="D259"/>
      <c r="E259"/>
      <c r="F259"/>
      <c r="G259"/>
      <c r="H259"/>
      <c r="I259"/>
      <c r="J259"/>
      <c r="K259"/>
      <c r="L259"/>
      <c r="M259"/>
      <c r="N259"/>
      <c r="O259"/>
      <c r="P259"/>
      <c r="Q259"/>
      <c r="R259"/>
      <c r="S259"/>
      <c r="T259"/>
      <c r="U259"/>
      <c r="V259"/>
      <c r="W259"/>
      <c r="X259"/>
      <c r="Y259"/>
      <c r="Z259"/>
      <c r="AA259"/>
      <c r="AB259"/>
      <c r="AC259"/>
      <c r="AD259"/>
      <c r="AE259"/>
      <c r="AF259"/>
      <c r="AG259"/>
      <c r="AH259"/>
      <c r="AI259"/>
      <c r="AJ259"/>
      <c r="AK259"/>
      <c r="AL259"/>
      <c r="AM259"/>
      <c r="AN259"/>
      <c r="AO259"/>
      <c r="AP259"/>
      <c r="AQ259"/>
      <c r="AR259"/>
      <c r="AS259"/>
      <c r="AT259"/>
      <c r="AU259"/>
      <c r="AV259"/>
      <c r="AW259"/>
      <c r="AX259"/>
      <c r="AY259"/>
      <c r="AZ259"/>
      <c r="BA259"/>
      <c r="BB259"/>
      <c r="BC259"/>
      <c r="BD259"/>
      <c r="BE259"/>
      <c r="BF259"/>
      <c r="BG259"/>
      <c r="BH259"/>
      <c r="BI259"/>
      <c r="BJ259"/>
      <c r="BK259"/>
      <c r="BL259"/>
      <c r="BM259"/>
      <c r="BN259"/>
      <c r="BO259"/>
      <c r="BP259"/>
      <c r="BQ259"/>
      <c r="BR259"/>
      <c r="BS259"/>
      <c r="BT259"/>
      <c r="BU259"/>
      <c r="BV259"/>
      <c r="BW259"/>
      <c r="BX259"/>
      <c r="BY259"/>
      <c r="BZ259"/>
      <c r="CA259"/>
      <c r="CB259"/>
      <c r="CC259"/>
    </row>
    <row r="260" spans="1:81" x14ac:dyDescent="0.25">
      <c r="A260"/>
      <c r="B260"/>
      <c r="C260"/>
      <c r="D260"/>
      <c r="E260"/>
      <c r="F260"/>
      <c r="G260"/>
      <c r="H260"/>
      <c r="I260"/>
      <c r="J260"/>
      <c r="K260"/>
      <c r="L260"/>
      <c r="M260"/>
      <c r="N260"/>
      <c r="O260"/>
      <c r="P260"/>
      <c r="Q260"/>
      <c r="R260"/>
      <c r="S260"/>
      <c r="T260"/>
      <c r="U260"/>
      <c r="V260"/>
      <c r="W260"/>
      <c r="X260"/>
      <c r="Y260"/>
      <c r="Z260"/>
      <c r="AA260"/>
      <c r="AB260"/>
      <c r="AC260"/>
      <c r="AD260"/>
      <c r="AE260"/>
      <c r="AF260"/>
      <c r="AG260"/>
      <c r="AH260"/>
      <c r="AI260"/>
      <c r="AJ260"/>
      <c r="AK260"/>
      <c r="AL260"/>
      <c r="AM260"/>
      <c r="AN260"/>
      <c r="AO260"/>
      <c r="AP260"/>
      <c r="AQ260"/>
      <c r="AR260"/>
      <c r="AS260"/>
      <c r="AT260"/>
      <c r="AU260"/>
      <c r="AV260"/>
      <c r="AW260"/>
      <c r="AX260"/>
      <c r="AY260"/>
      <c r="AZ260"/>
      <c r="BA260"/>
      <c r="BB260"/>
      <c r="BC260"/>
      <c r="BD260"/>
      <c r="BE260"/>
      <c r="BF260"/>
      <c r="BG260"/>
      <c r="BH260"/>
      <c r="BI260"/>
      <c r="BJ260"/>
      <c r="BK260"/>
      <c r="BL260"/>
      <c r="BM260"/>
      <c r="BN260"/>
      <c r="BO260"/>
      <c r="BP260"/>
      <c r="BQ260"/>
      <c r="BR260"/>
      <c r="BS260"/>
      <c r="BT260"/>
      <c r="BU260"/>
      <c r="BV260"/>
      <c r="BW260"/>
      <c r="BX260"/>
      <c r="BY260"/>
      <c r="BZ260"/>
      <c r="CA260"/>
      <c r="CB260"/>
      <c r="CC260"/>
    </row>
    <row r="261" spans="1:81" x14ac:dyDescent="0.25">
      <c r="A261"/>
      <c r="B261"/>
      <c r="C261"/>
      <c r="D261"/>
      <c r="E261"/>
      <c r="F261"/>
      <c r="G261"/>
      <c r="H261"/>
      <c r="I261"/>
      <c r="J261"/>
      <c r="K261"/>
      <c r="L261"/>
      <c r="M261"/>
      <c r="N261"/>
      <c r="O261"/>
      <c r="P261"/>
      <c r="Q261"/>
      <c r="R261"/>
      <c r="S261"/>
      <c r="T261"/>
      <c r="U261"/>
      <c r="V261"/>
      <c r="W261"/>
      <c r="X261"/>
      <c r="Y261"/>
      <c r="Z261"/>
      <c r="AA261"/>
      <c r="AB261"/>
      <c r="AC261"/>
      <c r="AD261"/>
      <c r="AE261"/>
      <c r="AF261"/>
      <c r="AG261"/>
      <c r="AH261"/>
      <c r="AI261"/>
      <c r="AJ261"/>
      <c r="AK261"/>
      <c r="AL261"/>
      <c r="AM261"/>
      <c r="AN261"/>
      <c r="AO261"/>
      <c r="AP261"/>
      <c r="AQ261"/>
      <c r="AR261"/>
      <c r="AS261"/>
      <c r="AT261"/>
      <c r="AU261"/>
      <c r="AV261"/>
      <c r="AW261"/>
      <c r="AX261"/>
      <c r="AY261"/>
      <c r="AZ261"/>
      <c r="BA261"/>
      <c r="BB261"/>
      <c r="BC261"/>
      <c r="BD261"/>
      <c r="BE261"/>
      <c r="BF261"/>
      <c r="BG261"/>
      <c r="BH261"/>
      <c r="BI261"/>
      <c r="BJ261"/>
      <c r="BK261"/>
      <c r="BL261"/>
      <c r="BM261"/>
      <c r="BN261"/>
      <c r="BO261"/>
      <c r="BP261"/>
      <c r="BQ261"/>
      <c r="BR261"/>
      <c r="BS261"/>
      <c r="BT261"/>
      <c r="BU261"/>
      <c r="BV261"/>
      <c r="BW261"/>
      <c r="BX261"/>
      <c r="BY261"/>
      <c r="BZ261"/>
      <c r="CA261"/>
      <c r="CB261"/>
      <c r="CC261"/>
    </row>
    <row r="262" spans="1:81" x14ac:dyDescent="0.25">
      <c r="A262"/>
      <c r="B262"/>
      <c r="C262"/>
      <c r="D262"/>
      <c r="E262"/>
      <c r="F262"/>
      <c r="G262"/>
      <c r="H262"/>
      <c r="I262"/>
      <c r="J262"/>
      <c r="K262"/>
      <c r="L262"/>
      <c r="M262"/>
      <c r="N262"/>
      <c r="O262"/>
      <c r="P262"/>
      <c r="Q262"/>
      <c r="R262"/>
      <c r="S262"/>
      <c r="T262"/>
      <c r="U262"/>
      <c r="V262"/>
      <c r="W262"/>
      <c r="X262"/>
      <c r="Y262"/>
      <c r="Z262"/>
      <c r="AA262"/>
      <c r="AB262"/>
      <c r="AC262"/>
      <c r="AD262"/>
      <c r="AE262"/>
      <c r="AF262"/>
      <c r="AG262"/>
      <c r="AH262"/>
      <c r="AI262"/>
      <c r="AJ262"/>
      <c r="AK262"/>
      <c r="AL262"/>
      <c r="AM262"/>
      <c r="AN262"/>
      <c r="AO262"/>
      <c r="AP262"/>
      <c r="AQ262"/>
      <c r="AR262"/>
      <c r="AS262"/>
      <c r="AT262"/>
      <c r="AU262"/>
      <c r="AV262"/>
      <c r="AW262"/>
      <c r="AX262"/>
      <c r="AY262"/>
      <c r="AZ262"/>
      <c r="BA262"/>
      <c r="BB262"/>
      <c r="BC262"/>
      <c r="BD262"/>
      <c r="BE262"/>
      <c r="BF262"/>
      <c r="BG262"/>
      <c r="BH262"/>
      <c r="BI262"/>
      <c r="BJ262"/>
      <c r="BK262"/>
      <c r="BL262"/>
      <c r="BM262"/>
      <c r="BN262"/>
      <c r="BO262"/>
      <c r="BP262"/>
      <c r="BQ262"/>
      <c r="BR262"/>
      <c r="BS262"/>
      <c r="BT262"/>
      <c r="BU262"/>
      <c r="BV262"/>
      <c r="BW262"/>
      <c r="BX262"/>
      <c r="BY262"/>
      <c r="BZ262"/>
      <c r="CA262"/>
      <c r="CB262"/>
      <c r="CC262"/>
    </row>
    <row r="263" spans="1:81" x14ac:dyDescent="0.25">
      <c r="A263"/>
      <c r="B263"/>
      <c r="C263"/>
      <c r="D263"/>
      <c r="E263"/>
      <c r="F263"/>
      <c r="G263"/>
      <c r="H263"/>
      <c r="I263"/>
      <c r="J263"/>
      <c r="K263"/>
      <c r="L263"/>
      <c r="M263"/>
      <c r="N263"/>
      <c r="O263"/>
      <c r="P263"/>
      <c r="Q263"/>
      <c r="R263"/>
      <c r="S263"/>
      <c r="T263"/>
      <c r="U263"/>
      <c r="V263"/>
      <c r="W263"/>
      <c r="X263"/>
      <c r="Y263"/>
      <c r="Z263"/>
      <c r="AA263"/>
      <c r="AB263"/>
      <c r="AC263"/>
      <c r="AD263"/>
      <c r="AE263"/>
      <c r="AF263"/>
      <c r="AG263"/>
      <c r="AH263"/>
      <c r="AI263"/>
      <c r="AJ263"/>
      <c r="AK263"/>
      <c r="AL263"/>
      <c r="AM263"/>
      <c r="AN263"/>
      <c r="AO263"/>
      <c r="AP263"/>
      <c r="AQ263"/>
      <c r="AR263"/>
      <c r="AS263"/>
      <c r="AT263"/>
      <c r="AU263"/>
      <c r="AV263"/>
      <c r="AW263"/>
      <c r="AX263"/>
      <c r="AY263"/>
      <c r="AZ263"/>
      <c r="BA263"/>
      <c r="BB263"/>
      <c r="BC263"/>
      <c r="BD263"/>
      <c r="BE263"/>
      <c r="BF263"/>
      <c r="BG263"/>
      <c r="BH263"/>
      <c r="BI263"/>
      <c r="BJ263"/>
      <c r="BK263"/>
      <c r="BL263"/>
      <c r="BM263"/>
      <c r="BN263"/>
      <c r="BO263"/>
      <c r="BP263"/>
      <c r="BQ263"/>
      <c r="BR263"/>
      <c r="BS263"/>
      <c r="BT263"/>
      <c r="BU263"/>
      <c r="BV263"/>
      <c r="BW263"/>
      <c r="BX263"/>
      <c r="BY263"/>
      <c r="BZ263"/>
      <c r="CA263"/>
      <c r="CB263"/>
      <c r="CC263"/>
    </row>
    <row r="264" spans="1:81" x14ac:dyDescent="0.25">
      <c r="A264"/>
      <c r="B264"/>
      <c r="C264"/>
      <c r="D264"/>
      <c r="E264"/>
      <c r="F264"/>
      <c r="G264"/>
      <c r="H264"/>
      <c r="I264"/>
      <c r="J264"/>
      <c r="K264"/>
      <c r="L264"/>
      <c r="M264"/>
      <c r="N264"/>
      <c r="O264"/>
      <c r="P264"/>
      <c r="Q264"/>
      <c r="R264"/>
      <c r="S264"/>
      <c r="T264"/>
      <c r="U264"/>
      <c r="V264"/>
      <c r="W264"/>
      <c r="X264"/>
      <c r="Y264"/>
      <c r="Z264"/>
      <c r="AA264"/>
      <c r="AB264"/>
      <c r="AC264"/>
      <c r="AD264"/>
      <c r="AE264"/>
      <c r="AF264"/>
      <c r="AG264"/>
      <c r="AH264"/>
      <c r="AI264"/>
      <c r="AJ264"/>
      <c r="AK264"/>
      <c r="AL264"/>
      <c r="AM264"/>
      <c r="AN264"/>
      <c r="AO264"/>
      <c r="AP264"/>
      <c r="AQ264"/>
      <c r="AR264"/>
      <c r="AS264"/>
      <c r="AT264"/>
      <c r="AU264"/>
      <c r="AV264"/>
      <c r="AW264"/>
      <c r="AX264"/>
      <c r="AY264"/>
      <c r="AZ264"/>
      <c r="BA264"/>
      <c r="BB264"/>
      <c r="BC264"/>
      <c r="BD264"/>
      <c r="BE264"/>
      <c r="BF264"/>
      <c r="BG264"/>
      <c r="BH264"/>
      <c r="BI264"/>
      <c r="BJ264"/>
      <c r="BK264"/>
      <c r="BL264"/>
      <c r="BM264"/>
      <c r="BN264"/>
      <c r="BO264"/>
      <c r="BP264"/>
      <c r="BQ264"/>
      <c r="BR264"/>
      <c r="BS264"/>
      <c r="BT264"/>
      <c r="BU264"/>
      <c r="BV264"/>
      <c r="BW264"/>
      <c r="BX264"/>
      <c r="BY264"/>
      <c r="BZ264"/>
      <c r="CA264"/>
      <c r="CB264"/>
      <c r="CC264"/>
    </row>
    <row r="265" spans="1:81" x14ac:dyDescent="0.25">
      <c r="A265"/>
      <c r="B265"/>
      <c r="C265"/>
      <c r="D265"/>
      <c r="E265"/>
      <c r="F265"/>
      <c r="G265"/>
      <c r="H265"/>
      <c r="I265"/>
      <c r="J265"/>
      <c r="K265"/>
      <c r="L265"/>
      <c r="M265"/>
      <c r="N265"/>
      <c r="O265"/>
      <c r="P265"/>
      <c r="Q265"/>
      <c r="R265"/>
      <c r="S265"/>
      <c r="T265"/>
      <c r="U265"/>
      <c r="V265"/>
      <c r="W265"/>
      <c r="X265"/>
      <c r="Y265"/>
      <c r="Z265"/>
      <c r="AA265"/>
      <c r="AB265"/>
      <c r="AC265"/>
      <c r="AD265"/>
      <c r="AE265"/>
      <c r="AF265"/>
      <c r="AG265"/>
      <c r="AH265"/>
      <c r="AI265"/>
      <c r="AJ265"/>
      <c r="AK265"/>
      <c r="AL265"/>
      <c r="AM265"/>
      <c r="AN265"/>
      <c r="AO265"/>
      <c r="AP265"/>
      <c r="AQ265"/>
      <c r="AR265"/>
      <c r="AS265"/>
      <c r="AT265"/>
      <c r="AU265"/>
      <c r="AV265"/>
      <c r="AW265"/>
      <c r="AX265"/>
      <c r="AY265"/>
      <c r="AZ265"/>
      <c r="BA265"/>
      <c r="BB265"/>
      <c r="BC265"/>
      <c r="BD265"/>
      <c r="BE265"/>
      <c r="BF265"/>
      <c r="BG265"/>
      <c r="BH265"/>
      <c r="BI265"/>
      <c r="BJ265"/>
      <c r="BK265"/>
      <c r="BL265"/>
      <c r="BM265"/>
      <c r="BN265"/>
      <c r="BO265"/>
      <c r="BP265"/>
      <c r="BQ265"/>
      <c r="BR265"/>
      <c r="BS265"/>
      <c r="BT265"/>
      <c r="BU265"/>
      <c r="BV265"/>
      <c r="BW265"/>
      <c r="BX265"/>
      <c r="BY265"/>
      <c r="BZ265"/>
      <c r="CA265"/>
      <c r="CB265"/>
      <c r="CC265"/>
    </row>
    <row r="266" spans="1:81" x14ac:dyDescent="0.25">
      <c r="A266"/>
      <c r="B266"/>
      <c r="C266"/>
      <c r="D266"/>
      <c r="E266"/>
      <c r="F266"/>
      <c r="G266"/>
      <c r="H266"/>
      <c r="I266"/>
      <c r="J266"/>
      <c r="K266"/>
      <c r="L266"/>
      <c r="M266"/>
      <c r="N266"/>
      <c r="O266"/>
      <c r="P266"/>
      <c r="Q266"/>
      <c r="R266"/>
      <c r="S266"/>
      <c r="T266"/>
      <c r="U266"/>
      <c r="V266"/>
      <c r="W266"/>
      <c r="X266"/>
      <c r="Y266"/>
      <c r="Z266"/>
      <c r="AA266"/>
      <c r="AB266"/>
      <c r="AC266"/>
      <c r="AD266"/>
      <c r="AE266"/>
      <c r="AF266"/>
      <c r="AG266"/>
      <c r="AH266"/>
      <c r="AI266"/>
      <c r="AJ266"/>
      <c r="AK266"/>
      <c r="AL266"/>
      <c r="AM266"/>
      <c r="AN266"/>
      <c r="AO266"/>
      <c r="AP266"/>
      <c r="AQ266"/>
      <c r="AR266"/>
      <c r="AS266"/>
      <c r="AT266"/>
      <c r="AU266"/>
      <c r="AV266"/>
      <c r="AW266"/>
      <c r="AX266"/>
      <c r="AY266"/>
      <c r="AZ266"/>
      <c r="BA266"/>
      <c r="BB266"/>
      <c r="BC266"/>
      <c r="BD266"/>
      <c r="BE266"/>
      <c r="BF266"/>
      <c r="BG266"/>
      <c r="BH266"/>
      <c r="BI266"/>
      <c r="BJ266"/>
      <c r="BK266"/>
      <c r="BL266"/>
      <c r="BM266"/>
      <c r="BN266"/>
      <c r="BO266"/>
      <c r="BP266"/>
      <c r="BQ266"/>
      <c r="BR266"/>
      <c r="BS266"/>
      <c r="BT266"/>
      <c r="BU266"/>
      <c r="BV266"/>
      <c r="BW266"/>
      <c r="BX266"/>
      <c r="BY266"/>
      <c r="BZ266"/>
      <c r="CA266"/>
      <c r="CB266"/>
      <c r="CC266"/>
    </row>
    <row r="267" spans="1:81" x14ac:dyDescent="0.25">
      <c r="A267"/>
      <c r="B267"/>
      <c r="C267"/>
      <c r="D267"/>
      <c r="E267"/>
      <c r="F267"/>
      <c r="G267"/>
      <c r="H267"/>
      <c r="I267"/>
      <c r="J267"/>
      <c r="K267"/>
      <c r="L267"/>
      <c r="M267"/>
      <c r="N267"/>
      <c r="O267"/>
      <c r="P267"/>
      <c r="Q267"/>
      <c r="R267"/>
      <c r="S267"/>
      <c r="T267"/>
      <c r="U267"/>
      <c r="V267"/>
      <c r="W267"/>
      <c r="X267"/>
      <c r="Y267"/>
      <c r="Z267"/>
      <c r="AA267"/>
      <c r="AB267"/>
      <c r="AC267"/>
      <c r="AD267"/>
      <c r="AE267"/>
      <c r="AF267"/>
      <c r="AG267"/>
      <c r="AH267"/>
      <c r="AI267"/>
      <c r="AJ267"/>
      <c r="AK267"/>
      <c r="AL267"/>
      <c r="AM267"/>
      <c r="AN267"/>
      <c r="AO267"/>
      <c r="AP267"/>
      <c r="AQ267"/>
      <c r="AR267"/>
      <c r="AS267"/>
      <c r="AT267"/>
      <c r="AU267"/>
      <c r="AV267"/>
      <c r="AW267"/>
      <c r="AX267"/>
      <c r="AY267"/>
      <c r="AZ267"/>
      <c r="BA267"/>
      <c r="BB267"/>
      <c r="BC267"/>
      <c r="BD267"/>
      <c r="BE267"/>
      <c r="BF267"/>
      <c r="BG267"/>
      <c r="BH267"/>
      <c r="BI267"/>
      <c r="BJ267"/>
      <c r="BK267"/>
      <c r="BL267"/>
      <c r="BM267"/>
      <c r="BN267"/>
      <c r="BO267"/>
      <c r="BP267"/>
      <c r="BQ267"/>
      <c r="BR267"/>
      <c r="BS267"/>
      <c r="BT267"/>
      <c r="BU267"/>
      <c r="BV267"/>
      <c r="BW267"/>
      <c r="BX267"/>
      <c r="BY267"/>
      <c r="BZ267"/>
      <c r="CA267"/>
      <c r="CB267"/>
      <c r="CC267"/>
    </row>
    <row r="268" spans="1:81" x14ac:dyDescent="0.25">
      <c r="A268"/>
      <c r="B268"/>
      <c r="C268"/>
      <c r="D268"/>
      <c r="E268"/>
      <c r="F268"/>
      <c r="G268"/>
      <c r="H268"/>
      <c r="I268"/>
      <c r="J268"/>
      <c r="K268"/>
      <c r="L268"/>
      <c r="M268"/>
      <c r="N268"/>
      <c r="O268"/>
      <c r="P268"/>
      <c r="Q268"/>
      <c r="R268"/>
      <c r="S268"/>
      <c r="T268"/>
      <c r="U268"/>
      <c r="V268"/>
      <c r="W268"/>
      <c r="X268"/>
      <c r="Y268"/>
      <c r="Z268"/>
      <c r="AA268"/>
      <c r="AB268"/>
      <c r="AC268"/>
      <c r="AD268"/>
      <c r="AE268"/>
      <c r="AF268"/>
      <c r="AG268"/>
      <c r="AH268"/>
      <c r="AI268"/>
      <c r="AJ268"/>
      <c r="AK268"/>
      <c r="AL268"/>
      <c r="AM268"/>
      <c r="AN268"/>
      <c r="AO268"/>
      <c r="AP268"/>
      <c r="AQ268"/>
      <c r="AR268"/>
      <c r="AS268"/>
      <c r="AT268"/>
      <c r="AU268"/>
      <c r="AV268"/>
      <c r="AW268"/>
      <c r="AX268"/>
      <c r="AY268"/>
      <c r="AZ268"/>
      <c r="BA268"/>
      <c r="BB268"/>
      <c r="BC268"/>
      <c r="BD268"/>
      <c r="BE268"/>
      <c r="BF268"/>
      <c r="BG268"/>
      <c r="BH268"/>
      <c r="BI268"/>
      <c r="BJ268"/>
      <c r="BK268"/>
      <c r="BL268"/>
      <c r="BM268"/>
      <c r="BN268"/>
      <c r="BO268"/>
      <c r="BP268"/>
      <c r="BQ268"/>
      <c r="BR268"/>
      <c r="BS268"/>
      <c r="BT268"/>
      <c r="BU268"/>
      <c r="BV268"/>
      <c r="BW268"/>
      <c r="BX268"/>
      <c r="BY268"/>
      <c r="BZ268"/>
      <c r="CA268"/>
      <c r="CB268"/>
      <c r="CC268"/>
    </row>
    <row r="269" spans="1:81" x14ac:dyDescent="0.25">
      <c r="A269"/>
      <c r="B269"/>
      <c r="C269"/>
      <c r="D269"/>
      <c r="E269"/>
      <c r="F269"/>
      <c r="G269"/>
      <c r="H269"/>
      <c r="I269"/>
      <c r="J269"/>
      <c r="K269"/>
      <c r="L269"/>
      <c r="M269"/>
      <c r="N269"/>
      <c r="O269"/>
      <c r="P269"/>
      <c r="Q269"/>
      <c r="R269"/>
      <c r="S269"/>
      <c r="T269"/>
      <c r="U269"/>
      <c r="V269"/>
      <c r="W269"/>
      <c r="X269"/>
      <c r="Y269"/>
      <c r="Z269"/>
      <c r="AA269"/>
      <c r="AB269"/>
      <c r="AC269"/>
      <c r="AD269"/>
      <c r="AE269"/>
      <c r="AF269"/>
      <c r="AG269"/>
      <c r="AH269"/>
      <c r="AI269"/>
      <c r="AJ269"/>
      <c r="AK269"/>
      <c r="AL269"/>
      <c r="AM269"/>
      <c r="AN269"/>
      <c r="AO269"/>
      <c r="AP269"/>
      <c r="AQ269"/>
      <c r="AR269"/>
      <c r="AS269"/>
      <c r="AT269"/>
      <c r="AU269"/>
      <c r="AV269"/>
      <c r="AW269"/>
      <c r="AX269"/>
      <c r="AY269"/>
      <c r="AZ269"/>
      <c r="BA269"/>
      <c r="BB269"/>
      <c r="BC269"/>
      <c r="BD269"/>
      <c r="BE269"/>
      <c r="BF269"/>
      <c r="BG269"/>
      <c r="BH269"/>
      <c r="BI269"/>
      <c r="BJ269"/>
      <c r="BK269"/>
      <c r="BL269"/>
      <c r="BM269"/>
      <c r="BN269"/>
      <c r="BO269"/>
      <c r="BP269"/>
      <c r="BQ269"/>
      <c r="BR269"/>
      <c r="BS269"/>
      <c r="BT269"/>
      <c r="BU269"/>
      <c r="BV269"/>
      <c r="BW269"/>
      <c r="BX269"/>
      <c r="BY269"/>
      <c r="BZ269"/>
      <c r="CA269"/>
      <c r="CB269"/>
      <c r="CC269"/>
    </row>
    <row r="270" spans="1:81" x14ac:dyDescent="0.25">
      <c r="A270"/>
      <c r="B270"/>
      <c r="C270"/>
      <c r="D270"/>
      <c r="E270"/>
      <c r="F270"/>
      <c r="G270"/>
      <c r="H270"/>
      <c r="I270"/>
      <c r="J270"/>
      <c r="K270"/>
      <c r="L270"/>
      <c r="M270"/>
      <c r="N270"/>
      <c r="O270"/>
      <c r="P270"/>
      <c r="Q270"/>
      <c r="R270"/>
      <c r="S270"/>
      <c r="T270"/>
      <c r="U270"/>
      <c r="V270"/>
      <c r="W270"/>
      <c r="X270"/>
      <c r="Y270"/>
      <c r="Z270"/>
      <c r="AA270"/>
      <c r="AB270"/>
      <c r="AC270"/>
      <c r="AD270"/>
      <c r="AE270"/>
      <c r="AF270"/>
      <c r="AG270"/>
      <c r="AH270"/>
      <c r="AI270"/>
      <c r="AJ270"/>
      <c r="AK270"/>
      <c r="AL270"/>
      <c r="AM270"/>
      <c r="AN270"/>
      <c r="AO270"/>
      <c r="AP270"/>
      <c r="AQ270"/>
      <c r="AR270"/>
      <c r="AS270"/>
      <c r="AT270"/>
      <c r="AU270"/>
      <c r="AV270"/>
      <c r="AW270"/>
      <c r="AX270"/>
      <c r="AY270"/>
      <c r="AZ270"/>
      <c r="BA270"/>
      <c r="BB270"/>
      <c r="BC270"/>
      <c r="BD270"/>
      <c r="BE270"/>
      <c r="BF270"/>
      <c r="BG270"/>
      <c r="BH270"/>
      <c r="BI270"/>
      <c r="BJ270"/>
      <c r="BK270"/>
      <c r="BL270"/>
      <c r="BM270"/>
      <c r="BN270"/>
      <c r="BO270"/>
      <c r="BP270"/>
      <c r="BQ270"/>
      <c r="BR270"/>
      <c r="BS270"/>
      <c r="BT270"/>
      <c r="BU270"/>
      <c r="BV270"/>
      <c r="BW270"/>
      <c r="BX270"/>
      <c r="BY270"/>
      <c r="BZ270"/>
      <c r="CA270"/>
      <c r="CB270"/>
      <c r="CC270"/>
    </row>
    <row r="271" spans="1:81" x14ac:dyDescent="0.25">
      <c r="A271"/>
      <c r="B271"/>
      <c r="C271"/>
      <c r="D271"/>
      <c r="E271"/>
      <c r="F271"/>
      <c r="G271"/>
      <c r="H271"/>
      <c r="I271"/>
      <c r="J271"/>
      <c r="K271"/>
      <c r="L271"/>
      <c r="M271"/>
      <c r="N271"/>
      <c r="O271"/>
      <c r="P271"/>
      <c r="Q271"/>
      <c r="R271"/>
      <c r="S271"/>
      <c r="T271"/>
      <c r="U271"/>
      <c r="V271"/>
      <c r="W271"/>
      <c r="X271"/>
      <c r="Y271"/>
      <c r="Z271"/>
      <c r="AA271"/>
      <c r="AB271"/>
      <c r="AC271"/>
      <c r="AD271"/>
      <c r="AE271"/>
      <c r="AF271"/>
      <c r="AG271"/>
      <c r="AH271"/>
      <c r="AI271"/>
      <c r="AJ271"/>
      <c r="AK271"/>
      <c r="AL271"/>
      <c r="AM271"/>
      <c r="AN271"/>
      <c r="AO271"/>
      <c r="AP271"/>
      <c r="AQ271"/>
      <c r="AR271"/>
      <c r="AS271"/>
      <c r="AT271"/>
      <c r="AU271"/>
      <c r="AV271"/>
      <c r="AW271"/>
      <c r="AX271"/>
      <c r="AY271"/>
      <c r="AZ271"/>
      <c r="BA271"/>
      <c r="BB271"/>
      <c r="BC271"/>
      <c r="BD271"/>
      <c r="BE271"/>
      <c r="BF271"/>
      <c r="BG271"/>
      <c r="BH271"/>
      <c r="BI271"/>
      <c r="BJ271"/>
      <c r="BK271"/>
      <c r="BL271"/>
      <c r="BM271"/>
      <c r="BN271"/>
      <c r="BO271"/>
      <c r="BP271"/>
      <c r="BQ271"/>
      <c r="BR271"/>
      <c r="BS271"/>
      <c r="BT271"/>
      <c r="BU271"/>
      <c r="BV271"/>
      <c r="BW271"/>
      <c r="BX271"/>
      <c r="BY271"/>
      <c r="BZ271"/>
      <c r="CA271"/>
      <c r="CB271"/>
      <c r="CC271"/>
    </row>
    <row r="272" spans="1:81" x14ac:dyDescent="0.25">
      <c r="A272"/>
      <c r="B272"/>
      <c r="C272"/>
      <c r="D272"/>
      <c r="E272"/>
      <c r="F272"/>
      <c r="G272"/>
      <c r="H272"/>
      <c r="I272"/>
      <c r="J272"/>
      <c r="K272"/>
      <c r="L272"/>
      <c r="M272"/>
      <c r="N272"/>
      <c r="O272"/>
      <c r="P272"/>
      <c r="Q272"/>
      <c r="R272"/>
      <c r="S272"/>
      <c r="T272"/>
      <c r="U272"/>
      <c r="V272"/>
      <c r="W272"/>
      <c r="X272"/>
      <c r="Y272"/>
      <c r="Z272"/>
      <c r="AA272"/>
      <c r="AB272"/>
      <c r="AC272"/>
      <c r="AD272"/>
      <c r="AE272"/>
      <c r="AF272"/>
      <c r="AG272"/>
      <c r="AH272"/>
      <c r="AI272"/>
      <c r="AJ272"/>
      <c r="AK272"/>
      <c r="AL272"/>
      <c r="AM272"/>
      <c r="AN272"/>
      <c r="AO272"/>
      <c r="AP272"/>
      <c r="AQ272"/>
      <c r="AR272"/>
      <c r="AS272"/>
      <c r="AT272"/>
      <c r="AU272"/>
      <c r="AV272"/>
      <c r="AW272"/>
      <c r="AX272"/>
      <c r="AY272"/>
      <c r="AZ272"/>
      <c r="BA272"/>
      <c r="BB272"/>
      <c r="BC272"/>
      <c r="BD272"/>
      <c r="BE272"/>
      <c r="BF272"/>
      <c r="BG272"/>
      <c r="BH272"/>
      <c r="BI272"/>
      <c r="BJ272"/>
      <c r="BK272"/>
      <c r="BL272"/>
      <c r="BM272"/>
      <c r="BN272"/>
      <c r="BO272"/>
      <c r="BP272"/>
      <c r="BQ272"/>
      <c r="BR272"/>
      <c r="BS272"/>
      <c r="BT272"/>
      <c r="BU272"/>
      <c r="BV272"/>
      <c r="BW272"/>
      <c r="BX272"/>
      <c r="BY272"/>
      <c r="BZ272"/>
      <c r="CA272"/>
      <c r="CB272"/>
      <c r="CC272"/>
    </row>
    <row r="273" spans="1:81" x14ac:dyDescent="0.25">
      <c r="A273"/>
      <c r="B273"/>
      <c r="C273"/>
      <c r="D273"/>
      <c r="E273"/>
      <c r="F273"/>
      <c r="G273"/>
      <c r="H273"/>
      <c r="I273"/>
      <c r="J273"/>
      <c r="K273"/>
      <c r="L273"/>
      <c r="M273"/>
      <c r="N273"/>
      <c r="O273"/>
      <c r="P273"/>
      <c r="Q273"/>
      <c r="R273"/>
      <c r="S273"/>
      <c r="T273"/>
      <c r="U273"/>
      <c r="V273"/>
      <c r="W273"/>
      <c r="X273"/>
      <c r="Y273"/>
      <c r="Z273"/>
      <c r="AA273"/>
      <c r="AB273"/>
      <c r="AC273"/>
      <c r="AD273"/>
      <c r="AE273"/>
      <c r="AF273"/>
      <c r="AG273"/>
      <c r="AH273"/>
      <c r="AI273"/>
      <c r="AJ273"/>
      <c r="AK273"/>
      <c r="AL273"/>
      <c r="AM273"/>
      <c r="AN273"/>
      <c r="AO273"/>
      <c r="AP273"/>
      <c r="AQ273"/>
      <c r="AR273"/>
      <c r="AS273"/>
      <c r="AT273"/>
      <c r="AU273"/>
      <c r="AV273"/>
      <c r="AW273"/>
      <c r="AX273"/>
      <c r="AY273"/>
      <c r="AZ273"/>
      <c r="BA273"/>
      <c r="BB273"/>
      <c r="BC273"/>
      <c r="BD273"/>
      <c r="BE273"/>
      <c r="BF273"/>
      <c r="BG273"/>
      <c r="BH273"/>
      <c r="BI273"/>
      <c r="BJ273"/>
      <c r="BK273"/>
      <c r="BL273"/>
      <c r="BM273"/>
      <c r="BN273"/>
      <c r="BO273"/>
      <c r="BP273"/>
      <c r="BQ273"/>
      <c r="BR273"/>
      <c r="BS273"/>
      <c r="BT273"/>
      <c r="BU273"/>
      <c r="BV273"/>
      <c r="BW273"/>
      <c r="BX273"/>
      <c r="BY273"/>
      <c r="BZ273"/>
      <c r="CA273"/>
      <c r="CB273"/>
      <c r="CC273"/>
    </row>
    <row r="274" spans="1:81" x14ac:dyDescent="0.25">
      <c r="A274"/>
      <c r="B274"/>
      <c r="C274"/>
      <c r="D274"/>
      <c r="E274"/>
      <c r="F274"/>
      <c r="G274"/>
      <c r="H274"/>
      <c r="I274"/>
      <c r="J274"/>
      <c r="K274"/>
      <c r="L274"/>
      <c r="M274"/>
      <c r="N274"/>
      <c r="O274"/>
      <c r="P274"/>
      <c r="Q274"/>
      <c r="R274"/>
      <c r="S274"/>
      <c r="T274"/>
      <c r="U274"/>
      <c r="V274"/>
      <c r="W274"/>
      <c r="X274"/>
      <c r="Y274"/>
      <c r="Z274"/>
      <c r="AA274"/>
      <c r="AB274"/>
      <c r="AC274"/>
      <c r="AD274"/>
      <c r="AE274"/>
      <c r="AF274"/>
      <c r="AG274"/>
      <c r="AH274"/>
      <c r="AI274"/>
      <c r="AJ274"/>
      <c r="AK274"/>
      <c r="AL274"/>
      <c r="AM274"/>
      <c r="AN274"/>
      <c r="AO274"/>
      <c r="AP274"/>
      <c r="AQ274"/>
      <c r="AR274"/>
      <c r="AS274"/>
      <c r="AT274"/>
      <c r="AU274"/>
      <c r="AV274"/>
      <c r="AW274"/>
      <c r="AX274"/>
      <c r="AY274"/>
      <c r="AZ274"/>
      <c r="BA274"/>
      <c r="BB274"/>
      <c r="BC274"/>
      <c r="BD274"/>
      <c r="BE274"/>
      <c r="BF274"/>
      <c r="BG274"/>
      <c r="BH274"/>
      <c r="BI274"/>
      <c r="BJ274"/>
      <c r="BK274"/>
      <c r="BL274"/>
      <c r="BM274"/>
      <c r="BN274"/>
      <c r="BO274"/>
      <c r="BP274"/>
      <c r="BQ274"/>
      <c r="BR274"/>
      <c r="BS274"/>
      <c r="BT274"/>
      <c r="BU274"/>
      <c r="BV274"/>
      <c r="BW274"/>
      <c r="BX274"/>
      <c r="BY274"/>
      <c r="BZ274"/>
      <c r="CA274"/>
      <c r="CB274"/>
      <c r="CC274"/>
    </row>
    <row r="275" spans="1:81" x14ac:dyDescent="0.25">
      <c r="A275"/>
      <c r="B275"/>
      <c r="C275"/>
      <c r="D275"/>
      <c r="E275"/>
      <c r="F275"/>
      <c r="G275"/>
      <c r="H275"/>
      <c r="I275"/>
      <c r="J275"/>
      <c r="K275"/>
      <c r="L275"/>
      <c r="M275"/>
      <c r="N275"/>
      <c r="O275"/>
      <c r="P275"/>
      <c r="Q275"/>
      <c r="R275"/>
      <c r="S275"/>
      <c r="T275"/>
      <c r="U275"/>
      <c r="V275"/>
      <c r="W275"/>
      <c r="X275"/>
      <c r="Y275"/>
      <c r="Z275"/>
      <c r="AA275"/>
      <c r="AB275"/>
      <c r="AC275"/>
      <c r="AD275"/>
      <c r="AE275"/>
      <c r="AF275"/>
      <c r="AG275"/>
      <c r="AH275"/>
      <c r="AI275"/>
      <c r="AJ275"/>
      <c r="AK275"/>
      <c r="AL275"/>
      <c r="AM275"/>
      <c r="AN275"/>
      <c r="AO275"/>
      <c r="AP275"/>
      <c r="AQ275"/>
      <c r="AR275"/>
      <c r="AS275"/>
      <c r="AT275"/>
      <c r="AU275"/>
      <c r="AV275"/>
      <c r="AW275"/>
      <c r="AX275"/>
      <c r="AY275"/>
      <c r="AZ275"/>
      <c r="BA275"/>
      <c r="BB275"/>
      <c r="BC275"/>
      <c r="BD275"/>
      <c r="BE275"/>
      <c r="BF275"/>
      <c r="BG275"/>
      <c r="BH275"/>
      <c r="BI275"/>
      <c r="BJ275"/>
      <c r="BK275"/>
      <c r="BL275"/>
      <c r="BM275"/>
      <c r="BN275"/>
      <c r="BO275"/>
      <c r="BP275"/>
      <c r="BQ275"/>
      <c r="BR275"/>
      <c r="BS275"/>
      <c r="BT275"/>
      <c r="BU275"/>
      <c r="BV275"/>
      <c r="BW275"/>
      <c r="BX275"/>
      <c r="BY275"/>
      <c r="BZ275"/>
      <c r="CA275"/>
      <c r="CB275"/>
      <c r="CC275"/>
    </row>
    <row r="276" spans="1:81" x14ac:dyDescent="0.25">
      <c r="A276"/>
      <c r="B276"/>
      <c r="C276"/>
      <c r="D276"/>
      <c r="E276"/>
      <c r="F276"/>
      <c r="G276"/>
      <c r="H276"/>
      <c r="I276"/>
      <c r="J276"/>
      <c r="K276"/>
      <c r="L276"/>
      <c r="M276"/>
      <c r="N276"/>
      <c r="O276"/>
      <c r="P276"/>
      <c r="Q276"/>
      <c r="R276"/>
      <c r="S276"/>
      <c r="T276"/>
      <c r="U276"/>
      <c r="V276"/>
      <c r="W276"/>
      <c r="X276"/>
      <c r="Y276"/>
      <c r="Z276"/>
      <c r="AA276"/>
      <c r="AB276"/>
      <c r="AC276"/>
      <c r="AD276"/>
      <c r="AE276"/>
      <c r="AF276"/>
      <c r="AG276"/>
      <c r="AH276"/>
      <c r="AI276"/>
      <c r="AJ276"/>
      <c r="AK276"/>
      <c r="AL276"/>
      <c r="AM276"/>
      <c r="AN276"/>
      <c r="AO276"/>
      <c r="AP276"/>
      <c r="AQ276"/>
      <c r="AR276"/>
      <c r="AS276"/>
      <c r="AT276"/>
      <c r="AU276"/>
      <c r="AV276"/>
      <c r="AW276"/>
      <c r="AX276"/>
      <c r="AY276"/>
      <c r="AZ276"/>
      <c r="BA276"/>
      <c r="BB276"/>
      <c r="BC276"/>
      <c r="BD276"/>
      <c r="BE276"/>
      <c r="BF276"/>
      <c r="BG276"/>
      <c r="BH276"/>
      <c r="BI276"/>
      <c r="BJ276"/>
      <c r="BK276"/>
      <c r="BL276"/>
      <c r="BM276"/>
      <c r="BN276"/>
      <c r="BO276"/>
      <c r="BP276"/>
      <c r="BQ276"/>
      <c r="BR276"/>
      <c r="BS276"/>
      <c r="BT276"/>
      <c r="BU276"/>
      <c r="BV276"/>
      <c r="BW276"/>
      <c r="BX276"/>
      <c r="BY276"/>
      <c r="BZ276"/>
      <c r="CA276"/>
      <c r="CB276"/>
      <c r="CC276"/>
    </row>
    <row r="277" spans="1:81" x14ac:dyDescent="0.25">
      <c r="A277"/>
      <c r="B277"/>
      <c r="C277"/>
      <c r="D277"/>
      <c r="E277"/>
      <c r="F277"/>
      <c r="G277"/>
      <c r="H277"/>
      <c r="I277"/>
      <c r="J277"/>
      <c r="K277"/>
      <c r="L277"/>
      <c r="M277"/>
      <c r="N277"/>
      <c r="O277"/>
      <c r="P277"/>
      <c r="Q277"/>
      <c r="R277"/>
      <c r="S277"/>
      <c r="T277"/>
      <c r="U277"/>
      <c r="V277"/>
      <c r="W277"/>
      <c r="X277"/>
      <c r="Y277"/>
      <c r="Z277"/>
      <c r="AA277"/>
      <c r="AB277"/>
      <c r="AC277"/>
      <c r="AD277"/>
      <c r="AE277"/>
      <c r="AF277"/>
      <c r="AG277"/>
      <c r="AH277"/>
      <c r="AI277"/>
      <c r="AJ277"/>
      <c r="AK277"/>
      <c r="AL277"/>
      <c r="AM277"/>
      <c r="AN277"/>
      <c r="AO277"/>
      <c r="AP277"/>
      <c r="AQ277"/>
      <c r="AR277"/>
      <c r="AS277"/>
      <c r="AT277"/>
      <c r="AU277"/>
      <c r="AV277"/>
      <c r="AW277"/>
      <c r="AX277"/>
      <c r="AY277"/>
      <c r="AZ277"/>
      <c r="BA277"/>
      <c r="BB277"/>
      <c r="BC277"/>
      <c r="BD277"/>
      <c r="BE277"/>
      <c r="BF277"/>
      <c r="BG277"/>
      <c r="BH277"/>
      <c r="BI277"/>
      <c r="BJ277"/>
      <c r="BK277"/>
      <c r="BL277"/>
      <c r="BM277"/>
      <c r="BN277"/>
      <c r="BO277"/>
      <c r="BP277"/>
      <c r="BQ277"/>
      <c r="BR277"/>
      <c r="BS277"/>
      <c r="BT277"/>
      <c r="BU277"/>
      <c r="BV277"/>
      <c r="BW277"/>
      <c r="BX277"/>
      <c r="BY277"/>
      <c r="BZ277"/>
      <c r="CA277"/>
      <c r="CB277"/>
      <c r="CC277"/>
    </row>
    <row r="278" spans="1:81" x14ac:dyDescent="0.25">
      <c r="A278"/>
      <c r="B278"/>
      <c r="C278"/>
      <c r="D278"/>
      <c r="E278"/>
      <c r="F278"/>
      <c r="G278"/>
      <c r="H278"/>
      <c r="I278"/>
      <c r="J278"/>
      <c r="K278"/>
      <c r="L278"/>
      <c r="M278"/>
      <c r="N278"/>
      <c r="O278"/>
      <c r="P278"/>
      <c r="Q278"/>
      <c r="R278"/>
      <c r="S278"/>
      <c r="T278"/>
      <c r="U278"/>
      <c r="V278"/>
      <c r="W278"/>
      <c r="X278"/>
      <c r="Y278"/>
      <c r="Z278"/>
      <c r="AA278"/>
      <c r="AB278"/>
      <c r="AC278"/>
      <c r="AD278"/>
      <c r="AE278"/>
      <c r="AF278"/>
      <c r="AG278"/>
      <c r="AH278"/>
      <c r="AI278"/>
      <c r="AJ278"/>
      <c r="AK278"/>
      <c r="AL278"/>
      <c r="AM278"/>
      <c r="AN278"/>
      <c r="AO278"/>
      <c r="AP278"/>
      <c r="AQ278"/>
      <c r="AR278"/>
      <c r="AS278"/>
      <c r="AT278"/>
      <c r="AU278"/>
      <c r="AV278"/>
      <c r="AW278"/>
      <c r="AX278"/>
      <c r="AY278"/>
      <c r="AZ278"/>
      <c r="BA278"/>
      <c r="BB278"/>
      <c r="BC278"/>
      <c r="BD278"/>
      <c r="BE278"/>
      <c r="BF278"/>
      <c r="BG278"/>
      <c r="BH278"/>
      <c r="BI278"/>
      <c r="BJ278"/>
      <c r="BK278"/>
      <c r="BL278"/>
      <c r="BM278"/>
      <c r="BN278"/>
      <c r="BO278"/>
      <c r="BP278"/>
      <c r="BQ278"/>
      <c r="BR278"/>
      <c r="BS278"/>
      <c r="BT278"/>
      <c r="BU278"/>
      <c r="BV278"/>
      <c r="BW278"/>
      <c r="BX278"/>
      <c r="BY278"/>
      <c r="BZ278"/>
      <c r="CA278"/>
      <c r="CB278"/>
      <c r="CC278"/>
    </row>
    <row r="279" spans="1:81" x14ac:dyDescent="0.25">
      <c r="A279"/>
      <c r="B279"/>
      <c r="C279"/>
      <c r="D279"/>
      <c r="E279"/>
      <c r="F279"/>
      <c r="G279"/>
      <c r="H279"/>
      <c r="I279"/>
      <c r="J279"/>
      <c r="K279"/>
      <c r="L279"/>
      <c r="M279"/>
      <c r="N279"/>
      <c r="O279"/>
      <c r="P279"/>
      <c r="Q279"/>
      <c r="R279"/>
      <c r="S279"/>
      <c r="T279"/>
      <c r="U279"/>
      <c r="V279"/>
      <c r="W279"/>
      <c r="X279"/>
      <c r="Y279"/>
      <c r="Z279"/>
      <c r="AA279"/>
      <c r="AB279"/>
      <c r="AC279"/>
      <c r="AD279"/>
      <c r="AE279"/>
      <c r="AF279"/>
      <c r="AG279"/>
      <c r="AH279"/>
      <c r="AI279"/>
      <c r="AJ279"/>
      <c r="AK279"/>
      <c r="AL279"/>
      <c r="AM279"/>
      <c r="AN279"/>
      <c r="AO279"/>
      <c r="AP279"/>
      <c r="AQ279"/>
      <c r="AR279"/>
      <c r="AS279"/>
      <c r="AT279"/>
      <c r="AU279"/>
      <c r="AV279"/>
      <c r="AW279"/>
      <c r="AX279"/>
      <c r="AY279"/>
      <c r="AZ279"/>
      <c r="BA279"/>
      <c r="BB279"/>
      <c r="BC279"/>
      <c r="BD279"/>
      <c r="BE279"/>
      <c r="BF279"/>
      <c r="BG279"/>
      <c r="BH279"/>
      <c r="BI279"/>
      <c r="BJ279"/>
      <c r="BK279"/>
      <c r="BL279"/>
      <c r="BM279"/>
      <c r="BN279"/>
      <c r="BO279"/>
      <c r="BP279"/>
      <c r="BQ279"/>
      <c r="BR279"/>
      <c r="BS279"/>
      <c r="BT279"/>
      <c r="BU279"/>
      <c r="BV279"/>
      <c r="BW279"/>
      <c r="BX279"/>
      <c r="BY279"/>
      <c r="BZ279"/>
      <c r="CA279"/>
      <c r="CB279"/>
      <c r="CC279"/>
    </row>
    <row r="280" spans="1:81" x14ac:dyDescent="0.25">
      <c r="A280"/>
      <c r="B280"/>
      <c r="C280"/>
      <c r="D280"/>
      <c r="E280"/>
      <c r="F280"/>
      <c r="G280"/>
      <c r="H280"/>
      <c r="I280"/>
      <c r="J280"/>
      <c r="K280"/>
      <c r="L280"/>
      <c r="M280"/>
      <c r="N280"/>
      <c r="O280"/>
      <c r="P280"/>
      <c r="Q280"/>
      <c r="R280"/>
      <c r="S280"/>
      <c r="T280"/>
      <c r="U280"/>
      <c r="V280"/>
      <c r="W280"/>
      <c r="X280"/>
      <c r="Y280"/>
      <c r="Z280"/>
      <c r="AA280"/>
      <c r="AB280"/>
      <c r="AC280"/>
      <c r="AD280"/>
      <c r="AE280"/>
      <c r="AF280"/>
      <c r="AG280"/>
      <c r="AH280"/>
      <c r="AI280"/>
      <c r="AJ280"/>
      <c r="AK280"/>
      <c r="AL280"/>
      <c r="AM280"/>
      <c r="AN280"/>
      <c r="AO280"/>
      <c r="AP280"/>
      <c r="AQ280"/>
      <c r="AR280"/>
      <c r="AS280"/>
      <c r="AT280"/>
      <c r="AU280"/>
      <c r="AV280"/>
      <c r="AW280"/>
      <c r="AX280"/>
      <c r="AY280"/>
      <c r="AZ280"/>
      <c r="BA280"/>
      <c r="BB280"/>
      <c r="BC280"/>
      <c r="BD280"/>
      <c r="BE280"/>
      <c r="BF280"/>
      <c r="BG280"/>
      <c r="BH280"/>
      <c r="BI280"/>
      <c r="BJ280"/>
      <c r="BK280"/>
      <c r="BL280"/>
      <c r="BM280"/>
      <c r="BN280"/>
      <c r="BO280"/>
      <c r="BP280"/>
      <c r="BQ280"/>
      <c r="BR280"/>
      <c r="BS280"/>
      <c r="BT280"/>
      <c r="BU280"/>
      <c r="BV280"/>
      <c r="BW280"/>
      <c r="BX280"/>
      <c r="BY280"/>
      <c r="BZ280"/>
      <c r="CA280"/>
      <c r="CB280"/>
      <c r="CC280"/>
    </row>
    <row r="281" spans="1:81" x14ac:dyDescent="0.25">
      <c r="A281"/>
      <c r="B281"/>
      <c r="C281"/>
      <c r="D281"/>
      <c r="E281"/>
      <c r="F281"/>
      <c r="G281"/>
      <c r="H281"/>
      <c r="I281"/>
      <c r="J281"/>
      <c r="K281"/>
      <c r="L281"/>
      <c r="M281"/>
      <c r="N281"/>
      <c r="O281"/>
      <c r="P281"/>
      <c r="Q281"/>
      <c r="R281"/>
      <c r="S281"/>
      <c r="T281"/>
      <c r="U281"/>
      <c r="V281"/>
      <c r="W281"/>
      <c r="X281"/>
      <c r="Y281"/>
      <c r="Z281"/>
      <c r="AA281"/>
      <c r="AB281"/>
      <c r="AC281"/>
      <c r="AD281"/>
      <c r="AE281"/>
      <c r="AF281"/>
      <c r="AG281"/>
      <c r="AH281"/>
      <c r="AI281"/>
      <c r="AJ281"/>
      <c r="AK281"/>
      <c r="AL281"/>
      <c r="AM281"/>
      <c r="AN281"/>
      <c r="AO281"/>
      <c r="AP281"/>
      <c r="AQ281"/>
      <c r="AR281"/>
      <c r="AS281"/>
      <c r="AT281"/>
      <c r="AU281"/>
      <c r="AV281"/>
      <c r="AW281"/>
      <c r="AX281"/>
      <c r="AY281"/>
      <c r="AZ281"/>
      <c r="BA281"/>
      <c r="BB281"/>
      <c r="BC281"/>
      <c r="BD281"/>
      <c r="BE281"/>
      <c r="BF281"/>
      <c r="BG281"/>
      <c r="BH281"/>
      <c r="BI281"/>
      <c r="BJ281"/>
      <c r="BK281"/>
      <c r="BL281"/>
      <c r="BM281"/>
      <c r="BN281"/>
      <c r="BO281"/>
      <c r="BP281"/>
      <c r="BQ281"/>
      <c r="BR281"/>
      <c r="BS281"/>
      <c r="BT281"/>
      <c r="BU281"/>
      <c r="BV281"/>
      <c r="BW281"/>
      <c r="BX281"/>
      <c r="BY281"/>
      <c r="BZ281"/>
      <c r="CA281"/>
      <c r="CB281"/>
      <c r="CC281"/>
    </row>
    <row r="282" spans="1:81" x14ac:dyDescent="0.25">
      <c r="A282"/>
      <c r="B282"/>
      <c r="C282"/>
      <c r="D282"/>
      <c r="E282"/>
      <c r="F282"/>
      <c r="G282"/>
      <c r="H282"/>
      <c r="I282"/>
      <c r="J282"/>
      <c r="K282"/>
      <c r="L282"/>
      <c r="M282"/>
      <c r="N282"/>
      <c r="O282"/>
      <c r="P282"/>
      <c r="Q282"/>
      <c r="R282"/>
      <c r="S282"/>
      <c r="T282"/>
      <c r="U282"/>
      <c r="V282"/>
      <c r="W282"/>
      <c r="X282"/>
      <c r="Y282"/>
      <c r="Z282"/>
      <c r="AA282"/>
      <c r="AB282"/>
      <c r="AC282"/>
      <c r="AD282"/>
      <c r="AE282"/>
      <c r="AF282"/>
      <c r="AG282"/>
      <c r="AH282"/>
      <c r="AI282"/>
      <c r="AJ282"/>
      <c r="AK282"/>
      <c r="AL282"/>
      <c r="AM282"/>
      <c r="AN282"/>
      <c r="AO282"/>
      <c r="AP282"/>
      <c r="AQ282"/>
      <c r="AR282"/>
      <c r="AS282"/>
      <c r="AT282"/>
      <c r="AU282"/>
      <c r="AV282"/>
      <c r="AW282"/>
      <c r="AX282"/>
      <c r="AY282"/>
      <c r="AZ282"/>
      <c r="BA282"/>
      <c r="BB282"/>
      <c r="BC282"/>
      <c r="BD282"/>
      <c r="BE282"/>
      <c r="BF282"/>
      <c r="BG282"/>
      <c r="BH282"/>
      <c r="BI282"/>
      <c r="BJ282"/>
      <c r="BK282"/>
      <c r="BL282"/>
      <c r="BM282"/>
      <c r="BN282"/>
      <c r="BO282"/>
      <c r="BP282"/>
      <c r="BQ282"/>
      <c r="BR282"/>
      <c r="BS282"/>
      <c r="BT282"/>
      <c r="BU282"/>
      <c r="BV282"/>
      <c r="BW282"/>
      <c r="BX282"/>
      <c r="BY282"/>
      <c r="BZ282"/>
      <c r="CA282"/>
      <c r="CB282"/>
      <c r="CC282"/>
    </row>
    <row r="283" spans="1:81" x14ac:dyDescent="0.25">
      <c r="A283"/>
      <c r="B283"/>
      <c r="C283"/>
      <c r="D283"/>
      <c r="E283"/>
      <c r="F283"/>
      <c r="G283"/>
      <c r="H283"/>
      <c r="I283"/>
      <c r="J283"/>
      <c r="K283"/>
      <c r="L283"/>
      <c r="M283"/>
      <c r="N283"/>
      <c r="O283"/>
      <c r="P283"/>
      <c r="Q283"/>
      <c r="R283"/>
      <c r="S283"/>
      <c r="T283"/>
      <c r="U283"/>
      <c r="V283"/>
      <c r="W283"/>
      <c r="X283"/>
      <c r="Y283"/>
      <c r="Z283"/>
      <c r="AA283"/>
      <c r="AB283"/>
      <c r="AC283"/>
      <c r="AD283"/>
      <c r="AE283"/>
      <c r="AF283"/>
      <c r="AG283"/>
      <c r="AH283"/>
      <c r="AI283"/>
      <c r="AJ283"/>
      <c r="AK283"/>
      <c r="AL283"/>
      <c r="AM283"/>
      <c r="AN283"/>
      <c r="AO283"/>
      <c r="AP283"/>
      <c r="AQ283"/>
      <c r="AR283"/>
      <c r="AS283"/>
      <c r="AT283"/>
      <c r="AU283"/>
      <c r="AV283"/>
      <c r="AW283"/>
      <c r="AX283"/>
      <c r="AY283"/>
      <c r="AZ283"/>
      <c r="BA283"/>
      <c r="BB283"/>
      <c r="BC283"/>
      <c r="BD283"/>
      <c r="BE283"/>
      <c r="BF283"/>
      <c r="BG283"/>
      <c r="BH283"/>
      <c r="BI283"/>
      <c r="BJ283"/>
      <c r="BK283"/>
      <c r="BL283"/>
      <c r="BM283"/>
      <c r="BN283"/>
      <c r="BO283"/>
      <c r="BP283"/>
      <c r="BQ283"/>
      <c r="BR283"/>
      <c r="BS283"/>
      <c r="BT283"/>
      <c r="BU283"/>
      <c r="BV283"/>
      <c r="BW283"/>
      <c r="BX283"/>
      <c r="BY283"/>
      <c r="BZ283"/>
      <c r="CA283"/>
      <c r="CB283"/>
      <c r="CC283"/>
    </row>
    <row r="284" spans="1:81" x14ac:dyDescent="0.25">
      <c r="A284"/>
      <c r="B284"/>
      <c r="C284"/>
      <c r="D284"/>
      <c r="E284"/>
      <c r="F284"/>
      <c r="G284"/>
      <c r="H284"/>
      <c r="I284"/>
      <c r="J284"/>
      <c r="K284"/>
      <c r="L284"/>
      <c r="M284"/>
      <c r="N284"/>
      <c r="O284"/>
      <c r="P284"/>
      <c r="Q284"/>
      <c r="R284"/>
      <c r="S284"/>
      <c r="T284"/>
      <c r="U284"/>
      <c r="V284"/>
      <c r="W284"/>
      <c r="X284"/>
      <c r="Y284"/>
      <c r="Z284"/>
      <c r="AA284"/>
      <c r="AB284"/>
      <c r="AC284"/>
      <c r="AD284"/>
      <c r="AE284"/>
      <c r="AF284"/>
      <c r="AG284"/>
      <c r="AH284"/>
      <c r="AI284"/>
      <c r="AJ284"/>
      <c r="AK284"/>
      <c r="AL284"/>
      <c r="AM284"/>
      <c r="AN284"/>
      <c r="AO284"/>
      <c r="AP284"/>
      <c r="AQ284"/>
      <c r="AR284"/>
      <c r="AS284"/>
      <c r="AT284"/>
      <c r="AU284"/>
      <c r="AV284"/>
      <c r="AW284"/>
      <c r="AX284"/>
      <c r="AY284"/>
      <c r="AZ284"/>
      <c r="BA284"/>
      <c r="BB284"/>
      <c r="BC284"/>
      <c r="BD284"/>
      <c r="BE284"/>
      <c r="BF284"/>
      <c r="BG284"/>
      <c r="BH284"/>
      <c r="BI284"/>
      <c r="BJ284"/>
      <c r="BK284"/>
      <c r="BL284"/>
      <c r="BM284"/>
      <c r="BN284"/>
      <c r="BO284"/>
      <c r="BP284"/>
      <c r="BQ284"/>
      <c r="BR284"/>
      <c r="BS284"/>
      <c r="BT284"/>
      <c r="BU284"/>
      <c r="BV284"/>
      <c r="BW284"/>
      <c r="BX284"/>
      <c r="BY284"/>
      <c r="BZ284"/>
      <c r="CA284"/>
      <c r="CB284"/>
      <c r="CC284"/>
    </row>
    <row r="285" spans="1:81" x14ac:dyDescent="0.25">
      <c r="A285"/>
      <c r="B285"/>
      <c r="C285"/>
      <c r="D285"/>
      <c r="E285"/>
      <c r="F285"/>
      <c r="G285"/>
      <c r="H285"/>
      <c r="I285"/>
      <c r="J285"/>
      <c r="K285"/>
      <c r="L285"/>
      <c r="M285"/>
      <c r="N285"/>
      <c r="O285"/>
      <c r="P285"/>
      <c r="Q285"/>
      <c r="R285"/>
      <c r="S285"/>
      <c r="T285"/>
      <c r="U285"/>
      <c r="V285"/>
      <c r="W285"/>
      <c r="X285"/>
      <c r="Y285"/>
      <c r="Z285"/>
      <c r="AA285"/>
      <c r="AB285"/>
      <c r="AC285"/>
      <c r="AD285"/>
      <c r="AE285"/>
      <c r="AF285"/>
      <c r="AG285"/>
      <c r="AH285"/>
      <c r="AI285"/>
      <c r="AJ285"/>
      <c r="AK285"/>
      <c r="AL285"/>
      <c r="AM285"/>
      <c r="AN285"/>
      <c r="AO285"/>
      <c r="AP285"/>
      <c r="AQ285"/>
      <c r="AR285"/>
      <c r="AS285"/>
      <c r="AT285"/>
      <c r="AU285"/>
      <c r="AV285"/>
      <c r="AW285"/>
      <c r="AX285"/>
      <c r="AY285"/>
      <c r="AZ285"/>
      <c r="BA285"/>
      <c r="BB285"/>
      <c r="BC285"/>
      <c r="BD285"/>
      <c r="BE285"/>
      <c r="BF285"/>
      <c r="BG285"/>
      <c r="BH285"/>
      <c r="BI285"/>
      <c r="BJ285"/>
      <c r="BK285"/>
      <c r="BL285"/>
      <c r="BM285"/>
      <c r="BN285"/>
      <c r="BO285"/>
      <c r="BP285"/>
      <c r="BQ285"/>
      <c r="BR285"/>
      <c r="BS285"/>
      <c r="BT285"/>
      <c r="BU285"/>
      <c r="BV285"/>
      <c r="BW285"/>
      <c r="BX285"/>
      <c r="BY285"/>
      <c r="BZ285"/>
      <c r="CA285"/>
      <c r="CB285"/>
      <c r="CC285"/>
    </row>
    <row r="286" spans="1:81" x14ac:dyDescent="0.25">
      <c r="A286"/>
      <c r="B286"/>
      <c r="C286"/>
      <c r="D286"/>
      <c r="E286"/>
      <c r="F286"/>
      <c r="G286"/>
      <c r="H286"/>
      <c r="I286"/>
      <c r="J286"/>
      <c r="K286"/>
      <c r="L286"/>
      <c r="M286"/>
      <c r="N286"/>
      <c r="O286"/>
      <c r="P286"/>
      <c r="Q286"/>
      <c r="R286"/>
      <c r="S286"/>
      <c r="T286"/>
      <c r="U286"/>
      <c r="V286"/>
      <c r="W286"/>
      <c r="X286"/>
      <c r="Y286"/>
      <c r="Z286"/>
      <c r="AA286"/>
      <c r="AB286"/>
      <c r="AC286"/>
      <c r="AD286"/>
      <c r="AE286"/>
      <c r="AF286"/>
      <c r="AG286"/>
      <c r="AH286"/>
      <c r="AI286"/>
      <c r="AJ286"/>
      <c r="AK286"/>
      <c r="AL286"/>
      <c r="AM286"/>
      <c r="AN286"/>
      <c r="AO286"/>
      <c r="AP286"/>
      <c r="AQ286"/>
      <c r="AR286"/>
      <c r="AS286"/>
      <c r="AT286"/>
      <c r="AU286"/>
      <c r="AV286"/>
      <c r="AW286"/>
      <c r="AX286"/>
      <c r="AY286"/>
      <c r="AZ286"/>
      <c r="BA286"/>
      <c r="BB286"/>
      <c r="BC286"/>
      <c r="BD286"/>
      <c r="BE286"/>
      <c r="BF286"/>
      <c r="BG286"/>
      <c r="BH286"/>
      <c r="BI286"/>
      <c r="BJ286"/>
      <c r="BK286"/>
      <c r="BL286"/>
      <c r="BM286"/>
      <c r="BN286"/>
      <c r="BO286"/>
      <c r="BP286"/>
      <c r="BQ286"/>
      <c r="BR286"/>
      <c r="BS286"/>
      <c r="BT286"/>
      <c r="BU286"/>
      <c r="BV286"/>
      <c r="BW286"/>
      <c r="BX286"/>
      <c r="BY286"/>
      <c r="BZ286"/>
      <c r="CA286"/>
      <c r="CB286"/>
      <c r="CC286"/>
    </row>
    <row r="287" spans="1:81" x14ac:dyDescent="0.25">
      <c r="A287"/>
      <c r="B287"/>
      <c r="C287"/>
      <c r="D287"/>
      <c r="E287"/>
      <c r="F287"/>
      <c r="G287"/>
      <c r="H287"/>
      <c r="I287"/>
      <c r="J287"/>
      <c r="K287"/>
      <c r="L287"/>
      <c r="M287"/>
      <c r="N287"/>
      <c r="O287"/>
      <c r="P287"/>
      <c r="Q287"/>
      <c r="R287"/>
      <c r="S287"/>
      <c r="T287"/>
      <c r="U287"/>
      <c r="V287"/>
      <c r="W287"/>
      <c r="X287"/>
      <c r="Y287"/>
      <c r="Z287"/>
      <c r="AA287"/>
      <c r="AB287"/>
      <c r="AC287"/>
      <c r="AD287"/>
      <c r="AE287"/>
      <c r="AF287"/>
      <c r="AG287"/>
      <c r="AH287"/>
      <c r="AI287"/>
      <c r="AJ287"/>
      <c r="AK287"/>
      <c r="AL287"/>
      <c r="AM287"/>
      <c r="AN287"/>
      <c r="AO287"/>
      <c r="AP287"/>
      <c r="AQ287"/>
      <c r="AR287"/>
      <c r="AS287"/>
      <c r="AT287"/>
      <c r="AU287"/>
      <c r="AV287"/>
      <c r="AW287"/>
      <c r="AX287"/>
      <c r="AY287"/>
      <c r="AZ287"/>
      <c r="BA287"/>
      <c r="BB287"/>
      <c r="BC287"/>
      <c r="BD287"/>
      <c r="BE287"/>
      <c r="BF287"/>
      <c r="BG287"/>
      <c r="BH287"/>
      <c r="BI287"/>
      <c r="BJ287"/>
      <c r="BK287"/>
      <c r="BL287"/>
      <c r="BM287"/>
      <c r="BN287"/>
      <c r="BO287"/>
      <c r="BP287"/>
      <c r="BQ287"/>
      <c r="BR287"/>
      <c r="BS287"/>
      <c r="BT287"/>
      <c r="BU287"/>
      <c r="BV287"/>
      <c r="BW287"/>
      <c r="BX287"/>
      <c r="BY287"/>
      <c r="BZ287"/>
      <c r="CA287"/>
      <c r="CB287"/>
      <c r="CC287"/>
    </row>
    <row r="288" spans="1:81" x14ac:dyDescent="0.25">
      <c r="A288"/>
      <c r="B288"/>
      <c r="C288"/>
      <c r="D288"/>
      <c r="E288"/>
      <c r="F288"/>
      <c r="G288"/>
      <c r="H288"/>
      <c r="I288"/>
      <c r="J288"/>
      <c r="K288"/>
      <c r="L288"/>
      <c r="M288"/>
      <c r="N288"/>
      <c r="O288"/>
      <c r="P288"/>
      <c r="Q288"/>
      <c r="R288"/>
      <c r="S288"/>
      <c r="T288"/>
      <c r="U288"/>
      <c r="V288"/>
      <c r="W288"/>
      <c r="X288"/>
      <c r="Y288"/>
      <c r="Z288"/>
      <c r="AA288"/>
      <c r="AB288"/>
      <c r="AC288"/>
      <c r="AD288"/>
      <c r="AE288"/>
      <c r="AF288"/>
      <c r="AG288"/>
      <c r="AH288"/>
      <c r="AI288"/>
      <c r="AJ288"/>
      <c r="AK288"/>
      <c r="AL288"/>
      <c r="AM288"/>
      <c r="AN288"/>
      <c r="AO288"/>
      <c r="AP288"/>
      <c r="AQ288"/>
      <c r="AR288"/>
      <c r="AS288"/>
      <c r="AT288"/>
      <c r="AU288"/>
      <c r="AV288"/>
      <c r="AW288"/>
      <c r="AX288"/>
      <c r="AY288"/>
      <c r="AZ288"/>
      <c r="BA288"/>
      <c r="BB288"/>
      <c r="BC288"/>
      <c r="BD288"/>
      <c r="BE288"/>
      <c r="BF288"/>
      <c r="BG288"/>
      <c r="BH288"/>
      <c r="BI288"/>
      <c r="BJ288"/>
      <c r="BK288"/>
      <c r="BL288"/>
      <c r="BM288"/>
      <c r="BN288"/>
      <c r="BO288"/>
      <c r="BP288"/>
      <c r="BQ288"/>
      <c r="BR288"/>
      <c r="BS288"/>
      <c r="BT288"/>
      <c r="BU288"/>
      <c r="BV288"/>
      <c r="BW288"/>
      <c r="BX288"/>
      <c r="BY288"/>
      <c r="BZ288"/>
      <c r="CA288"/>
      <c r="CB288"/>
      <c r="CC288"/>
    </row>
    <row r="289" spans="1:81" x14ac:dyDescent="0.25">
      <c r="A289"/>
      <c r="B289"/>
      <c r="C289"/>
      <c r="D289"/>
      <c r="E289"/>
      <c r="F289"/>
      <c r="G289"/>
      <c r="H289"/>
      <c r="I289"/>
      <c r="J289"/>
      <c r="K289"/>
      <c r="L289"/>
      <c r="M289"/>
      <c r="N289"/>
      <c r="O289"/>
      <c r="P289"/>
      <c r="Q289"/>
      <c r="R289"/>
      <c r="S289"/>
      <c r="T289"/>
      <c r="U289"/>
      <c r="V289"/>
      <c r="W289"/>
      <c r="X289"/>
      <c r="Y289"/>
      <c r="Z289"/>
      <c r="AA289"/>
      <c r="AB289"/>
      <c r="AC289"/>
      <c r="AD289"/>
      <c r="AE289"/>
      <c r="AF289"/>
      <c r="AG289"/>
      <c r="AH289"/>
      <c r="AI289"/>
      <c r="AJ289"/>
      <c r="AK289"/>
      <c r="AL289"/>
      <c r="AM289"/>
      <c r="AN289"/>
      <c r="AO289"/>
      <c r="AP289"/>
      <c r="AQ289"/>
      <c r="AR289"/>
      <c r="AS289"/>
      <c r="AT289"/>
      <c r="AU289"/>
      <c r="AV289"/>
      <c r="AW289"/>
      <c r="AX289"/>
      <c r="AY289"/>
      <c r="AZ289"/>
      <c r="BA289"/>
      <c r="BB289"/>
      <c r="BC289"/>
      <c r="BD289"/>
      <c r="BE289"/>
      <c r="BF289"/>
      <c r="BG289"/>
      <c r="BH289"/>
      <c r="BI289"/>
      <c r="BJ289"/>
      <c r="BK289"/>
      <c r="BL289"/>
      <c r="BM289"/>
      <c r="BN289"/>
      <c r="BO289"/>
      <c r="BP289"/>
      <c r="BQ289"/>
      <c r="BR289"/>
      <c r="BS289"/>
      <c r="BT289"/>
      <c r="BU289"/>
      <c r="BV289"/>
      <c r="BW289"/>
      <c r="BX289"/>
      <c r="BY289"/>
      <c r="BZ289"/>
      <c r="CA289"/>
      <c r="CB289"/>
      <c r="CC289"/>
    </row>
    <row r="290" spans="1:81" x14ac:dyDescent="0.25">
      <c r="A290"/>
      <c r="B290"/>
      <c r="C290"/>
      <c r="D290"/>
      <c r="E290"/>
      <c r="F290"/>
      <c r="G290"/>
      <c r="H290"/>
      <c r="I290"/>
      <c r="J290"/>
      <c r="K290"/>
      <c r="L290"/>
      <c r="M290"/>
      <c r="N290"/>
      <c r="O290"/>
      <c r="P290"/>
      <c r="Q290"/>
      <c r="R290"/>
      <c r="S290"/>
      <c r="T290"/>
      <c r="U290"/>
      <c r="V290"/>
      <c r="W290"/>
      <c r="X290"/>
      <c r="Y290"/>
      <c r="Z290"/>
      <c r="AA290"/>
      <c r="AB290"/>
      <c r="AC290"/>
      <c r="AD290"/>
      <c r="AE290"/>
      <c r="AF290"/>
      <c r="AG290"/>
      <c r="AH290"/>
      <c r="AI290"/>
      <c r="AJ290"/>
      <c r="AK290"/>
      <c r="AL290"/>
      <c r="AM290"/>
      <c r="AN290"/>
      <c r="AO290"/>
      <c r="AP290"/>
      <c r="AQ290"/>
      <c r="AR290"/>
      <c r="AS290"/>
      <c r="AT290"/>
      <c r="AU290"/>
      <c r="AV290"/>
      <c r="AW290"/>
      <c r="AX290"/>
      <c r="AY290"/>
      <c r="AZ290"/>
      <c r="BA290"/>
      <c r="BB290"/>
      <c r="BC290"/>
      <c r="BD290"/>
      <c r="BE290"/>
      <c r="BF290"/>
      <c r="BG290"/>
      <c r="BH290"/>
      <c r="BI290"/>
      <c r="BJ290"/>
      <c r="BK290"/>
      <c r="BL290"/>
      <c r="BM290"/>
      <c r="BN290"/>
      <c r="BO290"/>
      <c r="BP290"/>
      <c r="BQ290"/>
      <c r="BR290"/>
      <c r="BS290"/>
      <c r="BT290"/>
      <c r="BU290"/>
      <c r="BV290"/>
      <c r="BW290"/>
      <c r="BX290"/>
      <c r="BY290"/>
      <c r="BZ290"/>
      <c r="CA290"/>
      <c r="CB290"/>
      <c r="CC290"/>
    </row>
    <row r="291" spans="1:81" x14ac:dyDescent="0.25">
      <c r="A291"/>
      <c r="B291"/>
      <c r="C291"/>
      <c r="D291"/>
      <c r="E291"/>
      <c r="F291"/>
      <c r="G291"/>
      <c r="H291"/>
      <c r="I291"/>
      <c r="J291"/>
      <c r="K291"/>
      <c r="L291"/>
      <c r="M291"/>
      <c r="N291"/>
      <c r="O291"/>
      <c r="P291"/>
      <c r="Q291"/>
      <c r="R291"/>
      <c r="S291"/>
      <c r="T291"/>
      <c r="U291"/>
      <c r="V291"/>
      <c r="W291"/>
      <c r="X291"/>
      <c r="Y291"/>
      <c r="Z291"/>
      <c r="AA291"/>
      <c r="AB291"/>
      <c r="AC291"/>
      <c r="AD291"/>
      <c r="AE291"/>
      <c r="AF291"/>
      <c r="AG291"/>
      <c r="AH291"/>
      <c r="AI291"/>
      <c r="AJ291"/>
      <c r="AK291"/>
      <c r="AL291"/>
      <c r="AM291"/>
      <c r="AN291"/>
      <c r="AO291"/>
      <c r="AP291"/>
      <c r="AQ291"/>
      <c r="AR291"/>
      <c r="AS291"/>
      <c r="AT291"/>
      <c r="AU291"/>
      <c r="AV291"/>
      <c r="AW291"/>
      <c r="AX291"/>
      <c r="AY291"/>
      <c r="AZ291"/>
      <c r="BA291"/>
      <c r="BB291"/>
      <c r="BC291"/>
      <c r="BD291"/>
      <c r="BE291"/>
      <c r="BF291"/>
      <c r="BG291"/>
      <c r="BH291"/>
      <c r="BI291"/>
      <c r="BJ291"/>
      <c r="BK291"/>
      <c r="BL291"/>
      <c r="BM291"/>
      <c r="BN291"/>
      <c r="BO291"/>
      <c r="BP291"/>
      <c r="BQ291"/>
      <c r="BR291"/>
      <c r="BS291"/>
      <c r="BT291"/>
      <c r="BU291"/>
      <c r="BV291"/>
      <c r="BW291"/>
      <c r="BX291"/>
      <c r="BY291"/>
      <c r="BZ291"/>
      <c r="CA291"/>
      <c r="CB291"/>
      <c r="CC291"/>
    </row>
    <row r="292" spans="1:81" x14ac:dyDescent="0.25">
      <c r="A292"/>
      <c r="B292"/>
      <c r="C292"/>
      <c r="D292"/>
      <c r="E292"/>
      <c r="F292"/>
      <c r="G292"/>
      <c r="H292"/>
      <c r="I292"/>
      <c r="J292"/>
      <c r="K292"/>
      <c r="L292"/>
      <c r="M292"/>
      <c r="N292"/>
      <c r="O292"/>
      <c r="P292"/>
      <c r="Q292"/>
      <c r="R292"/>
      <c r="S292"/>
      <c r="T292"/>
      <c r="U292"/>
      <c r="V292"/>
      <c r="W292"/>
      <c r="X292"/>
      <c r="Y292"/>
      <c r="Z292"/>
      <c r="AA292"/>
      <c r="AB292"/>
      <c r="AC292"/>
      <c r="AD292"/>
      <c r="AE292"/>
      <c r="AF292"/>
      <c r="AG292"/>
      <c r="AH292"/>
      <c r="AI292"/>
      <c r="AJ292"/>
      <c r="AK292"/>
      <c r="AL292"/>
      <c r="AM292"/>
      <c r="AN292"/>
      <c r="AO292"/>
      <c r="AP292"/>
      <c r="AQ292"/>
      <c r="AR292"/>
      <c r="AS292"/>
      <c r="AT292"/>
      <c r="AU292"/>
      <c r="AV292"/>
      <c r="AW292"/>
      <c r="AX292"/>
      <c r="AY292"/>
      <c r="AZ292"/>
      <c r="BA292"/>
      <c r="BB292"/>
      <c r="BC292"/>
      <c r="BD292"/>
      <c r="BE292"/>
      <c r="BF292"/>
      <c r="BG292"/>
      <c r="BH292"/>
      <c r="BI292"/>
      <c r="BJ292"/>
      <c r="BK292"/>
      <c r="BL292"/>
      <c r="BM292"/>
      <c r="BN292"/>
      <c r="BO292"/>
      <c r="BP292"/>
      <c r="BQ292"/>
      <c r="BR292"/>
      <c r="BS292"/>
      <c r="BT292"/>
      <c r="BU292"/>
      <c r="BV292"/>
      <c r="BW292"/>
      <c r="BX292"/>
      <c r="BY292"/>
      <c r="BZ292"/>
      <c r="CA292"/>
      <c r="CB292"/>
      <c r="CC292"/>
    </row>
    <row r="293" spans="1:81" x14ac:dyDescent="0.25">
      <c r="A293"/>
      <c r="B293"/>
      <c r="C293"/>
      <c r="D293"/>
      <c r="E293"/>
      <c r="F293"/>
      <c r="G293"/>
      <c r="H293"/>
      <c r="I293"/>
      <c r="J293"/>
      <c r="K293"/>
      <c r="L293"/>
      <c r="M293"/>
      <c r="N293"/>
      <c r="O293"/>
      <c r="P293"/>
      <c r="Q293"/>
      <c r="R293"/>
      <c r="S293"/>
      <c r="T293"/>
      <c r="U293"/>
      <c r="V293"/>
      <c r="W293"/>
      <c r="X293"/>
      <c r="Y293"/>
      <c r="Z293"/>
      <c r="AA293"/>
      <c r="AB293"/>
      <c r="AC293"/>
      <c r="AD293"/>
      <c r="AE293"/>
      <c r="AF293"/>
      <c r="AG293"/>
      <c r="AH293"/>
      <c r="AI293"/>
      <c r="AJ293"/>
      <c r="AK293"/>
      <c r="AL293"/>
      <c r="AM293"/>
      <c r="AN293"/>
      <c r="AO293"/>
      <c r="AP293"/>
      <c r="AQ293"/>
      <c r="AR293"/>
      <c r="AS293"/>
      <c r="AT293"/>
      <c r="AU293"/>
      <c r="AV293"/>
      <c r="AW293"/>
      <c r="AX293"/>
      <c r="AY293"/>
      <c r="AZ293"/>
      <c r="BA293"/>
      <c r="BB293"/>
      <c r="BC293"/>
      <c r="BD293"/>
      <c r="BE293"/>
      <c r="BF293"/>
      <c r="BG293"/>
      <c r="BH293"/>
      <c r="BI293"/>
      <c r="BJ293"/>
      <c r="BK293"/>
      <c r="BL293"/>
      <c r="BM293"/>
      <c r="BN293"/>
      <c r="BO293"/>
      <c r="BP293"/>
      <c r="BQ293"/>
      <c r="BR293"/>
      <c r="BS293"/>
      <c r="BT293"/>
      <c r="BU293"/>
      <c r="BV293"/>
      <c r="BW293"/>
      <c r="BX293"/>
      <c r="BY293"/>
      <c r="BZ293"/>
      <c r="CA293"/>
      <c r="CB293"/>
      <c r="CC293"/>
    </row>
    <row r="294" spans="1:81" x14ac:dyDescent="0.25">
      <c r="A294"/>
      <c r="B294"/>
      <c r="C294"/>
      <c r="D294"/>
      <c r="E294"/>
      <c r="F294"/>
      <c r="G294"/>
      <c r="H294"/>
      <c r="I294"/>
      <c r="J294"/>
      <c r="K294"/>
      <c r="L294"/>
      <c r="M294"/>
      <c r="N294"/>
      <c r="O294"/>
      <c r="P294"/>
      <c r="Q294"/>
      <c r="R294"/>
      <c r="S294"/>
      <c r="T294"/>
      <c r="U294"/>
      <c r="V294"/>
      <c r="W294"/>
      <c r="X294"/>
      <c r="Y294"/>
      <c r="Z294"/>
      <c r="AA294"/>
      <c r="AB294"/>
      <c r="AC294"/>
      <c r="AD294"/>
      <c r="AE294"/>
      <c r="AF294"/>
      <c r="AG294"/>
      <c r="AH294"/>
      <c r="AI294"/>
      <c r="AJ294"/>
      <c r="AK294"/>
      <c r="AL294"/>
      <c r="AM294"/>
      <c r="AN294"/>
      <c r="AO294"/>
      <c r="AP294"/>
      <c r="AQ294"/>
      <c r="AR294"/>
      <c r="AS294"/>
      <c r="AT294"/>
      <c r="AU294"/>
      <c r="AV294"/>
      <c r="AW294"/>
      <c r="AX294"/>
      <c r="AY294"/>
      <c r="AZ294"/>
      <c r="BA294"/>
      <c r="BB294"/>
      <c r="BC294"/>
      <c r="BD294"/>
      <c r="BE294"/>
      <c r="BF294"/>
      <c r="BG294"/>
      <c r="BH294"/>
      <c r="BI294"/>
      <c r="BJ294"/>
      <c r="BK294"/>
      <c r="BL294"/>
      <c r="BM294"/>
      <c r="BN294"/>
      <c r="BO294"/>
      <c r="BP294"/>
      <c r="BQ294"/>
      <c r="BR294"/>
      <c r="BS294"/>
      <c r="BT294"/>
      <c r="BU294"/>
      <c r="BV294"/>
      <c r="BW294"/>
      <c r="BX294"/>
      <c r="BY294"/>
      <c r="BZ294"/>
      <c r="CA294"/>
      <c r="CB294"/>
      <c r="CC294"/>
    </row>
    <row r="295" spans="1:81" x14ac:dyDescent="0.25">
      <c r="A295"/>
      <c r="B295"/>
      <c r="C295"/>
      <c r="D295"/>
      <c r="E295"/>
      <c r="F295"/>
      <c r="G295"/>
      <c r="H295"/>
      <c r="I295"/>
      <c r="J295"/>
      <c r="K295"/>
      <c r="L295"/>
      <c r="M295"/>
      <c r="N295"/>
      <c r="O295"/>
      <c r="P295"/>
      <c r="Q295"/>
      <c r="R295"/>
      <c r="S295"/>
      <c r="T295"/>
      <c r="U295"/>
      <c r="V295"/>
      <c r="W295"/>
      <c r="X295"/>
      <c r="Y295"/>
      <c r="Z295"/>
      <c r="AA295"/>
      <c r="AB295"/>
      <c r="AC295"/>
      <c r="AD295"/>
      <c r="AE295"/>
      <c r="AF295"/>
      <c r="AG295"/>
      <c r="AH295"/>
      <c r="AI295"/>
      <c r="AJ295"/>
      <c r="AK295"/>
      <c r="AL295"/>
      <c r="AM295"/>
      <c r="AN295"/>
      <c r="AO295"/>
      <c r="AP295"/>
      <c r="AQ295"/>
      <c r="AR295"/>
      <c r="AS295"/>
      <c r="AT295"/>
      <c r="AU295"/>
      <c r="AV295"/>
      <c r="AW295"/>
      <c r="AX295"/>
      <c r="AY295"/>
      <c r="AZ295"/>
      <c r="BA295"/>
      <c r="BB295"/>
      <c r="BC295"/>
      <c r="BD295"/>
      <c r="BE295"/>
      <c r="BF295"/>
      <c r="BG295"/>
      <c r="BH295"/>
      <c r="BI295"/>
      <c r="BJ295"/>
      <c r="BK295"/>
      <c r="BL295"/>
      <c r="BM295"/>
      <c r="BN295"/>
      <c r="BO295"/>
      <c r="BP295"/>
      <c r="BQ295"/>
      <c r="BR295"/>
      <c r="BS295"/>
      <c r="BT295"/>
      <c r="BU295"/>
      <c r="BV295"/>
      <c r="BW295"/>
      <c r="BX295"/>
      <c r="BY295"/>
      <c r="BZ295"/>
      <c r="CA295"/>
      <c r="CB295"/>
      <c r="CC295"/>
    </row>
    <row r="296" spans="1:81" x14ac:dyDescent="0.25">
      <c r="A296"/>
      <c r="B296"/>
      <c r="C296"/>
      <c r="D296"/>
      <c r="E296"/>
      <c r="F296"/>
      <c r="G296"/>
      <c r="H296"/>
      <c r="I296"/>
      <c r="J296"/>
      <c r="K296"/>
      <c r="L296"/>
      <c r="M296"/>
      <c r="N296"/>
      <c r="O296"/>
      <c r="P296"/>
      <c r="Q296"/>
      <c r="R296"/>
      <c r="S296"/>
      <c r="T296"/>
      <c r="U296"/>
      <c r="V296"/>
      <c r="W296"/>
      <c r="X296"/>
      <c r="Y296"/>
      <c r="Z296"/>
      <c r="AA296"/>
      <c r="AB296"/>
      <c r="AC296"/>
      <c r="AD296"/>
      <c r="AE296"/>
      <c r="AF296"/>
      <c r="AG296"/>
      <c r="AH296"/>
      <c r="AI296"/>
      <c r="AJ296"/>
      <c r="AK296"/>
      <c r="AL296"/>
      <c r="AM296"/>
      <c r="AN296"/>
      <c r="AO296"/>
      <c r="AP296"/>
      <c r="AQ296"/>
      <c r="AR296"/>
      <c r="AS296"/>
      <c r="AT296"/>
      <c r="AU296"/>
      <c r="AV296"/>
      <c r="AW296"/>
      <c r="AX296"/>
      <c r="AY296"/>
      <c r="AZ296"/>
      <c r="BA296"/>
      <c r="BB296"/>
      <c r="BC296"/>
      <c r="BD296"/>
      <c r="BE296"/>
      <c r="BF296"/>
      <c r="BG296"/>
      <c r="BH296"/>
      <c r="BI296"/>
      <c r="BJ296"/>
      <c r="BK296"/>
      <c r="BL296"/>
      <c r="BM296"/>
      <c r="BN296"/>
      <c r="BO296"/>
      <c r="BP296"/>
      <c r="BQ296"/>
      <c r="BR296"/>
      <c r="BS296"/>
      <c r="BT296"/>
      <c r="BU296"/>
      <c r="BV296"/>
      <c r="BW296"/>
      <c r="BX296"/>
      <c r="BY296"/>
      <c r="BZ296"/>
      <c r="CA296"/>
      <c r="CB296"/>
      <c r="CC296"/>
    </row>
    <row r="297" spans="1:81" x14ac:dyDescent="0.25">
      <c r="A297"/>
      <c r="B297"/>
      <c r="C297"/>
      <c r="D297"/>
      <c r="E297"/>
      <c r="F297"/>
      <c r="G297"/>
      <c r="H297"/>
      <c r="I297"/>
      <c r="J297"/>
      <c r="K297"/>
      <c r="L297"/>
      <c r="M297"/>
      <c r="N297"/>
      <c r="O297"/>
      <c r="P297"/>
      <c r="Q297"/>
      <c r="R297"/>
      <c r="S297"/>
      <c r="T297"/>
      <c r="U297"/>
      <c r="V297"/>
      <c r="W297"/>
      <c r="X297"/>
      <c r="Y297"/>
      <c r="Z297"/>
      <c r="AA297"/>
      <c r="AB297"/>
      <c r="AC297"/>
      <c r="AD297"/>
      <c r="AE297"/>
      <c r="AF297"/>
      <c r="AG297"/>
      <c r="AH297"/>
      <c r="AI297"/>
      <c r="AJ297"/>
      <c r="AK297"/>
      <c r="AL297"/>
      <c r="AM297"/>
      <c r="AN297"/>
      <c r="AO297"/>
      <c r="AP297"/>
      <c r="AQ297"/>
      <c r="AR297"/>
      <c r="AS297"/>
      <c r="AT297"/>
      <c r="AU297"/>
      <c r="AV297"/>
      <c r="AW297"/>
      <c r="AX297"/>
      <c r="AY297"/>
      <c r="AZ297"/>
      <c r="BA297"/>
      <c r="BB297"/>
      <c r="BC297"/>
      <c r="BD297"/>
      <c r="BE297"/>
      <c r="BF297"/>
      <c r="BG297"/>
      <c r="BH297"/>
      <c r="BI297"/>
      <c r="BJ297"/>
      <c r="BK297"/>
      <c r="BL297"/>
      <c r="BM297"/>
      <c r="BN297"/>
      <c r="BO297"/>
      <c r="BP297"/>
      <c r="BQ297"/>
      <c r="BR297"/>
      <c r="BS297"/>
      <c r="BT297"/>
      <c r="BU297"/>
      <c r="BV297"/>
      <c r="BW297"/>
      <c r="BX297"/>
      <c r="BY297"/>
      <c r="BZ297"/>
      <c r="CA297"/>
      <c r="CB297"/>
      <c r="CC297"/>
    </row>
    <row r="298" spans="1:81" x14ac:dyDescent="0.25">
      <c r="A298"/>
      <c r="B298"/>
      <c r="C298"/>
      <c r="D298"/>
      <c r="E298"/>
      <c r="F298"/>
      <c r="G298"/>
      <c r="H298"/>
      <c r="I298"/>
      <c r="J298"/>
      <c r="K298"/>
      <c r="L298"/>
      <c r="M298"/>
      <c r="N298"/>
      <c r="O298"/>
      <c r="P298"/>
      <c r="Q298"/>
      <c r="R298"/>
      <c r="S298"/>
      <c r="T298"/>
      <c r="U298"/>
      <c r="V298"/>
      <c r="W298"/>
      <c r="X298"/>
      <c r="Y298"/>
      <c r="Z298"/>
      <c r="AA298"/>
      <c r="AB298"/>
      <c r="AC298"/>
      <c r="AD298"/>
      <c r="AE298"/>
      <c r="AF298"/>
      <c r="AG298"/>
      <c r="AH298"/>
      <c r="AI298"/>
      <c r="AJ298"/>
      <c r="AK298"/>
      <c r="AL298"/>
      <c r="AM298"/>
      <c r="AN298"/>
      <c r="AO298"/>
      <c r="AP298"/>
      <c r="AQ298"/>
      <c r="AR298"/>
      <c r="AS298"/>
      <c r="AT298"/>
      <c r="AU298"/>
      <c r="AV298"/>
      <c r="AW298"/>
      <c r="AX298"/>
      <c r="AY298"/>
      <c r="AZ298"/>
      <c r="BA298"/>
      <c r="BB298"/>
      <c r="BC298"/>
      <c r="BD298"/>
      <c r="BE298"/>
      <c r="BF298"/>
      <c r="BG298"/>
      <c r="BH298"/>
      <c r="BI298"/>
      <c r="BJ298"/>
      <c r="BK298"/>
      <c r="BL298"/>
      <c r="BM298"/>
      <c r="BN298"/>
      <c r="BO298"/>
      <c r="BP298"/>
      <c r="BQ298"/>
      <c r="BR298"/>
      <c r="BS298"/>
      <c r="BT298"/>
      <c r="BU298"/>
      <c r="BV298"/>
      <c r="BW298"/>
      <c r="BX298"/>
      <c r="BY298"/>
      <c r="BZ298"/>
      <c r="CA298"/>
      <c r="CB298"/>
      <c r="CC298"/>
    </row>
    <row r="299" spans="1:81" x14ac:dyDescent="0.25">
      <c r="A299"/>
      <c r="B299"/>
      <c r="C299"/>
      <c r="D299"/>
      <c r="E299"/>
      <c r="F299"/>
      <c r="G299"/>
      <c r="H299"/>
      <c r="I299"/>
      <c r="J299"/>
      <c r="K299"/>
      <c r="L299"/>
      <c r="M299"/>
      <c r="N299"/>
      <c r="O299"/>
      <c r="P299"/>
      <c r="Q299"/>
      <c r="R299"/>
      <c r="S299"/>
      <c r="T299"/>
      <c r="U299"/>
      <c r="V299"/>
      <c r="W299"/>
      <c r="X299"/>
      <c r="Y299"/>
      <c r="Z299"/>
      <c r="AA299"/>
      <c r="AB299"/>
      <c r="AC299"/>
      <c r="AD299"/>
      <c r="AE299"/>
      <c r="AF299"/>
      <c r="AG299"/>
      <c r="AH299"/>
      <c r="AI299"/>
      <c r="AJ299"/>
      <c r="AK299"/>
      <c r="AL299"/>
      <c r="AM299"/>
      <c r="AN299"/>
      <c r="AO299"/>
      <c r="AP299"/>
      <c r="AQ299"/>
      <c r="AR299"/>
      <c r="AS299"/>
      <c r="AT299"/>
      <c r="AU299"/>
      <c r="AV299"/>
      <c r="AW299"/>
      <c r="AX299"/>
      <c r="AY299"/>
      <c r="AZ299"/>
      <c r="BA299"/>
      <c r="BB299"/>
      <c r="BC299"/>
      <c r="BD299"/>
      <c r="BE299"/>
      <c r="BF299"/>
      <c r="BG299"/>
      <c r="BH299"/>
      <c r="BI299"/>
      <c r="BJ299"/>
      <c r="BK299"/>
      <c r="BL299"/>
      <c r="BM299"/>
      <c r="BN299"/>
      <c r="BO299"/>
      <c r="BP299"/>
      <c r="BQ299"/>
      <c r="BR299"/>
      <c r="BS299"/>
      <c r="BT299"/>
      <c r="BU299"/>
      <c r="BV299"/>
      <c r="BW299"/>
      <c r="BX299"/>
      <c r="BY299"/>
      <c r="BZ299"/>
      <c r="CA299"/>
      <c r="CB299"/>
      <c r="CC299"/>
    </row>
    <row r="300" spans="1:81" x14ac:dyDescent="0.25">
      <c r="A300"/>
      <c r="B300"/>
      <c r="C300"/>
      <c r="D300"/>
      <c r="E300"/>
      <c r="F300"/>
      <c r="G300"/>
      <c r="H300"/>
      <c r="I300"/>
      <c r="J300"/>
      <c r="K300"/>
      <c r="L300"/>
      <c r="M300"/>
      <c r="N300"/>
      <c r="O300"/>
      <c r="P300"/>
      <c r="Q300"/>
      <c r="R300"/>
      <c r="S300"/>
      <c r="T300"/>
      <c r="U300"/>
      <c r="V300"/>
      <c r="W300"/>
      <c r="X300"/>
      <c r="Y300"/>
      <c r="Z300"/>
      <c r="AA300"/>
      <c r="AB300"/>
      <c r="AC300"/>
      <c r="AD300"/>
      <c r="AE300"/>
      <c r="AF300"/>
      <c r="AG300"/>
      <c r="AH300"/>
      <c r="AI300"/>
      <c r="AJ300"/>
      <c r="AK300"/>
      <c r="AL300"/>
      <c r="AM300"/>
      <c r="AN300"/>
      <c r="AO300"/>
      <c r="AP300"/>
      <c r="AQ300"/>
      <c r="AR300"/>
      <c r="AS300"/>
      <c r="AT300"/>
      <c r="AU300"/>
      <c r="AV300"/>
      <c r="AW300"/>
      <c r="AX300"/>
      <c r="AY300"/>
      <c r="AZ300"/>
      <c r="BA300"/>
      <c r="BB300"/>
      <c r="BC300"/>
      <c r="BD300"/>
      <c r="BE300"/>
      <c r="BF300"/>
      <c r="BG300"/>
      <c r="BH300"/>
      <c r="BI300"/>
      <c r="BJ300"/>
      <c r="BK300"/>
      <c r="BL300"/>
      <c r="BM300"/>
      <c r="BN300"/>
      <c r="BO300"/>
      <c r="BP300"/>
      <c r="BQ300"/>
      <c r="BR300"/>
      <c r="BS300"/>
      <c r="BT300"/>
      <c r="BU300"/>
      <c r="BV300"/>
      <c r="BW300"/>
      <c r="BX300"/>
      <c r="BY300"/>
      <c r="BZ300"/>
      <c r="CA300"/>
      <c r="CB300"/>
      <c r="CC300"/>
    </row>
    <row r="301" spans="1:81" x14ac:dyDescent="0.25">
      <c r="A301"/>
      <c r="B301"/>
      <c r="C301"/>
      <c r="D301"/>
      <c r="E301"/>
      <c r="F301"/>
      <c r="G301"/>
      <c r="H301"/>
      <c r="I301"/>
      <c r="J301"/>
      <c r="K301"/>
      <c r="L301"/>
      <c r="M301"/>
      <c r="N301"/>
      <c r="O301"/>
      <c r="P301"/>
      <c r="Q301"/>
      <c r="R301"/>
      <c r="S301"/>
      <c r="T301"/>
      <c r="U301"/>
      <c r="V301"/>
      <c r="W301"/>
      <c r="X301"/>
      <c r="Y301"/>
      <c r="Z301"/>
      <c r="AA301"/>
      <c r="AB301"/>
      <c r="AC301"/>
      <c r="AD301"/>
      <c r="AE301"/>
      <c r="AF301"/>
      <c r="AG301"/>
      <c r="AH301"/>
      <c r="AI301"/>
      <c r="AJ301"/>
      <c r="AK301"/>
      <c r="AL301"/>
      <c r="AM301"/>
      <c r="AN301"/>
      <c r="AO301"/>
      <c r="AP301"/>
      <c r="AQ301"/>
      <c r="AR301"/>
      <c r="AS301"/>
      <c r="AT301"/>
      <c r="AU301"/>
      <c r="AV301"/>
      <c r="AW301"/>
      <c r="AX301"/>
      <c r="AY301"/>
      <c r="AZ301"/>
      <c r="BA301"/>
      <c r="BB301"/>
      <c r="BC301"/>
      <c r="BD301"/>
      <c r="BE301"/>
      <c r="BF301"/>
      <c r="BG301"/>
      <c r="BH301"/>
      <c r="BI301"/>
      <c r="BJ301"/>
      <c r="BK301"/>
      <c r="BL301"/>
      <c r="BM301"/>
      <c r="BN301"/>
      <c r="BO301"/>
      <c r="BP301"/>
      <c r="BQ301"/>
      <c r="BR301"/>
      <c r="BS301"/>
      <c r="BT301"/>
      <c r="BU301"/>
      <c r="BV301"/>
      <c r="BW301"/>
      <c r="BX301"/>
      <c r="BY301"/>
      <c r="BZ301"/>
      <c r="CA301"/>
      <c r="CB301"/>
      <c r="CC301"/>
    </row>
    <row r="302" spans="1:81" x14ac:dyDescent="0.25">
      <c r="A302"/>
      <c r="B302"/>
      <c r="C302"/>
      <c r="D302"/>
      <c r="E302"/>
      <c r="F302"/>
      <c r="G302"/>
      <c r="H302"/>
      <c r="I302"/>
      <c r="J302"/>
      <c r="K302"/>
      <c r="L302"/>
      <c r="M302"/>
      <c r="N302"/>
      <c r="O302"/>
      <c r="P302"/>
      <c r="Q302"/>
      <c r="R302"/>
      <c r="S302"/>
      <c r="T302"/>
      <c r="U302"/>
      <c r="V302"/>
      <c r="W302"/>
      <c r="X302"/>
      <c r="Y302"/>
      <c r="Z302"/>
      <c r="AA302"/>
      <c r="AB302"/>
      <c r="AC302"/>
      <c r="AD302"/>
      <c r="AE302"/>
      <c r="AF302"/>
      <c r="AG302"/>
      <c r="AH302"/>
      <c r="AI302"/>
      <c r="AJ302"/>
      <c r="AK302"/>
      <c r="AL302"/>
      <c r="AM302"/>
      <c r="AN302"/>
      <c r="AO302"/>
      <c r="AP302"/>
      <c r="AQ302"/>
      <c r="AR302"/>
      <c r="AS302"/>
      <c r="AT302"/>
      <c r="AU302"/>
      <c r="AV302"/>
      <c r="AW302"/>
      <c r="AX302"/>
      <c r="AY302"/>
      <c r="AZ302"/>
      <c r="BA302"/>
      <c r="BB302"/>
      <c r="BC302"/>
      <c r="BD302"/>
      <c r="BE302"/>
      <c r="BF302"/>
      <c r="BG302"/>
      <c r="BH302"/>
      <c r="BI302"/>
      <c r="BJ302"/>
      <c r="BK302"/>
      <c r="BL302"/>
      <c r="BM302"/>
      <c r="BN302"/>
      <c r="BO302"/>
      <c r="BP302"/>
      <c r="BQ302"/>
      <c r="BR302"/>
      <c r="BS302"/>
      <c r="BT302"/>
      <c r="BU302"/>
      <c r="BV302"/>
      <c r="BW302"/>
      <c r="BX302"/>
      <c r="BY302"/>
      <c r="BZ302"/>
      <c r="CA302"/>
      <c r="CB302"/>
      <c r="CC302"/>
    </row>
    <row r="303" spans="1:81" x14ac:dyDescent="0.25">
      <c r="A303"/>
      <c r="B303"/>
      <c r="C303"/>
      <c r="D303"/>
      <c r="E303"/>
      <c r="F303"/>
      <c r="G303"/>
      <c r="H303"/>
      <c r="I303"/>
      <c r="J303"/>
      <c r="K303"/>
      <c r="L303"/>
      <c r="M303"/>
      <c r="N303"/>
      <c r="O303"/>
      <c r="P303"/>
      <c r="Q303"/>
      <c r="R303"/>
      <c r="S303"/>
      <c r="T303"/>
      <c r="U303"/>
      <c r="V303"/>
      <c r="W303"/>
      <c r="X303"/>
      <c r="Y303"/>
      <c r="Z303"/>
      <c r="AA303"/>
      <c r="AB303"/>
      <c r="AC303"/>
      <c r="AD303"/>
      <c r="AE303"/>
      <c r="AF303"/>
      <c r="AG303"/>
      <c r="AH303"/>
      <c r="AI303"/>
      <c r="AJ303"/>
      <c r="AK303"/>
      <c r="AL303"/>
      <c r="AM303"/>
      <c r="AN303"/>
      <c r="AO303"/>
      <c r="AP303"/>
      <c r="AQ303"/>
      <c r="AR303"/>
      <c r="AS303"/>
      <c r="AT303"/>
      <c r="AU303"/>
      <c r="AV303"/>
      <c r="AW303"/>
      <c r="AX303"/>
      <c r="AY303"/>
      <c r="AZ303"/>
      <c r="BA303"/>
      <c r="BB303"/>
      <c r="BC303"/>
      <c r="BD303"/>
      <c r="BE303"/>
      <c r="BF303"/>
      <c r="BG303"/>
      <c r="BH303"/>
      <c r="BI303"/>
      <c r="BJ303"/>
      <c r="BK303"/>
      <c r="BL303"/>
      <c r="BM303"/>
      <c r="BN303"/>
      <c r="BO303"/>
      <c r="BP303"/>
      <c r="BQ303"/>
      <c r="BR303"/>
      <c r="BS303"/>
      <c r="BT303"/>
      <c r="BU303"/>
      <c r="BV303"/>
      <c r="BW303"/>
      <c r="BX303"/>
      <c r="BY303"/>
      <c r="BZ303"/>
      <c r="CA303"/>
      <c r="CB303"/>
      <c r="CC303"/>
    </row>
    <row r="304" spans="1:81" x14ac:dyDescent="0.25">
      <c r="A304"/>
      <c r="B304"/>
      <c r="C304"/>
      <c r="D304"/>
      <c r="E304"/>
      <c r="F304"/>
      <c r="G304"/>
      <c r="H304"/>
      <c r="I304"/>
      <c r="J304"/>
      <c r="K304"/>
      <c r="L304"/>
      <c r="M304"/>
      <c r="N304"/>
      <c r="O304"/>
      <c r="P304"/>
      <c r="Q304"/>
      <c r="R304"/>
      <c r="S304"/>
      <c r="T304"/>
      <c r="U304"/>
      <c r="V304"/>
      <c r="W304"/>
      <c r="X304"/>
      <c r="Y304"/>
      <c r="Z304"/>
      <c r="AA304"/>
      <c r="AB304"/>
      <c r="AC304"/>
      <c r="AD304"/>
      <c r="AE304"/>
      <c r="AF304"/>
      <c r="AG304"/>
      <c r="AH304"/>
      <c r="AI304"/>
      <c r="AJ304"/>
      <c r="AK304"/>
      <c r="AL304"/>
      <c r="AM304"/>
      <c r="AN304"/>
      <c r="AO304"/>
      <c r="AP304"/>
      <c r="AQ304"/>
      <c r="AR304"/>
      <c r="AS304"/>
      <c r="AT304"/>
      <c r="AU304"/>
      <c r="AV304"/>
      <c r="AW304"/>
      <c r="AX304"/>
      <c r="AY304"/>
      <c r="AZ304"/>
      <c r="BA304"/>
      <c r="BB304"/>
      <c r="BC304"/>
      <c r="BD304"/>
      <c r="BE304"/>
      <c r="BF304"/>
      <c r="BG304"/>
      <c r="BH304"/>
      <c r="BI304"/>
      <c r="BJ304"/>
      <c r="BK304"/>
      <c r="BL304"/>
      <c r="BM304"/>
      <c r="BN304"/>
      <c r="BO304"/>
      <c r="BP304"/>
      <c r="BQ304"/>
      <c r="BR304"/>
      <c r="BS304"/>
      <c r="BT304"/>
      <c r="BU304"/>
      <c r="BV304"/>
      <c r="BW304"/>
      <c r="BX304"/>
      <c r="BY304"/>
      <c r="BZ304"/>
      <c r="CA304"/>
      <c r="CB304"/>
      <c r="CC304"/>
    </row>
    <row r="305" spans="1:81" x14ac:dyDescent="0.25">
      <c r="A305"/>
      <c r="B305"/>
      <c r="C305"/>
      <c r="D305"/>
      <c r="E305"/>
      <c r="F305"/>
      <c r="G305"/>
      <c r="H305"/>
      <c r="I305"/>
      <c r="J305"/>
      <c r="K305"/>
      <c r="L305"/>
      <c r="M305"/>
      <c r="N305"/>
      <c r="O305"/>
      <c r="P305"/>
      <c r="Q305"/>
      <c r="R305"/>
      <c r="S305"/>
      <c r="T305"/>
      <c r="U305"/>
      <c r="V305"/>
      <c r="W305"/>
      <c r="X305"/>
      <c r="Y305"/>
      <c r="Z305"/>
      <c r="AA305"/>
      <c r="AB305"/>
      <c r="AC305"/>
      <c r="AD305"/>
      <c r="AE305"/>
      <c r="AF305"/>
      <c r="AG305"/>
      <c r="AH305"/>
      <c r="AI305"/>
      <c r="AJ305"/>
      <c r="AK305"/>
      <c r="AL305"/>
      <c r="AM305"/>
      <c r="AN305"/>
      <c r="AO305"/>
      <c r="AP305"/>
      <c r="AQ305"/>
      <c r="AR305"/>
      <c r="AS305"/>
      <c r="AT305"/>
      <c r="AU305"/>
      <c r="AV305"/>
      <c r="AW305"/>
      <c r="AX305"/>
      <c r="AY305"/>
      <c r="AZ305"/>
      <c r="BA305"/>
      <c r="BB305"/>
      <c r="BC305"/>
      <c r="BD305"/>
      <c r="BE305"/>
      <c r="BF305"/>
      <c r="BG305"/>
      <c r="BH305"/>
      <c r="BI305"/>
      <c r="BJ305"/>
      <c r="BK305"/>
      <c r="BL305"/>
      <c r="BM305"/>
      <c r="BN305"/>
      <c r="BO305"/>
      <c r="BP305"/>
      <c r="BQ305"/>
      <c r="BR305"/>
      <c r="BS305"/>
      <c r="BT305"/>
      <c r="BU305"/>
      <c r="BV305"/>
      <c r="BW305"/>
      <c r="BX305"/>
      <c r="BY305"/>
      <c r="BZ305"/>
      <c r="CA305"/>
      <c r="CB305"/>
      <c r="CC305"/>
    </row>
    <row r="306" spans="1:81" x14ac:dyDescent="0.25">
      <c r="A306"/>
      <c r="B306"/>
      <c r="C306"/>
      <c r="D306"/>
      <c r="E306"/>
      <c r="F306"/>
      <c r="G306"/>
      <c r="H306"/>
      <c r="I306"/>
      <c r="J306"/>
      <c r="K306"/>
      <c r="L306"/>
      <c r="M306"/>
      <c r="N306"/>
      <c r="O306"/>
      <c r="P306"/>
      <c r="Q306"/>
      <c r="R306"/>
      <c r="S306"/>
      <c r="T306"/>
      <c r="U306"/>
      <c r="V306"/>
      <c r="W306"/>
      <c r="X306"/>
      <c r="Y306"/>
      <c r="Z306"/>
      <c r="AA306"/>
      <c r="AB306"/>
      <c r="AC306"/>
      <c r="AD306"/>
      <c r="AE306"/>
      <c r="AF306"/>
      <c r="AG306"/>
      <c r="AH306"/>
      <c r="AI306"/>
      <c r="AJ306"/>
      <c r="AK306"/>
      <c r="AL306"/>
      <c r="AM306"/>
      <c r="AN306"/>
      <c r="AO306"/>
      <c r="AP306"/>
      <c r="AQ306"/>
      <c r="AR306"/>
      <c r="AS306"/>
      <c r="AT306"/>
      <c r="AU306"/>
      <c r="AV306"/>
      <c r="AW306"/>
      <c r="AX306"/>
      <c r="AY306"/>
      <c r="AZ306"/>
      <c r="BA306"/>
      <c r="BB306"/>
      <c r="BC306"/>
      <c r="BD306"/>
      <c r="BE306"/>
      <c r="BF306"/>
      <c r="BG306"/>
      <c r="BH306"/>
      <c r="BI306"/>
      <c r="BJ306"/>
      <c r="BK306"/>
      <c r="BL306"/>
      <c r="BM306"/>
      <c r="BN306"/>
      <c r="BO306"/>
      <c r="BP306"/>
      <c r="BQ306"/>
      <c r="BR306"/>
      <c r="BS306"/>
      <c r="BT306"/>
      <c r="BU306"/>
      <c r="BV306"/>
      <c r="BW306"/>
      <c r="BX306"/>
      <c r="BY306"/>
      <c r="BZ306"/>
      <c r="CA306"/>
      <c r="CB306"/>
      <c r="CC306"/>
    </row>
    <row r="307" spans="1:81" x14ac:dyDescent="0.25">
      <c r="A307"/>
      <c r="B307"/>
      <c r="C307"/>
      <c r="D307"/>
      <c r="E307"/>
      <c r="F307"/>
      <c r="G307"/>
      <c r="H307"/>
      <c r="I307"/>
      <c r="J307"/>
      <c r="K307"/>
      <c r="L307"/>
      <c r="M307"/>
      <c r="N307"/>
      <c r="O307"/>
      <c r="P307"/>
      <c r="Q307"/>
      <c r="R307"/>
      <c r="S307"/>
      <c r="T307"/>
      <c r="U307"/>
      <c r="V307"/>
      <c r="W307"/>
      <c r="X307"/>
      <c r="Y307"/>
      <c r="Z307"/>
      <c r="AA307"/>
      <c r="AB307"/>
      <c r="AC307"/>
      <c r="AD307"/>
      <c r="AE307"/>
      <c r="AF307"/>
      <c r="AG307"/>
      <c r="AH307"/>
      <c r="AI307"/>
      <c r="AJ307"/>
      <c r="AK307"/>
      <c r="AL307"/>
      <c r="AM307"/>
      <c r="AN307"/>
      <c r="AO307"/>
      <c r="AP307"/>
      <c r="AQ307"/>
      <c r="AR307"/>
      <c r="AS307"/>
      <c r="AT307"/>
      <c r="AU307"/>
      <c r="AV307"/>
      <c r="AW307"/>
      <c r="AX307"/>
      <c r="AY307"/>
      <c r="AZ307"/>
      <c r="BA307"/>
      <c r="BB307"/>
      <c r="BC307"/>
      <c r="BD307"/>
      <c r="BE307"/>
      <c r="BF307"/>
      <c r="BG307"/>
      <c r="BH307"/>
      <c r="BI307"/>
      <c r="BJ307"/>
      <c r="BK307"/>
      <c r="BL307"/>
      <c r="BM307"/>
      <c r="BN307"/>
      <c r="BO307"/>
      <c r="BP307"/>
      <c r="BQ307"/>
      <c r="BR307"/>
      <c r="BS307"/>
      <c r="BT307"/>
      <c r="BU307"/>
      <c r="BV307"/>
      <c r="BW307"/>
      <c r="BX307"/>
      <c r="BY307"/>
      <c r="BZ307"/>
      <c r="CA307"/>
      <c r="CB307"/>
      <c r="CC307"/>
    </row>
    <row r="308" spans="1:81" x14ac:dyDescent="0.25">
      <c r="A308"/>
      <c r="B308"/>
      <c r="C308"/>
      <c r="D308"/>
      <c r="E308"/>
      <c r="F308"/>
      <c r="G308"/>
      <c r="H308"/>
      <c r="I308"/>
      <c r="J308"/>
      <c r="K308"/>
      <c r="L308"/>
      <c r="M308"/>
      <c r="N308"/>
      <c r="O308"/>
      <c r="P308"/>
      <c r="Q308"/>
      <c r="R308"/>
      <c r="S308"/>
      <c r="T308"/>
      <c r="U308"/>
      <c r="V308"/>
      <c r="W308"/>
      <c r="X308"/>
      <c r="Y308"/>
      <c r="Z308"/>
      <c r="AA308"/>
      <c r="AB308"/>
      <c r="AC308"/>
      <c r="AD308"/>
      <c r="AE308"/>
      <c r="AF308"/>
      <c r="AG308"/>
      <c r="AH308"/>
      <c r="AI308"/>
      <c r="AJ308"/>
      <c r="AK308"/>
      <c r="AL308"/>
      <c r="AM308"/>
      <c r="AN308"/>
      <c r="AO308"/>
      <c r="AP308"/>
      <c r="AQ308"/>
      <c r="AR308"/>
      <c r="AS308"/>
      <c r="AT308"/>
      <c r="AU308"/>
      <c r="AV308"/>
      <c r="AW308"/>
      <c r="AX308"/>
      <c r="AY308"/>
      <c r="AZ308"/>
      <c r="BA308"/>
      <c r="BB308"/>
      <c r="BC308"/>
      <c r="BD308"/>
      <c r="BE308"/>
      <c r="BF308"/>
      <c r="BG308"/>
      <c r="BH308"/>
      <c r="BI308"/>
      <c r="BJ308"/>
      <c r="BK308"/>
      <c r="BL308"/>
      <c r="BM308"/>
      <c r="BN308"/>
      <c r="BO308"/>
      <c r="BP308"/>
      <c r="BQ308"/>
      <c r="BR308"/>
      <c r="BS308"/>
      <c r="BT308"/>
      <c r="BU308"/>
      <c r="BV308"/>
      <c r="BW308"/>
      <c r="BX308"/>
      <c r="BY308"/>
      <c r="BZ308"/>
      <c r="CA308"/>
      <c r="CB308"/>
      <c r="CC308"/>
    </row>
    <row r="309" spans="1:81" x14ac:dyDescent="0.25">
      <c r="A309"/>
      <c r="B309"/>
      <c r="C309"/>
      <c r="D309"/>
      <c r="E309"/>
      <c r="F309"/>
      <c r="G309"/>
      <c r="H309"/>
      <c r="I309"/>
      <c r="J309"/>
      <c r="K309"/>
      <c r="L309"/>
      <c r="M309"/>
      <c r="N309"/>
      <c r="O309"/>
      <c r="P309"/>
      <c r="Q309"/>
      <c r="R309"/>
      <c r="S309"/>
      <c r="T309"/>
      <c r="U309"/>
      <c r="V309"/>
      <c r="W309"/>
      <c r="X309"/>
      <c r="Y309"/>
      <c r="Z309"/>
      <c r="AA309"/>
      <c r="AB309"/>
      <c r="AC309"/>
      <c r="AD309"/>
      <c r="AE309"/>
      <c r="AF309"/>
      <c r="AG309"/>
      <c r="AH309"/>
      <c r="AI309"/>
      <c r="AJ309"/>
      <c r="AK309"/>
      <c r="AL309"/>
      <c r="AM309"/>
      <c r="AN309"/>
      <c r="AO309"/>
      <c r="AP309"/>
      <c r="AQ309"/>
      <c r="AR309"/>
      <c r="AS309"/>
      <c r="AT309"/>
      <c r="AU309"/>
      <c r="AV309"/>
      <c r="AW309"/>
      <c r="AX309"/>
      <c r="AY309"/>
      <c r="AZ309"/>
      <c r="BA309"/>
      <c r="BB309"/>
      <c r="BC309"/>
      <c r="BD309"/>
      <c r="BE309"/>
      <c r="BF309"/>
      <c r="BG309"/>
      <c r="BH309"/>
      <c r="BI309"/>
      <c r="BJ309"/>
      <c r="BK309"/>
      <c r="BL309"/>
      <c r="BM309"/>
      <c r="BN309"/>
      <c r="BO309"/>
      <c r="BP309"/>
      <c r="BQ309"/>
      <c r="BR309"/>
      <c r="BS309"/>
      <c r="BT309"/>
      <c r="BU309"/>
      <c r="BV309"/>
      <c r="BW309"/>
      <c r="BX309"/>
      <c r="BY309"/>
      <c r="BZ309"/>
      <c r="CA309"/>
      <c r="CB309"/>
      <c r="CC309"/>
    </row>
    <row r="310" spans="1:81" x14ac:dyDescent="0.25">
      <c r="A310"/>
      <c r="B310"/>
      <c r="C310"/>
      <c r="D310"/>
      <c r="E310"/>
      <c r="F310"/>
      <c r="G310"/>
      <c r="H310"/>
      <c r="I310"/>
      <c r="J310"/>
      <c r="K310"/>
      <c r="L310"/>
      <c r="M310"/>
      <c r="N310"/>
      <c r="O310"/>
      <c r="P310"/>
      <c r="Q310"/>
      <c r="R310"/>
      <c r="S310"/>
      <c r="T310"/>
      <c r="U310"/>
      <c r="V310"/>
      <c r="W310"/>
      <c r="X310"/>
      <c r="Y310"/>
      <c r="Z310"/>
      <c r="AA310"/>
      <c r="AB310"/>
      <c r="AC310"/>
      <c r="AD310"/>
      <c r="AE310"/>
      <c r="AF310"/>
      <c r="AG310"/>
      <c r="AH310"/>
      <c r="AI310"/>
      <c r="AJ310"/>
      <c r="AK310"/>
      <c r="AL310"/>
      <c r="AM310"/>
      <c r="AN310"/>
      <c r="AO310"/>
      <c r="AP310"/>
      <c r="AQ310"/>
      <c r="AR310"/>
      <c r="AS310"/>
      <c r="AT310"/>
      <c r="AU310"/>
      <c r="AV310"/>
      <c r="AW310"/>
      <c r="AX310"/>
      <c r="AY310"/>
      <c r="AZ310"/>
      <c r="BA310"/>
      <c r="BB310"/>
      <c r="BC310"/>
      <c r="BD310"/>
      <c r="BE310"/>
      <c r="BF310"/>
      <c r="BG310"/>
      <c r="BH310"/>
      <c r="BI310"/>
      <c r="BJ310"/>
      <c r="BK310"/>
      <c r="BL310"/>
      <c r="BM310"/>
      <c r="BN310"/>
      <c r="BO310"/>
      <c r="BP310"/>
      <c r="BQ310"/>
      <c r="BR310"/>
      <c r="BS310"/>
      <c r="BT310"/>
      <c r="BU310"/>
      <c r="BV310"/>
      <c r="BW310"/>
      <c r="BX310"/>
      <c r="BY310"/>
      <c r="BZ310"/>
      <c r="CA310"/>
      <c r="CB310"/>
      <c r="CC310"/>
    </row>
    <row r="311" spans="1:81" x14ac:dyDescent="0.25">
      <c r="A311"/>
      <c r="B311"/>
      <c r="C311"/>
      <c r="D311"/>
      <c r="E311"/>
      <c r="F311"/>
      <c r="G311"/>
      <c r="H311"/>
      <c r="I311"/>
      <c r="J311"/>
      <c r="K311"/>
      <c r="L311"/>
      <c r="M311"/>
      <c r="N311"/>
      <c r="O311"/>
      <c r="P311"/>
      <c r="Q311"/>
      <c r="R311"/>
      <c r="S311"/>
      <c r="T311"/>
      <c r="U311"/>
      <c r="V311"/>
      <c r="W311"/>
      <c r="X311"/>
      <c r="Y311"/>
      <c r="Z311"/>
      <c r="AA311"/>
      <c r="AB311"/>
      <c r="AC311"/>
      <c r="AD311"/>
      <c r="AE311"/>
      <c r="AF311"/>
      <c r="AG311"/>
      <c r="AH311"/>
      <c r="AI311"/>
      <c r="AJ311"/>
      <c r="AK311"/>
      <c r="AL311"/>
      <c r="AM311"/>
      <c r="AN311"/>
      <c r="AO311"/>
      <c r="AP311"/>
      <c r="AQ311"/>
      <c r="AR311"/>
      <c r="AS311"/>
      <c r="AT311"/>
      <c r="AU311"/>
      <c r="AV311"/>
      <c r="AW311"/>
      <c r="AX311"/>
      <c r="AY311"/>
      <c r="AZ311"/>
      <c r="BA311"/>
      <c r="BB311"/>
      <c r="BC311"/>
      <c r="BD311"/>
      <c r="BE311"/>
      <c r="BF311"/>
      <c r="BG311"/>
      <c r="BH311"/>
      <c r="BI311"/>
      <c r="BJ311"/>
      <c r="BK311"/>
      <c r="BL311"/>
      <c r="BM311"/>
      <c r="BN311"/>
      <c r="BO311"/>
      <c r="BP311"/>
      <c r="BQ311"/>
      <c r="BR311"/>
      <c r="BS311"/>
      <c r="BT311"/>
      <c r="BU311"/>
      <c r="BV311"/>
      <c r="BW311"/>
      <c r="BX311"/>
      <c r="BY311"/>
      <c r="BZ311"/>
      <c r="CA311"/>
      <c r="CB311"/>
      <c r="CC311"/>
    </row>
    <row r="312" spans="1:81" x14ac:dyDescent="0.25">
      <c r="A312"/>
      <c r="B312"/>
      <c r="C312"/>
      <c r="D312"/>
      <c r="E312"/>
      <c r="F312"/>
      <c r="G312"/>
      <c r="H312"/>
      <c r="I312"/>
      <c r="J312"/>
      <c r="K312"/>
      <c r="L312"/>
      <c r="M312"/>
      <c r="N312"/>
      <c r="O312"/>
      <c r="P312"/>
      <c r="Q312"/>
      <c r="R312"/>
      <c r="S312"/>
      <c r="T312"/>
      <c r="U312"/>
      <c r="V312"/>
      <c r="W312"/>
      <c r="X312"/>
      <c r="Y312"/>
      <c r="Z312"/>
      <c r="AA312"/>
      <c r="AB312"/>
      <c r="AC312"/>
      <c r="AD312"/>
      <c r="AE312"/>
      <c r="AF312"/>
      <c r="AG312"/>
      <c r="AH312"/>
      <c r="AI312"/>
      <c r="AJ312"/>
      <c r="AK312"/>
      <c r="AL312"/>
      <c r="AM312"/>
      <c r="AN312"/>
      <c r="AO312"/>
      <c r="AP312"/>
      <c r="AQ312"/>
      <c r="AR312"/>
      <c r="AS312"/>
      <c r="AT312"/>
      <c r="AU312"/>
      <c r="AV312"/>
      <c r="AW312"/>
      <c r="AX312"/>
      <c r="AY312"/>
      <c r="AZ312"/>
      <c r="BA312"/>
      <c r="BB312"/>
      <c r="BC312"/>
      <c r="BD312"/>
      <c r="BE312"/>
      <c r="BF312"/>
      <c r="BG312"/>
      <c r="BH312"/>
      <c r="BI312"/>
      <c r="BJ312"/>
      <c r="BK312"/>
      <c r="BL312"/>
      <c r="BM312"/>
      <c r="BN312"/>
      <c r="BO312"/>
      <c r="BP312"/>
      <c r="BQ312"/>
      <c r="BR312"/>
      <c r="BS312"/>
      <c r="BT312"/>
      <c r="BU312"/>
      <c r="BV312"/>
      <c r="BW312"/>
      <c r="BX312"/>
      <c r="BY312"/>
      <c r="BZ312"/>
      <c r="CA312"/>
      <c r="CB312"/>
      <c r="CC312"/>
    </row>
    <row r="313" spans="1:81" x14ac:dyDescent="0.25">
      <c r="A313"/>
      <c r="B313"/>
      <c r="C313"/>
      <c r="D313"/>
      <c r="E313"/>
      <c r="F313"/>
      <c r="G313"/>
      <c r="H313"/>
      <c r="I313"/>
      <c r="J313"/>
      <c r="K313"/>
      <c r="L313"/>
      <c r="M313"/>
      <c r="N313"/>
      <c r="O313"/>
      <c r="P313"/>
      <c r="Q313"/>
      <c r="R313"/>
      <c r="S313"/>
      <c r="T313"/>
      <c r="U313"/>
      <c r="V313"/>
      <c r="W313"/>
      <c r="X313"/>
      <c r="Y313"/>
      <c r="Z313"/>
      <c r="AA313"/>
      <c r="AB313"/>
      <c r="AC313"/>
      <c r="AD313"/>
      <c r="AE313"/>
      <c r="AF313"/>
      <c r="AG313"/>
      <c r="AH313"/>
      <c r="AI313"/>
      <c r="AJ313"/>
      <c r="AK313"/>
      <c r="AL313"/>
      <c r="AM313"/>
      <c r="AN313"/>
      <c r="AO313"/>
      <c r="AP313"/>
      <c r="AQ313"/>
      <c r="AR313"/>
      <c r="AS313"/>
      <c r="AT313"/>
      <c r="AU313"/>
      <c r="AV313"/>
      <c r="AW313"/>
      <c r="AX313"/>
      <c r="AY313"/>
      <c r="AZ313"/>
      <c r="BA313"/>
      <c r="BB313"/>
      <c r="BC313"/>
      <c r="BD313"/>
      <c r="BE313"/>
      <c r="BF313"/>
      <c r="BG313"/>
      <c r="BH313"/>
      <c r="BI313"/>
      <c r="BJ313"/>
      <c r="BK313"/>
      <c r="BL313"/>
      <c r="BM313"/>
      <c r="BN313"/>
      <c r="BO313"/>
      <c r="BP313"/>
      <c r="BQ313"/>
      <c r="BR313"/>
      <c r="BS313"/>
      <c r="BT313"/>
      <c r="BU313"/>
      <c r="BV313"/>
      <c r="BW313"/>
      <c r="BX313"/>
      <c r="BY313"/>
      <c r="BZ313"/>
      <c r="CA313"/>
      <c r="CB313"/>
      <c r="CC313"/>
    </row>
    <row r="314" spans="1:81" x14ac:dyDescent="0.25">
      <c r="A314"/>
      <c r="B314"/>
      <c r="C314"/>
      <c r="D314"/>
      <c r="E314"/>
      <c r="F314"/>
      <c r="G314"/>
      <c r="H314"/>
      <c r="I314"/>
      <c r="J314"/>
      <c r="K314"/>
      <c r="L314"/>
      <c r="M314"/>
      <c r="N314"/>
      <c r="O314"/>
      <c r="P314"/>
      <c r="Q314"/>
      <c r="R314"/>
      <c r="S314"/>
      <c r="T314"/>
      <c r="U314"/>
      <c r="V314"/>
      <c r="W314"/>
      <c r="X314"/>
      <c r="Y314"/>
      <c r="Z314"/>
      <c r="AA314"/>
      <c r="AB314"/>
      <c r="AC314"/>
      <c r="AD314"/>
      <c r="AE314"/>
      <c r="AF314"/>
      <c r="AG314"/>
      <c r="AH314"/>
      <c r="AI314"/>
      <c r="AJ314"/>
      <c r="AK314"/>
      <c r="AL314"/>
      <c r="AM314"/>
      <c r="AN314"/>
      <c r="AO314"/>
      <c r="AP314"/>
      <c r="AQ314"/>
      <c r="AR314"/>
      <c r="AS314"/>
      <c r="AT314"/>
      <c r="AU314"/>
      <c r="AV314"/>
      <c r="AW314"/>
      <c r="AX314"/>
      <c r="AY314"/>
      <c r="AZ314"/>
      <c r="BA314"/>
      <c r="BB314"/>
      <c r="BC314"/>
      <c r="BD314"/>
      <c r="BE314"/>
      <c r="BF314"/>
      <c r="BG314"/>
      <c r="BH314"/>
      <c r="BI314"/>
      <c r="BJ314"/>
      <c r="BK314"/>
      <c r="BL314"/>
      <c r="BM314"/>
      <c r="BN314"/>
      <c r="BO314"/>
      <c r="BP314"/>
      <c r="BQ314"/>
      <c r="BR314"/>
      <c r="BS314"/>
      <c r="BT314"/>
      <c r="BU314"/>
      <c r="BV314"/>
      <c r="BW314"/>
      <c r="BX314"/>
      <c r="BY314"/>
      <c r="BZ314"/>
      <c r="CA314"/>
      <c r="CB314"/>
      <c r="CC314"/>
    </row>
    <row r="315" spans="1:81" x14ac:dyDescent="0.25">
      <c r="A315"/>
      <c r="B315"/>
      <c r="C315"/>
      <c r="D315"/>
      <c r="E315"/>
      <c r="F315"/>
      <c r="G315"/>
      <c r="H315"/>
      <c r="I315"/>
      <c r="J315"/>
      <c r="K315"/>
      <c r="L315"/>
      <c r="M315"/>
      <c r="N315"/>
      <c r="O315"/>
      <c r="P315"/>
      <c r="Q315"/>
      <c r="R315"/>
      <c r="S315"/>
      <c r="T315"/>
      <c r="U315"/>
      <c r="V315"/>
      <c r="W315"/>
      <c r="X315"/>
      <c r="Y315"/>
      <c r="Z315"/>
      <c r="AA315"/>
      <c r="AB315"/>
      <c r="AC315"/>
      <c r="AD315"/>
      <c r="AE315"/>
      <c r="AF315"/>
      <c r="AG315"/>
      <c r="AH315"/>
      <c r="AI315"/>
      <c r="AJ315"/>
      <c r="AK315"/>
      <c r="AL315"/>
      <c r="AM315"/>
      <c r="AN315"/>
      <c r="AO315"/>
      <c r="AP315"/>
      <c r="AQ315"/>
      <c r="AR315"/>
      <c r="AS315"/>
      <c r="AT315"/>
      <c r="AU315"/>
      <c r="AV315"/>
      <c r="AW315"/>
      <c r="AX315"/>
      <c r="AY315"/>
      <c r="AZ315"/>
      <c r="BA315"/>
      <c r="BB315"/>
      <c r="BC315"/>
      <c r="BD315"/>
      <c r="BE315"/>
      <c r="BF315"/>
      <c r="BG315"/>
      <c r="BH315"/>
      <c r="BI315"/>
      <c r="BJ315"/>
      <c r="BK315"/>
      <c r="BL315"/>
      <c r="BM315"/>
      <c r="BN315"/>
      <c r="BO315"/>
      <c r="BP315"/>
      <c r="BQ315"/>
      <c r="BR315"/>
      <c r="BS315"/>
      <c r="BT315"/>
      <c r="BU315"/>
      <c r="BV315"/>
      <c r="BW315"/>
      <c r="BX315"/>
      <c r="BY315"/>
      <c r="BZ315"/>
      <c r="CA315"/>
      <c r="CB315"/>
      <c r="CC315"/>
    </row>
    <row r="316" spans="1:81" x14ac:dyDescent="0.25">
      <c r="A316"/>
      <c r="B316"/>
      <c r="C316"/>
      <c r="D316"/>
      <c r="E316"/>
      <c r="F316"/>
      <c r="G316"/>
      <c r="H316"/>
      <c r="I316"/>
      <c r="J316"/>
      <c r="K316"/>
      <c r="L316"/>
      <c r="M316"/>
      <c r="N316"/>
      <c r="O316"/>
      <c r="P316"/>
      <c r="Q316"/>
      <c r="R316"/>
      <c r="S316"/>
      <c r="T316"/>
      <c r="U316"/>
      <c r="V316"/>
      <c r="W316"/>
      <c r="X316"/>
      <c r="Y316"/>
      <c r="Z316"/>
      <c r="AA316"/>
      <c r="AB316"/>
      <c r="AC316"/>
      <c r="AD316"/>
      <c r="AE316"/>
      <c r="AF316"/>
      <c r="AG316"/>
      <c r="AH316"/>
      <c r="AI316"/>
      <c r="AJ316"/>
      <c r="AK316"/>
      <c r="AL316"/>
      <c r="AM316"/>
      <c r="AN316"/>
      <c r="AO316"/>
      <c r="AP316"/>
      <c r="AQ316"/>
      <c r="AR316"/>
      <c r="AS316"/>
      <c r="AT316"/>
      <c r="AU316"/>
      <c r="AV316"/>
      <c r="AW316"/>
      <c r="AX316"/>
      <c r="AY316"/>
      <c r="AZ316"/>
      <c r="BA316"/>
      <c r="BB316"/>
      <c r="BC316"/>
      <c r="BD316"/>
      <c r="BE316"/>
      <c r="BF316"/>
      <c r="BG316"/>
      <c r="BH316"/>
      <c r="BI316"/>
      <c r="BJ316"/>
      <c r="BK316"/>
      <c r="BL316"/>
      <c r="BM316"/>
      <c r="BN316"/>
      <c r="BO316"/>
      <c r="BP316"/>
      <c r="BQ316"/>
      <c r="BR316"/>
      <c r="BS316"/>
      <c r="BT316"/>
      <c r="BU316"/>
      <c r="BV316"/>
      <c r="BW316"/>
      <c r="BX316"/>
      <c r="BY316"/>
      <c r="BZ316"/>
      <c r="CA316"/>
      <c r="CB316"/>
      <c r="CC316"/>
    </row>
    <row r="317" spans="1:81" x14ac:dyDescent="0.25">
      <c r="A317"/>
      <c r="B317"/>
      <c r="C317"/>
      <c r="D317"/>
      <c r="E317"/>
      <c r="F317"/>
      <c r="G317"/>
      <c r="H317"/>
      <c r="I317"/>
      <c r="J317"/>
      <c r="K317"/>
      <c r="L317"/>
      <c r="M317"/>
      <c r="N317"/>
      <c r="O317"/>
      <c r="P317"/>
      <c r="Q317"/>
      <c r="R317"/>
      <c r="S317"/>
      <c r="T317"/>
      <c r="U317"/>
      <c r="V317"/>
      <c r="W317"/>
      <c r="X317"/>
      <c r="Y317"/>
      <c r="Z317"/>
      <c r="AA317"/>
      <c r="AB317"/>
      <c r="AC317"/>
      <c r="AD317"/>
      <c r="AE317"/>
      <c r="AF317"/>
      <c r="AG317"/>
      <c r="AH317"/>
      <c r="AI317"/>
      <c r="AJ317"/>
      <c r="AK317"/>
      <c r="AL317"/>
      <c r="AM317"/>
      <c r="AN317"/>
      <c r="AO317"/>
      <c r="AP317"/>
      <c r="AQ317"/>
      <c r="AR317"/>
      <c r="AS317"/>
      <c r="AT317"/>
      <c r="AU317"/>
      <c r="AV317"/>
      <c r="AW317"/>
      <c r="AX317"/>
      <c r="AY317"/>
      <c r="AZ317"/>
      <c r="BA317"/>
      <c r="BB317"/>
      <c r="BC317"/>
      <c r="BD317"/>
      <c r="BE317"/>
      <c r="BF317"/>
      <c r="BG317"/>
      <c r="BH317"/>
      <c r="BI317"/>
      <c r="BJ317"/>
      <c r="BK317"/>
      <c r="BL317"/>
      <c r="BM317"/>
      <c r="BN317"/>
      <c r="BO317"/>
      <c r="BP317"/>
      <c r="BQ317"/>
      <c r="BR317"/>
      <c r="BS317"/>
      <c r="BT317"/>
      <c r="BU317"/>
      <c r="BV317"/>
      <c r="BW317"/>
      <c r="BX317"/>
      <c r="BY317"/>
      <c r="BZ317"/>
      <c r="CA317"/>
      <c r="CB317"/>
      <c r="CC317"/>
    </row>
    <row r="318" spans="1:81" x14ac:dyDescent="0.25">
      <c r="A318"/>
      <c r="B318"/>
      <c r="C318"/>
      <c r="D318"/>
      <c r="E318"/>
      <c r="F318"/>
      <c r="G318"/>
      <c r="H318"/>
      <c r="I318"/>
      <c r="J318"/>
      <c r="K318"/>
      <c r="L318"/>
      <c r="M318"/>
      <c r="N318"/>
      <c r="O318"/>
      <c r="P318"/>
      <c r="Q318"/>
      <c r="R318"/>
      <c r="S318"/>
      <c r="T318"/>
      <c r="U318"/>
      <c r="V318"/>
      <c r="W318"/>
      <c r="X318"/>
      <c r="Y318"/>
      <c r="Z318"/>
      <c r="AA318"/>
      <c r="AB318"/>
      <c r="AC318"/>
      <c r="AD318"/>
      <c r="AE318"/>
      <c r="AF318"/>
      <c r="AG318"/>
      <c r="AH318"/>
      <c r="AI318"/>
      <c r="AJ318"/>
      <c r="AK318"/>
      <c r="AL318"/>
      <c r="AM318"/>
      <c r="AN318"/>
      <c r="AO318"/>
      <c r="AP318"/>
      <c r="AQ318"/>
      <c r="AR318"/>
      <c r="AS318"/>
      <c r="AT318"/>
      <c r="AU318"/>
      <c r="AV318"/>
      <c r="AW318"/>
      <c r="AX318"/>
      <c r="AY318"/>
      <c r="AZ318"/>
      <c r="BA318"/>
      <c r="BB318"/>
      <c r="BC318"/>
      <c r="BD318"/>
      <c r="BE318"/>
      <c r="BF318"/>
      <c r="BG318"/>
      <c r="BH318"/>
      <c r="BI318"/>
      <c r="BJ318"/>
      <c r="BK318"/>
      <c r="BL318"/>
      <c r="BM318"/>
      <c r="BN318"/>
      <c r="BO318"/>
      <c r="BP318"/>
      <c r="BQ318"/>
      <c r="BR318"/>
      <c r="BS318"/>
      <c r="BT318"/>
      <c r="BU318"/>
      <c r="BV318"/>
      <c r="BW318"/>
      <c r="BX318"/>
      <c r="BY318"/>
      <c r="BZ318"/>
      <c r="CA318"/>
      <c r="CB318"/>
      <c r="CC318"/>
    </row>
    <row r="319" spans="1:81" x14ac:dyDescent="0.25">
      <c r="A319"/>
      <c r="B319"/>
      <c r="C319"/>
      <c r="D319"/>
      <c r="E319"/>
      <c r="F319"/>
      <c r="G319"/>
      <c r="H319"/>
      <c r="I319"/>
      <c r="J319"/>
      <c r="K319"/>
      <c r="L319"/>
      <c r="M319"/>
      <c r="N319"/>
      <c r="O319"/>
      <c r="P319"/>
      <c r="Q319"/>
      <c r="R319"/>
      <c r="S319"/>
      <c r="T319"/>
      <c r="U319"/>
      <c r="V319"/>
      <c r="W319"/>
      <c r="X319"/>
      <c r="Y319"/>
      <c r="Z319"/>
      <c r="AA319"/>
      <c r="AB319"/>
      <c r="AC319"/>
      <c r="AD319"/>
      <c r="AE319"/>
      <c r="AF319"/>
      <c r="AG319"/>
      <c r="AH319"/>
      <c r="AI319"/>
      <c r="AJ319"/>
      <c r="AK319"/>
      <c r="AL319"/>
      <c r="AM319"/>
      <c r="AN319"/>
      <c r="AO319"/>
      <c r="AP319"/>
      <c r="AQ319"/>
      <c r="AR319"/>
      <c r="AS319"/>
      <c r="AT319"/>
      <c r="AU319"/>
      <c r="AV319"/>
      <c r="AW319"/>
      <c r="AX319"/>
      <c r="AY319"/>
      <c r="AZ319"/>
      <c r="BA319"/>
      <c r="BB319"/>
      <c r="BC319"/>
      <c r="BD319"/>
      <c r="BE319"/>
      <c r="BF319"/>
      <c r="BG319"/>
      <c r="BH319"/>
      <c r="BI319"/>
      <c r="BJ319"/>
      <c r="BK319"/>
      <c r="BL319"/>
      <c r="BM319"/>
      <c r="BN319"/>
      <c r="BO319"/>
      <c r="BP319"/>
      <c r="BQ319"/>
      <c r="BR319"/>
      <c r="BS319"/>
      <c r="BT319"/>
      <c r="BU319"/>
      <c r="BV319"/>
      <c r="BW319"/>
      <c r="BX319"/>
      <c r="BY319"/>
      <c r="BZ319"/>
      <c r="CA319"/>
      <c r="CB319"/>
      <c r="CC319"/>
    </row>
    <row r="320" spans="1:81" x14ac:dyDescent="0.25">
      <c r="A320"/>
      <c r="B320"/>
      <c r="C320"/>
      <c r="D320"/>
      <c r="E320"/>
      <c r="F320"/>
      <c r="G320"/>
      <c r="H320"/>
      <c r="I320"/>
      <c r="J320"/>
      <c r="K320"/>
      <c r="L320"/>
      <c r="M320"/>
      <c r="N320"/>
      <c r="O320"/>
      <c r="P320"/>
      <c r="Q320"/>
      <c r="R320"/>
      <c r="S320"/>
      <c r="T320"/>
      <c r="U320"/>
      <c r="V320"/>
      <c r="W320"/>
      <c r="X320"/>
      <c r="Y320"/>
      <c r="Z320"/>
      <c r="AA320"/>
      <c r="AB320"/>
      <c r="AC320"/>
      <c r="AD320"/>
      <c r="AE320"/>
      <c r="AF320"/>
      <c r="AG320"/>
      <c r="AH320"/>
      <c r="AI320"/>
      <c r="AJ320"/>
      <c r="AK320"/>
      <c r="AL320"/>
      <c r="AM320"/>
      <c r="AN320"/>
      <c r="AO320"/>
      <c r="AP320"/>
      <c r="AQ320"/>
      <c r="AR320"/>
      <c r="AS320"/>
      <c r="AT320"/>
      <c r="AU320"/>
      <c r="AV320"/>
      <c r="AW320"/>
      <c r="AX320"/>
      <c r="AY320"/>
      <c r="AZ320"/>
      <c r="BA320"/>
      <c r="BB320"/>
      <c r="BC320"/>
      <c r="BD320"/>
      <c r="BE320"/>
      <c r="BF320"/>
      <c r="BG320"/>
      <c r="BH320"/>
      <c r="BI320"/>
      <c r="BJ320"/>
      <c r="BK320"/>
      <c r="BL320"/>
      <c r="BM320"/>
      <c r="BN320"/>
      <c r="BO320"/>
      <c r="BP320"/>
      <c r="BQ320"/>
      <c r="BR320"/>
      <c r="BS320"/>
      <c r="BT320"/>
      <c r="BU320"/>
      <c r="BV320"/>
      <c r="BW320"/>
      <c r="BX320"/>
      <c r="BY320"/>
      <c r="BZ320"/>
      <c r="CA320"/>
      <c r="CB320"/>
      <c r="CC320"/>
    </row>
    <row r="321" spans="1:81" x14ac:dyDescent="0.25">
      <c r="A321"/>
      <c r="B321"/>
      <c r="C321"/>
      <c r="D321"/>
      <c r="E321"/>
      <c r="F321"/>
      <c r="G321"/>
      <c r="H321"/>
      <c r="I321"/>
      <c r="J321"/>
      <c r="K321"/>
      <c r="L321"/>
      <c r="M321"/>
      <c r="N321"/>
      <c r="O321"/>
      <c r="P321"/>
      <c r="Q321"/>
      <c r="R321"/>
      <c r="S321"/>
      <c r="T321"/>
      <c r="U321"/>
      <c r="V321"/>
      <c r="W321"/>
      <c r="X321"/>
      <c r="Y321"/>
      <c r="Z321"/>
      <c r="AA321"/>
      <c r="AB321"/>
      <c r="AC321"/>
      <c r="AD321"/>
      <c r="AE321"/>
      <c r="AF321"/>
      <c r="AG321"/>
      <c r="AH321"/>
      <c r="AI321"/>
      <c r="AJ321"/>
      <c r="AK321"/>
      <c r="AL321"/>
      <c r="AM321"/>
      <c r="AN321"/>
      <c r="AO321"/>
      <c r="AP321"/>
      <c r="AQ321"/>
      <c r="AR321"/>
      <c r="AS321"/>
      <c r="AT321"/>
      <c r="AU321"/>
      <c r="AV321"/>
      <c r="AW321"/>
      <c r="AX321"/>
      <c r="AY321"/>
      <c r="AZ321"/>
      <c r="BA321"/>
      <c r="BB321"/>
      <c r="BC321"/>
      <c r="BD321"/>
      <c r="BE321"/>
      <c r="BF321"/>
      <c r="BG321"/>
      <c r="BH321"/>
      <c r="BI321"/>
      <c r="BJ321"/>
      <c r="BK321"/>
      <c r="BL321"/>
      <c r="BM321"/>
      <c r="BN321"/>
      <c r="BO321"/>
      <c r="BP321"/>
      <c r="BQ321"/>
      <c r="BR321"/>
      <c r="BS321"/>
      <c r="BT321"/>
      <c r="BU321"/>
      <c r="BV321"/>
      <c r="BW321"/>
      <c r="BX321"/>
      <c r="BY321"/>
      <c r="BZ321"/>
      <c r="CA321"/>
      <c r="CB321"/>
      <c r="CC321"/>
    </row>
    <row r="322" spans="1:81" x14ac:dyDescent="0.25">
      <c r="A322"/>
      <c r="B322"/>
      <c r="C322"/>
      <c r="D322"/>
      <c r="E322"/>
      <c r="F322"/>
      <c r="G322"/>
      <c r="H322"/>
      <c r="I322"/>
      <c r="J322"/>
      <c r="K322"/>
      <c r="L322"/>
      <c r="M322"/>
      <c r="N322"/>
      <c r="O322"/>
      <c r="P322"/>
      <c r="Q322"/>
      <c r="R322"/>
      <c r="S322"/>
      <c r="T322"/>
      <c r="U322"/>
      <c r="V322"/>
      <c r="W322"/>
      <c r="X322"/>
      <c r="Y322"/>
      <c r="Z322"/>
      <c r="AA322"/>
      <c r="AB322"/>
      <c r="AC322"/>
      <c r="AD322"/>
      <c r="AE322"/>
      <c r="AF322"/>
      <c r="AG322"/>
      <c r="AH322"/>
      <c r="AI322"/>
      <c r="AJ322"/>
      <c r="AK322"/>
      <c r="AL322"/>
      <c r="AM322"/>
      <c r="AN322"/>
      <c r="AO322"/>
      <c r="AP322"/>
      <c r="AQ322"/>
      <c r="AR322"/>
      <c r="AS322"/>
      <c r="AT322"/>
      <c r="AU322"/>
      <c r="AV322"/>
      <c r="AW322"/>
      <c r="AX322"/>
      <c r="AY322"/>
      <c r="AZ322"/>
      <c r="BA322"/>
      <c r="BB322"/>
      <c r="BC322"/>
      <c r="BD322"/>
      <c r="BE322"/>
      <c r="BF322"/>
      <c r="BG322"/>
      <c r="BH322"/>
      <c r="BI322"/>
      <c r="BJ322"/>
      <c r="BK322"/>
      <c r="BL322"/>
      <c r="BM322"/>
      <c r="BN322"/>
      <c r="BO322"/>
      <c r="BP322"/>
      <c r="BQ322"/>
      <c r="BR322"/>
      <c r="BS322"/>
      <c r="BT322"/>
      <c r="BU322"/>
      <c r="BV322"/>
      <c r="BW322"/>
      <c r="BX322"/>
      <c r="BY322"/>
      <c r="BZ322"/>
      <c r="CA322"/>
      <c r="CB322"/>
      <c r="CC322"/>
    </row>
    <row r="323" spans="1:81" x14ac:dyDescent="0.25">
      <c r="A323"/>
      <c r="B323"/>
      <c r="C323"/>
      <c r="D323"/>
      <c r="E323"/>
      <c r="F323"/>
      <c r="G323"/>
      <c r="H323"/>
      <c r="I323"/>
      <c r="J323"/>
      <c r="K323"/>
      <c r="L323"/>
      <c r="M323"/>
      <c r="N323"/>
      <c r="O323"/>
      <c r="P323"/>
      <c r="Q323"/>
      <c r="R323"/>
      <c r="S323"/>
      <c r="T323"/>
      <c r="U323"/>
      <c r="V323"/>
      <c r="W323"/>
      <c r="X323"/>
      <c r="Y323"/>
      <c r="Z323"/>
      <c r="AA323"/>
      <c r="AB323"/>
      <c r="AC323"/>
      <c r="AD323"/>
      <c r="AE323"/>
      <c r="AF323"/>
      <c r="AG323"/>
      <c r="AH323"/>
      <c r="AI323"/>
      <c r="AJ323"/>
      <c r="AK323"/>
      <c r="AL323"/>
      <c r="AM323"/>
      <c r="AN323"/>
      <c r="AO323"/>
      <c r="AP323"/>
      <c r="AQ323"/>
      <c r="AR323"/>
      <c r="AS323"/>
      <c r="AT323"/>
      <c r="AU323"/>
      <c r="AV323"/>
      <c r="AW323"/>
      <c r="AX323"/>
      <c r="AY323"/>
      <c r="AZ323"/>
      <c r="BA323"/>
      <c r="BB323"/>
      <c r="BC323"/>
      <c r="BD323"/>
      <c r="BE323"/>
      <c r="BF323"/>
      <c r="BG323"/>
      <c r="BH323"/>
      <c r="BI323"/>
      <c r="BJ323"/>
      <c r="BK323"/>
      <c r="BL323"/>
      <c r="BM323"/>
      <c r="BN323"/>
      <c r="BO323"/>
      <c r="BP323"/>
      <c r="BQ323"/>
      <c r="BR323"/>
      <c r="BS323"/>
      <c r="BT323"/>
      <c r="BU323"/>
      <c r="BV323"/>
      <c r="BW323"/>
      <c r="BX323"/>
      <c r="BY323"/>
      <c r="BZ323"/>
      <c r="CA323"/>
      <c r="CB323"/>
      <c r="CC323"/>
    </row>
    <row r="324" spans="1:81" x14ac:dyDescent="0.25">
      <c r="A324"/>
      <c r="B324"/>
      <c r="C324"/>
      <c r="D324"/>
      <c r="E324"/>
      <c r="F324"/>
      <c r="G324"/>
      <c r="H324"/>
      <c r="I324"/>
      <c r="J324"/>
      <c r="K324"/>
      <c r="L324"/>
      <c r="M324"/>
      <c r="N324"/>
      <c r="O324"/>
      <c r="P324"/>
      <c r="Q324"/>
      <c r="R324"/>
      <c r="S324"/>
      <c r="T324"/>
      <c r="U324"/>
      <c r="V324"/>
      <c r="W324"/>
      <c r="X324"/>
      <c r="Y324"/>
      <c r="Z324"/>
      <c r="AA324"/>
      <c r="AB324"/>
      <c r="AC324"/>
      <c r="AD324"/>
      <c r="AE324"/>
      <c r="AF324"/>
      <c r="AG324"/>
      <c r="AH324"/>
      <c r="AI324"/>
      <c r="AJ324"/>
      <c r="AK324"/>
      <c r="AL324"/>
      <c r="AM324"/>
      <c r="AN324"/>
      <c r="AO324"/>
      <c r="AP324"/>
      <c r="AQ324"/>
      <c r="AR324"/>
      <c r="AS324"/>
      <c r="AT324"/>
      <c r="AU324"/>
      <c r="AV324"/>
      <c r="AW324"/>
      <c r="AX324"/>
      <c r="AY324"/>
      <c r="AZ324"/>
      <c r="BA324"/>
      <c r="BB324"/>
      <c r="BC324"/>
      <c r="BD324"/>
      <c r="BE324"/>
      <c r="BF324"/>
      <c r="BG324"/>
      <c r="BH324"/>
      <c r="BI324"/>
      <c r="BJ324"/>
      <c r="BK324"/>
      <c r="BL324"/>
      <c r="BM324"/>
      <c r="BN324"/>
      <c r="BO324"/>
      <c r="BP324"/>
      <c r="BQ324"/>
      <c r="BR324"/>
      <c r="BS324"/>
      <c r="BT324"/>
      <c r="BU324"/>
      <c r="BV324"/>
      <c r="BW324"/>
      <c r="BX324"/>
      <c r="BY324"/>
      <c r="BZ324"/>
      <c r="CA324"/>
      <c r="CB324"/>
      <c r="CC324"/>
    </row>
    <row r="325" spans="1:81" x14ac:dyDescent="0.25">
      <c r="A325"/>
      <c r="B325"/>
      <c r="C325"/>
      <c r="D325"/>
      <c r="E325"/>
      <c r="F325"/>
      <c r="G325"/>
      <c r="H325"/>
      <c r="I325"/>
      <c r="J325"/>
      <c r="K325"/>
      <c r="L325"/>
      <c r="M325"/>
      <c r="N325"/>
      <c r="O325"/>
      <c r="P325"/>
      <c r="Q325"/>
      <c r="R325"/>
      <c r="S325"/>
      <c r="T325"/>
      <c r="U325"/>
      <c r="V325"/>
      <c r="W325"/>
      <c r="X325"/>
      <c r="Y325"/>
      <c r="Z325"/>
      <c r="AA325"/>
      <c r="AB325"/>
      <c r="AC325"/>
      <c r="AD325"/>
      <c r="AE325"/>
      <c r="AF325"/>
      <c r="AG325"/>
      <c r="AH325"/>
      <c r="AI325"/>
      <c r="AJ325"/>
      <c r="AK325"/>
      <c r="AL325"/>
      <c r="AM325"/>
      <c r="AN325"/>
      <c r="AO325"/>
      <c r="AP325"/>
      <c r="AQ325"/>
      <c r="AR325"/>
      <c r="AS325"/>
      <c r="AT325"/>
      <c r="AU325"/>
      <c r="AV325"/>
      <c r="AW325"/>
      <c r="AX325"/>
      <c r="AY325"/>
      <c r="AZ325"/>
      <c r="BA325"/>
      <c r="BB325"/>
      <c r="BC325"/>
      <c r="BD325"/>
      <c r="BE325"/>
      <c r="BF325"/>
      <c r="BG325"/>
      <c r="BH325"/>
      <c r="BI325"/>
      <c r="BJ325"/>
      <c r="BK325"/>
      <c r="BL325"/>
      <c r="BM325"/>
      <c r="BN325"/>
      <c r="BO325"/>
      <c r="BP325"/>
      <c r="BQ325"/>
      <c r="BR325"/>
      <c r="BS325"/>
      <c r="BT325"/>
      <c r="BU325"/>
      <c r="BV325"/>
      <c r="BW325"/>
      <c r="BX325"/>
      <c r="BY325"/>
      <c r="BZ325"/>
      <c r="CA325"/>
      <c r="CB325"/>
      <c r="CC325"/>
    </row>
    <row r="326" spans="1:81" x14ac:dyDescent="0.25">
      <c r="A326"/>
      <c r="B326"/>
      <c r="C326"/>
      <c r="D326"/>
      <c r="E326"/>
      <c r="F326"/>
      <c r="G326"/>
      <c r="H326"/>
      <c r="I326"/>
      <c r="J326"/>
      <c r="K326"/>
      <c r="L326"/>
      <c r="M326"/>
      <c r="N326"/>
      <c r="O326"/>
      <c r="P326"/>
      <c r="Q326"/>
      <c r="R326"/>
      <c r="S326"/>
      <c r="T326"/>
      <c r="U326"/>
      <c r="V326"/>
      <c r="W326"/>
      <c r="X326"/>
      <c r="Y326"/>
      <c r="Z326"/>
      <c r="AA326"/>
      <c r="AB326"/>
      <c r="AC326"/>
      <c r="AD326"/>
      <c r="AE326"/>
      <c r="AF326"/>
      <c r="AG326"/>
      <c r="AH326"/>
      <c r="AI326"/>
      <c r="AJ326"/>
      <c r="AK326"/>
      <c r="AL326"/>
      <c r="AM326"/>
      <c r="AN326"/>
      <c r="AO326"/>
      <c r="AP326"/>
      <c r="AQ326"/>
      <c r="AR326"/>
      <c r="AS326"/>
      <c r="AT326"/>
      <c r="AU326"/>
      <c r="AV326"/>
      <c r="AW326"/>
      <c r="AX326"/>
      <c r="AY326"/>
      <c r="AZ326"/>
      <c r="BA326"/>
      <c r="BB326"/>
      <c r="BC326"/>
      <c r="BD326"/>
      <c r="BE326"/>
      <c r="BF326"/>
      <c r="BG326"/>
      <c r="BH326"/>
      <c r="BI326"/>
      <c r="BJ326"/>
      <c r="BK326"/>
      <c r="BL326"/>
      <c r="BM326"/>
      <c r="BN326"/>
      <c r="BO326"/>
      <c r="BP326"/>
      <c r="BQ326"/>
      <c r="BR326"/>
      <c r="BS326"/>
      <c r="BT326"/>
      <c r="BU326"/>
      <c r="BV326"/>
      <c r="BW326"/>
      <c r="BX326"/>
      <c r="BY326"/>
      <c r="BZ326"/>
      <c r="CA326"/>
      <c r="CB326"/>
      <c r="CC326"/>
    </row>
    <row r="327" spans="1:81" x14ac:dyDescent="0.25">
      <c r="A327"/>
      <c r="B327"/>
      <c r="C327"/>
      <c r="D327"/>
      <c r="E327"/>
      <c r="F327"/>
      <c r="G327"/>
      <c r="H327"/>
      <c r="I327"/>
      <c r="J327"/>
      <c r="K327"/>
      <c r="L327"/>
      <c r="M327"/>
      <c r="N327"/>
      <c r="O327"/>
      <c r="P327"/>
      <c r="Q327"/>
      <c r="R327"/>
      <c r="S327"/>
      <c r="T327"/>
      <c r="U327"/>
      <c r="V327"/>
      <c r="W327"/>
      <c r="X327"/>
      <c r="Y327"/>
      <c r="Z327"/>
      <c r="AA327"/>
      <c r="AB327"/>
      <c r="AC327"/>
      <c r="AD327"/>
      <c r="AE327"/>
      <c r="AF327"/>
      <c r="AG327"/>
      <c r="AH327"/>
      <c r="AI327"/>
      <c r="AJ327"/>
      <c r="AK327"/>
      <c r="AL327"/>
      <c r="AM327"/>
      <c r="AN327"/>
      <c r="AO327"/>
      <c r="AP327"/>
      <c r="AQ327"/>
      <c r="AR327"/>
      <c r="AS327"/>
      <c r="AT327"/>
      <c r="AU327"/>
      <c r="AV327"/>
      <c r="AW327"/>
      <c r="AX327"/>
      <c r="AY327"/>
      <c r="AZ327"/>
      <c r="BA327"/>
      <c r="BB327"/>
      <c r="BC327"/>
      <c r="BD327"/>
      <c r="BE327"/>
      <c r="BF327"/>
      <c r="BG327"/>
      <c r="BH327"/>
      <c r="BI327"/>
      <c r="BJ327"/>
      <c r="BK327"/>
      <c r="BL327"/>
      <c r="BM327"/>
      <c r="BN327"/>
      <c r="BO327"/>
      <c r="BP327"/>
      <c r="BQ327"/>
      <c r="BR327"/>
      <c r="BS327"/>
      <c r="BT327"/>
      <c r="BU327"/>
      <c r="BV327"/>
      <c r="BW327"/>
      <c r="BX327"/>
      <c r="BY327"/>
      <c r="BZ327"/>
      <c r="CA327"/>
      <c r="CB327"/>
      <c r="CC327"/>
    </row>
    <row r="328" spans="1:81" x14ac:dyDescent="0.25">
      <c r="A328"/>
      <c r="B328"/>
      <c r="C328"/>
      <c r="D328"/>
      <c r="E328"/>
      <c r="F328"/>
      <c r="G328"/>
      <c r="H328"/>
      <c r="I328"/>
      <c r="J328"/>
      <c r="K328"/>
      <c r="L328"/>
      <c r="M328"/>
      <c r="N328"/>
      <c r="O328"/>
      <c r="P328"/>
      <c r="Q328"/>
      <c r="R328"/>
      <c r="S328"/>
      <c r="T328"/>
      <c r="U328"/>
      <c r="V328"/>
      <c r="W328"/>
      <c r="X328"/>
      <c r="Y328"/>
      <c r="Z328"/>
      <c r="AA328"/>
      <c r="AB328"/>
      <c r="AC328"/>
      <c r="AD328"/>
      <c r="AE328"/>
      <c r="AF328"/>
      <c r="AG328"/>
      <c r="AH328"/>
      <c r="AI328"/>
      <c r="AJ328"/>
      <c r="AK328"/>
      <c r="AL328"/>
      <c r="AM328"/>
      <c r="AN328"/>
      <c r="AO328"/>
      <c r="AP328"/>
      <c r="AQ328"/>
      <c r="AR328"/>
      <c r="AS328"/>
      <c r="AT328"/>
      <c r="AU328"/>
      <c r="AV328"/>
      <c r="AW328"/>
      <c r="AX328"/>
      <c r="AY328"/>
      <c r="AZ328"/>
      <c r="BA328"/>
      <c r="BB328"/>
      <c r="BC328"/>
      <c r="BD328"/>
      <c r="BE328"/>
      <c r="BF328"/>
      <c r="BG328"/>
      <c r="BH328"/>
      <c r="BI328"/>
      <c r="BJ328"/>
      <c r="BK328"/>
      <c r="BL328"/>
      <c r="BM328"/>
      <c r="BN328"/>
      <c r="BO328"/>
      <c r="BP328"/>
      <c r="BQ328"/>
      <c r="BR328"/>
      <c r="BS328"/>
      <c r="BT328"/>
      <c r="BU328"/>
      <c r="BV328"/>
      <c r="BW328"/>
      <c r="BX328"/>
      <c r="BY328"/>
      <c r="BZ328"/>
      <c r="CA328"/>
      <c r="CB328"/>
      <c r="CC328"/>
    </row>
    <row r="329" spans="1:81" x14ac:dyDescent="0.25">
      <c r="A329"/>
      <c r="B329"/>
      <c r="C329"/>
      <c r="D329"/>
      <c r="E329"/>
      <c r="F329"/>
      <c r="G329"/>
      <c r="H329"/>
      <c r="I329"/>
      <c r="J329"/>
      <c r="K329"/>
      <c r="L329"/>
      <c r="M329"/>
      <c r="N329"/>
      <c r="O329"/>
      <c r="P329"/>
      <c r="Q329"/>
      <c r="R329"/>
      <c r="S329"/>
      <c r="T329"/>
      <c r="U329"/>
      <c r="V329"/>
      <c r="W329"/>
      <c r="X329"/>
      <c r="Y329"/>
      <c r="Z329"/>
      <c r="AA329"/>
      <c r="AB329"/>
      <c r="AC329"/>
      <c r="AD329"/>
      <c r="AE329"/>
      <c r="AF329"/>
      <c r="AG329"/>
      <c r="AH329"/>
      <c r="AI329"/>
      <c r="AJ329"/>
      <c r="AK329"/>
      <c r="AL329"/>
      <c r="AM329"/>
      <c r="AN329"/>
      <c r="AO329"/>
      <c r="AP329"/>
      <c r="AQ329"/>
      <c r="AR329"/>
      <c r="AS329"/>
      <c r="AT329"/>
      <c r="AU329"/>
      <c r="AV329"/>
      <c r="AW329"/>
      <c r="AX329"/>
      <c r="AY329"/>
      <c r="AZ329"/>
      <c r="BA329"/>
      <c r="BB329"/>
      <c r="BC329"/>
      <c r="BD329"/>
      <c r="BE329"/>
      <c r="BF329"/>
      <c r="BG329"/>
      <c r="BH329"/>
      <c r="BI329"/>
      <c r="BJ329"/>
      <c r="BK329"/>
      <c r="BL329"/>
      <c r="BM329"/>
      <c r="BN329"/>
      <c r="BO329"/>
      <c r="BP329"/>
      <c r="BQ329"/>
      <c r="BR329"/>
      <c r="BS329"/>
      <c r="BT329"/>
      <c r="BU329"/>
      <c r="BV329"/>
      <c r="BW329"/>
      <c r="BX329"/>
      <c r="BY329"/>
      <c r="BZ329"/>
      <c r="CA329"/>
      <c r="CB329"/>
      <c r="CC329"/>
    </row>
    <row r="330" spans="1:81" x14ac:dyDescent="0.25">
      <c r="A330"/>
      <c r="B330"/>
      <c r="C330"/>
      <c r="D330"/>
      <c r="E330"/>
      <c r="F330"/>
      <c r="G330"/>
      <c r="H330"/>
      <c r="I330"/>
      <c r="J330"/>
      <c r="K330"/>
      <c r="L330"/>
      <c r="M330"/>
      <c r="N330"/>
      <c r="O330"/>
      <c r="P330"/>
      <c r="Q330"/>
      <c r="R330"/>
      <c r="S330"/>
      <c r="T330"/>
      <c r="U330"/>
      <c r="V330"/>
      <c r="W330"/>
      <c r="X330"/>
      <c r="Y330"/>
      <c r="Z330"/>
      <c r="AA330"/>
      <c r="AB330"/>
      <c r="AC330"/>
      <c r="AD330"/>
      <c r="AE330"/>
      <c r="AF330"/>
      <c r="AG330"/>
      <c r="AH330"/>
      <c r="AI330"/>
      <c r="AJ330"/>
      <c r="AK330"/>
      <c r="AL330"/>
      <c r="AM330"/>
      <c r="AN330"/>
      <c r="AO330"/>
      <c r="AP330"/>
      <c r="AQ330"/>
      <c r="AR330"/>
      <c r="AS330"/>
      <c r="AT330"/>
      <c r="AU330"/>
      <c r="AV330"/>
      <c r="AW330"/>
      <c r="AX330"/>
      <c r="AY330"/>
      <c r="AZ330"/>
      <c r="BA330"/>
      <c r="BB330"/>
      <c r="BC330"/>
      <c r="BD330"/>
      <c r="BE330"/>
      <c r="BF330"/>
      <c r="BG330"/>
      <c r="BH330"/>
      <c r="BI330"/>
      <c r="BJ330"/>
      <c r="BK330"/>
      <c r="BL330"/>
      <c r="BM330"/>
      <c r="BN330"/>
      <c r="BO330"/>
      <c r="BP330"/>
      <c r="BQ330"/>
      <c r="BR330"/>
      <c r="BS330"/>
      <c r="BT330"/>
      <c r="BU330"/>
      <c r="BV330"/>
      <c r="BW330"/>
      <c r="BX330"/>
      <c r="BY330"/>
      <c r="BZ330"/>
      <c r="CA330"/>
      <c r="CB330"/>
      <c r="CC330"/>
    </row>
    <row r="331" spans="1:81" x14ac:dyDescent="0.25">
      <c r="A331"/>
      <c r="B331"/>
      <c r="C331"/>
      <c r="D331"/>
      <c r="E331"/>
      <c r="F331"/>
      <c r="G331"/>
      <c r="H331"/>
      <c r="I331"/>
      <c r="J331"/>
      <c r="K331"/>
      <c r="L331"/>
      <c r="M331"/>
      <c r="N331"/>
      <c r="O331"/>
      <c r="P331"/>
      <c r="Q331"/>
      <c r="R331"/>
      <c r="S331"/>
      <c r="T331"/>
      <c r="U331"/>
      <c r="V331"/>
      <c r="W331"/>
      <c r="X331"/>
      <c r="Y331"/>
      <c r="Z331"/>
      <c r="AA331"/>
      <c r="AB331"/>
      <c r="AC331"/>
      <c r="AD331"/>
      <c r="AE331"/>
      <c r="AF331"/>
      <c r="AG331"/>
      <c r="AH331"/>
      <c r="AI331"/>
      <c r="AJ331"/>
      <c r="AK331"/>
      <c r="AL331"/>
      <c r="AM331"/>
      <c r="AN331"/>
      <c r="AO331"/>
      <c r="AP331"/>
      <c r="AQ331"/>
      <c r="AR331"/>
      <c r="AS331"/>
      <c r="AT331"/>
      <c r="AU331"/>
      <c r="AV331"/>
      <c r="AW331"/>
      <c r="AX331"/>
      <c r="AY331"/>
      <c r="AZ331"/>
      <c r="BA331"/>
      <c r="BB331"/>
      <c r="BC331"/>
      <c r="BD331"/>
      <c r="BE331"/>
      <c r="BF331"/>
      <c r="BG331"/>
      <c r="BH331"/>
      <c r="BI331"/>
      <c r="BJ331"/>
      <c r="BK331"/>
      <c r="BL331"/>
      <c r="BM331"/>
      <c r="BN331"/>
      <c r="BO331"/>
      <c r="BP331"/>
      <c r="BQ331"/>
      <c r="BR331"/>
      <c r="BS331"/>
      <c r="BT331"/>
      <c r="BU331"/>
      <c r="BV331"/>
      <c r="BW331"/>
      <c r="BX331"/>
      <c r="BY331"/>
      <c r="BZ331"/>
      <c r="CA331"/>
      <c r="CB331"/>
      <c r="CC331"/>
    </row>
    <row r="332" spans="1:81" x14ac:dyDescent="0.25">
      <c r="A332"/>
      <c r="B332"/>
      <c r="C332"/>
      <c r="D332"/>
      <c r="E332"/>
      <c r="F332"/>
      <c r="G332"/>
      <c r="H332"/>
      <c r="I332"/>
      <c r="J332"/>
      <c r="K332"/>
      <c r="L332"/>
      <c r="M332"/>
      <c r="N332"/>
      <c r="O332"/>
      <c r="P332"/>
      <c r="Q332"/>
      <c r="R332"/>
      <c r="S332"/>
      <c r="T332"/>
      <c r="U332"/>
      <c r="V332"/>
      <c r="W332"/>
      <c r="X332"/>
      <c r="Y332"/>
      <c r="Z332"/>
      <c r="AA332"/>
      <c r="AB332"/>
      <c r="AC332"/>
      <c r="AD332"/>
      <c r="AE332"/>
      <c r="AF332"/>
      <c r="AG332"/>
      <c r="AH332"/>
      <c r="AI332"/>
      <c r="AJ332"/>
      <c r="AK332"/>
      <c r="AL332"/>
      <c r="AM332"/>
      <c r="AN332"/>
      <c r="AO332"/>
      <c r="AP332"/>
      <c r="AQ332"/>
      <c r="AR332"/>
      <c r="AS332"/>
      <c r="AT332"/>
      <c r="AU332"/>
      <c r="AV332"/>
      <c r="AW332"/>
      <c r="AX332"/>
      <c r="AY332"/>
      <c r="AZ332"/>
      <c r="BA332"/>
      <c r="BB332"/>
      <c r="BC332"/>
      <c r="BD332"/>
      <c r="BE332"/>
      <c r="BF332"/>
      <c r="BG332"/>
      <c r="BH332"/>
      <c r="BI332"/>
      <c r="BJ332"/>
      <c r="BK332"/>
      <c r="BL332"/>
      <c r="BM332"/>
      <c r="BN332"/>
      <c r="BO332"/>
      <c r="BP332"/>
      <c r="BQ332"/>
      <c r="BR332"/>
      <c r="BS332"/>
      <c r="BT332"/>
      <c r="BU332"/>
      <c r="BV332"/>
      <c r="BW332"/>
      <c r="BX332"/>
      <c r="BY332"/>
      <c r="BZ332"/>
      <c r="CA332"/>
      <c r="CB332"/>
      <c r="CC332"/>
    </row>
    <row r="333" spans="1:81" x14ac:dyDescent="0.25">
      <c r="A333"/>
      <c r="B333"/>
      <c r="C333"/>
      <c r="D333"/>
      <c r="E333"/>
      <c r="F333"/>
      <c r="G333"/>
      <c r="H333"/>
      <c r="I333"/>
      <c r="J333"/>
      <c r="K333"/>
      <c r="L333"/>
      <c r="M333"/>
      <c r="N333"/>
      <c r="O333"/>
      <c r="P333"/>
      <c r="Q333"/>
      <c r="R333"/>
      <c r="S333"/>
      <c r="T333"/>
      <c r="U333"/>
      <c r="V333"/>
      <c r="W333"/>
      <c r="X333"/>
      <c r="Y333"/>
      <c r="Z333"/>
      <c r="AA333"/>
      <c r="AB333"/>
      <c r="AC333"/>
      <c r="AD333"/>
      <c r="AE333"/>
      <c r="AF333"/>
      <c r="AG333"/>
      <c r="AH333"/>
      <c r="AI333"/>
      <c r="AJ333"/>
      <c r="AK333"/>
      <c r="AL333"/>
      <c r="AM333"/>
      <c r="AN333"/>
      <c r="AO333"/>
      <c r="AP333"/>
      <c r="AQ333"/>
      <c r="AR333"/>
      <c r="AS333"/>
      <c r="AT333"/>
      <c r="AU333"/>
      <c r="AV333"/>
      <c r="AW333"/>
      <c r="AX333"/>
      <c r="AY333"/>
      <c r="AZ333"/>
      <c r="BA333"/>
      <c r="BB333"/>
      <c r="BC333"/>
      <c r="BD333"/>
      <c r="BE333"/>
      <c r="BF333"/>
      <c r="BG333"/>
      <c r="BH333"/>
      <c r="BI333"/>
      <c r="BJ333"/>
      <c r="BK333"/>
      <c r="BL333"/>
      <c r="BM333"/>
      <c r="BN333"/>
      <c r="BO333"/>
      <c r="BP333"/>
      <c r="BQ333"/>
      <c r="BR333"/>
      <c r="BS333"/>
      <c r="BT333"/>
      <c r="BU333"/>
      <c r="BV333"/>
      <c r="BW333"/>
      <c r="BX333"/>
      <c r="BY333"/>
      <c r="BZ333"/>
      <c r="CA333"/>
      <c r="CB333"/>
      <c r="CC333"/>
    </row>
    <row r="334" spans="1:81" x14ac:dyDescent="0.25">
      <c r="A334"/>
      <c r="B334"/>
      <c r="C334"/>
      <c r="D334"/>
      <c r="E334"/>
      <c r="F334"/>
      <c r="G334"/>
      <c r="H334"/>
      <c r="I334"/>
      <c r="J334"/>
      <c r="K334"/>
      <c r="L334"/>
      <c r="M334"/>
      <c r="N334"/>
      <c r="O334"/>
      <c r="P334"/>
      <c r="Q334"/>
      <c r="R334"/>
      <c r="S334"/>
      <c r="T334"/>
      <c r="U334"/>
      <c r="V334"/>
      <c r="W334"/>
      <c r="X334"/>
      <c r="Y334"/>
      <c r="Z334"/>
      <c r="AA334"/>
      <c r="AB334"/>
      <c r="AC334"/>
      <c r="AD334"/>
      <c r="AE334"/>
      <c r="AF334"/>
      <c r="AG334"/>
      <c r="AH334"/>
      <c r="AI334"/>
      <c r="AJ334"/>
      <c r="AK334"/>
      <c r="AL334"/>
      <c r="AM334"/>
      <c r="AN334"/>
      <c r="AO334"/>
      <c r="AP334"/>
      <c r="AQ334"/>
      <c r="AR334"/>
      <c r="AS334"/>
      <c r="AT334"/>
      <c r="AU334"/>
      <c r="AV334"/>
      <c r="AW334"/>
      <c r="AX334"/>
      <c r="AY334"/>
      <c r="AZ334"/>
      <c r="BA334"/>
      <c r="BB334"/>
      <c r="BC334"/>
      <c r="BD334"/>
      <c r="BE334"/>
      <c r="BF334"/>
      <c r="BG334"/>
      <c r="BH334"/>
      <c r="BI334"/>
      <c r="BJ334"/>
      <c r="BK334"/>
      <c r="BL334"/>
      <c r="BM334"/>
      <c r="BN334"/>
      <c r="BO334"/>
      <c r="BP334"/>
      <c r="BQ334"/>
      <c r="BR334"/>
      <c r="BS334"/>
      <c r="BT334"/>
      <c r="BU334"/>
      <c r="BV334"/>
      <c r="BW334"/>
      <c r="BX334"/>
      <c r="BY334"/>
      <c r="BZ334"/>
      <c r="CA334"/>
      <c r="CB334"/>
      <c r="CC334"/>
    </row>
    <row r="335" spans="1:81" x14ac:dyDescent="0.25">
      <c r="A335"/>
      <c r="B335"/>
      <c r="C335"/>
      <c r="D335"/>
      <c r="E335"/>
      <c r="F335"/>
      <c r="G335"/>
      <c r="H335"/>
      <c r="I335"/>
      <c r="J335"/>
      <c r="K335"/>
      <c r="L335"/>
      <c r="M335"/>
      <c r="N335"/>
      <c r="O335"/>
      <c r="P335"/>
      <c r="Q335"/>
      <c r="R335"/>
      <c r="S335"/>
      <c r="T335"/>
      <c r="U335"/>
      <c r="V335"/>
      <c r="W335"/>
      <c r="X335"/>
      <c r="Y335"/>
      <c r="Z335"/>
      <c r="AA335"/>
      <c r="AB335"/>
      <c r="AC335"/>
      <c r="AD335"/>
      <c r="AE335"/>
      <c r="AF335"/>
      <c r="AG335"/>
      <c r="AH335"/>
      <c r="AI335"/>
      <c r="AJ335"/>
      <c r="AK335"/>
      <c r="AL335"/>
      <c r="AM335"/>
      <c r="AN335"/>
      <c r="AO335"/>
      <c r="AP335"/>
      <c r="AQ335"/>
      <c r="AR335"/>
      <c r="AS335"/>
      <c r="AT335"/>
      <c r="AU335"/>
      <c r="AV335"/>
      <c r="AW335"/>
      <c r="AX335"/>
      <c r="AY335"/>
      <c r="AZ335"/>
      <c r="BA335"/>
      <c r="BB335"/>
      <c r="BC335"/>
      <c r="BD335"/>
      <c r="BE335"/>
      <c r="BF335"/>
      <c r="BG335"/>
      <c r="BH335"/>
      <c r="BI335"/>
      <c r="BJ335"/>
      <c r="BK335"/>
      <c r="BL335"/>
      <c r="BM335"/>
      <c r="BN335"/>
      <c r="BO335"/>
      <c r="BP335"/>
      <c r="BQ335"/>
      <c r="BR335"/>
      <c r="BS335"/>
      <c r="BT335"/>
      <c r="BU335"/>
      <c r="BV335"/>
      <c r="BW335"/>
      <c r="BX335"/>
      <c r="BY335"/>
      <c r="BZ335"/>
      <c r="CA335"/>
      <c r="CB335"/>
      <c r="CC335"/>
    </row>
    <row r="336" spans="1:81" x14ac:dyDescent="0.25">
      <c r="A336"/>
      <c r="B336"/>
      <c r="C336"/>
      <c r="D336"/>
      <c r="E336"/>
      <c r="F336"/>
      <c r="G336"/>
      <c r="H336"/>
      <c r="I336"/>
      <c r="J336"/>
      <c r="K336"/>
      <c r="L336"/>
      <c r="M336"/>
      <c r="N336"/>
      <c r="O336"/>
      <c r="P336"/>
      <c r="Q336"/>
      <c r="R336"/>
      <c r="S336"/>
      <c r="T336"/>
      <c r="U336"/>
      <c r="V336"/>
      <c r="W336"/>
      <c r="X336"/>
      <c r="Y336"/>
      <c r="Z336"/>
      <c r="AA336"/>
      <c r="AB336"/>
      <c r="AC336"/>
      <c r="AD336"/>
      <c r="AE336"/>
      <c r="AF336"/>
      <c r="AG336"/>
      <c r="AH336"/>
      <c r="AI336"/>
      <c r="AJ336"/>
      <c r="AK336"/>
      <c r="AL336"/>
      <c r="AM336"/>
      <c r="AN336"/>
      <c r="AO336"/>
      <c r="AP336"/>
      <c r="AQ336"/>
      <c r="AR336"/>
      <c r="AS336"/>
      <c r="AT336"/>
      <c r="AU336"/>
      <c r="AV336"/>
      <c r="AW336"/>
      <c r="AX336"/>
      <c r="AY336"/>
      <c r="AZ336"/>
      <c r="BA336"/>
      <c r="BB336"/>
      <c r="BC336"/>
      <c r="BD336"/>
      <c r="BE336"/>
      <c r="BF336"/>
      <c r="BG336"/>
      <c r="BH336"/>
      <c r="BI336"/>
      <c r="BJ336"/>
      <c r="BK336"/>
      <c r="BL336"/>
      <c r="BM336"/>
      <c r="BN336"/>
      <c r="BO336"/>
      <c r="BP336"/>
      <c r="BQ336"/>
      <c r="BR336"/>
      <c r="BS336"/>
      <c r="BT336"/>
      <c r="BU336"/>
      <c r="BV336"/>
      <c r="BW336"/>
      <c r="BX336"/>
      <c r="BY336"/>
      <c r="BZ336"/>
      <c r="CA336"/>
      <c r="CB336"/>
      <c r="CC336"/>
    </row>
    <row r="337" spans="1:81" x14ac:dyDescent="0.25">
      <c r="A337"/>
      <c r="B337"/>
      <c r="C337"/>
      <c r="D337"/>
      <c r="E337"/>
      <c r="F337"/>
      <c r="G337"/>
      <c r="H337"/>
      <c r="I337"/>
      <c r="J337"/>
      <c r="K337"/>
      <c r="L337"/>
      <c r="M337"/>
      <c r="N337"/>
      <c r="O337"/>
      <c r="P337"/>
      <c r="Q337"/>
      <c r="R337"/>
      <c r="S337"/>
      <c r="T337"/>
      <c r="U337"/>
      <c r="V337"/>
      <c r="W337"/>
      <c r="X337"/>
      <c r="Y337"/>
      <c r="Z337"/>
      <c r="AA337"/>
      <c r="AB337"/>
      <c r="AC337"/>
      <c r="AD337"/>
      <c r="AE337"/>
      <c r="AF337"/>
      <c r="AG337"/>
      <c r="AH337"/>
      <c r="AI337"/>
      <c r="AJ337"/>
      <c r="AK337"/>
      <c r="AL337"/>
      <c r="AM337"/>
      <c r="AN337"/>
      <c r="AO337"/>
      <c r="AP337"/>
      <c r="AQ337"/>
      <c r="AR337"/>
      <c r="AS337"/>
      <c r="AT337"/>
      <c r="AU337"/>
      <c r="AV337"/>
      <c r="AW337"/>
      <c r="AX337"/>
      <c r="AY337"/>
      <c r="AZ337"/>
      <c r="BA337"/>
      <c r="BB337"/>
      <c r="BC337"/>
      <c r="BD337"/>
      <c r="BE337"/>
      <c r="BF337"/>
      <c r="BG337"/>
      <c r="BH337"/>
      <c r="BI337"/>
      <c r="BJ337"/>
      <c r="BK337"/>
      <c r="BL337"/>
      <c r="BM337"/>
      <c r="BN337"/>
      <c r="BO337"/>
      <c r="BP337"/>
      <c r="BQ337"/>
      <c r="BR337"/>
      <c r="BS337"/>
      <c r="BT337"/>
      <c r="BU337"/>
      <c r="BV337"/>
      <c r="BW337"/>
      <c r="BX337"/>
      <c r="BY337"/>
      <c r="BZ337"/>
      <c r="CA337"/>
      <c r="CB337"/>
      <c r="CC337"/>
    </row>
    <row r="338" spans="1:81" x14ac:dyDescent="0.25">
      <c r="A338"/>
      <c r="B338"/>
      <c r="C338"/>
      <c r="D338"/>
      <c r="E338"/>
      <c r="F338"/>
      <c r="G338"/>
      <c r="H338"/>
      <c r="I338"/>
      <c r="J338"/>
      <c r="K338"/>
      <c r="L338"/>
      <c r="M338"/>
      <c r="N338"/>
      <c r="O338"/>
      <c r="P338"/>
      <c r="Q338"/>
      <c r="R338"/>
      <c r="S338"/>
      <c r="T338"/>
      <c r="U338"/>
      <c r="V338"/>
      <c r="W338"/>
      <c r="X338"/>
      <c r="Y338"/>
      <c r="Z338"/>
      <c r="AA338"/>
      <c r="AB338"/>
      <c r="AC338"/>
      <c r="AD338"/>
      <c r="AE338"/>
      <c r="AF338"/>
      <c r="AG338"/>
      <c r="AH338"/>
      <c r="AI338"/>
      <c r="AJ338"/>
      <c r="AK338"/>
      <c r="AL338"/>
      <c r="AM338"/>
      <c r="AN338"/>
      <c r="AO338"/>
      <c r="AP338"/>
      <c r="AQ338"/>
      <c r="AR338"/>
      <c r="AS338"/>
      <c r="AT338"/>
      <c r="AU338"/>
      <c r="AV338"/>
      <c r="AW338"/>
      <c r="AX338"/>
      <c r="AY338"/>
      <c r="AZ338"/>
      <c r="BA338"/>
      <c r="BB338"/>
      <c r="BC338"/>
      <c r="BD338"/>
      <c r="BE338"/>
      <c r="BF338"/>
      <c r="BG338"/>
      <c r="BH338"/>
      <c r="BI338"/>
      <c r="BJ338"/>
      <c r="BK338"/>
      <c r="BL338"/>
      <c r="BM338"/>
      <c r="BN338"/>
      <c r="BO338"/>
      <c r="BP338"/>
      <c r="BQ338"/>
      <c r="BR338"/>
      <c r="BS338"/>
      <c r="BT338"/>
      <c r="BU338"/>
      <c r="BV338"/>
      <c r="BW338"/>
      <c r="BX338"/>
      <c r="BY338"/>
      <c r="BZ338"/>
      <c r="CA338"/>
      <c r="CB338"/>
      <c r="CC338"/>
    </row>
    <row r="339" spans="1:81" x14ac:dyDescent="0.25">
      <c r="A339"/>
      <c r="B339"/>
      <c r="C339"/>
      <c r="D339"/>
      <c r="E339"/>
      <c r="F339"/>
      <c r="G339"/>
      <c r="H339"/>
      <c r="I339"/>
      <c r="J339"/>
      <c r="K339"/>
      <c r="L339"/>
      <c r="M339"/>
      <c r="N339"/>
      <c r="O339"/>
      <c r="P339"/>
      <c r="Q339"/>
      <c r="R339"/>
      <c r="S339"/>
      <c r="T339"/>
      <c r="U339"/>
      <c r="V339"/>
      <c r="W339"/>
      <c r="X339"/>
      <c r="Y339"/>
      <c r="Z339"/>
      <c r="AA339"/>
      <c r="AB339"/>
      <c r="AC339"/>
      <c r="AD339"/>
      <c r="AE339"/>
      <c r="AF339"/>
      <c r="AG339"/>
      <c r="AH339"/>
      <c r="AI339"/>
      <c r="AJ339"/>
      <c r="AK339"/>
      <c r="AL339"/>
      <c r="AM339"/>
      <c r="AN339"/>
      <c r="AO339"/>
      <c r="AP339"/>
      <c r="AQ339"/>
      <c r="AR339"/>
      <c r="AS339"/>
      <c r="AT339"/>
      <c r="AU339"/>
      <c r="AV339"/>
      <c r="AW339"/>
      <c r="AX339"/>
      <c r="AY339"/>
      <c r="AZ339"/>
      <c r="BA339"/>
      <c r="BB339"/>
      <c r="BC339"/>
      <c r="BD339"/>
      <c r="BE339"/>
      <c r="BF339"/>
      <c r="BG339"/>
      <c r="BH339"/>
      <c r="BI339"/>
      <c r="BJ339"/>
      <c r="BK339"/>
      <c r="BL339"/>
      <c r="BM339"/>
      <c r="BN339"/>
      <c r="BO339"/>
      <c r="BP339"/>
      <c r="BQ339"/>
      <c r="BR339"/>
      <c r="BS339"/>
      <c r="BT339"/>
      <c r="BU339"/>
      <c r="BV339"/>
      <c r="BW339"/>
      <c r="BX339"/>
      <c r="BY339"/>
      <c r="BZ339"/>
      <c r="CA339"/>
      <c r="CB339"/>
      <c r="CC339"/>
    </row>
    <row r="340" spans="1:81" x14ac:dyDescent="0.25">
      <c r="A340"/>
      <c r="B340"/>
      <c r="C340"/>
      <c r="D340"/>
      <c r="E340"/>
      <c r="F340"/>
      <c r="G340"/>
      <c r="H340"/>
      <c r="I340"/>
      <c r="J340"/>
      <c r="K340"/>
      <c r="L340"/>
      <c r="M340"/>
      <c r="N340"/>
      <c r="O340"/>
      <c r="P340"/>
      <c r="Q340"/>
      <c r="R340"/>
      <c r="S340"/>
      <c r="T340"/>
      <c r="U340"/>
      <c r="V340"/>
      <c r="W340"/>
      <c r="X340"/>
      <c r="Y340"/>
      <c r="Z340"/>
      <c r="AA340"/>
      <c r="AB340"/>
      <c r="AC340"/>
      <c r="AD340"/>
      <c r="AE340"/>
      <c r="AF340"/>
      <c r="AG340"/>
      <c r="AH340"/>
      <c r="AI340"/>
      <c r="AJ340"/>
      <c r="AK340"/>
      <c r="AL340"/>
      <c r="AM340"/>
      <c r="AN340"/>
      <c r="AO340"/>
      <c r="AP340"/>
      <c r="AQ340"/>
      <c r="AR340"/>
      <c r="AS340"/>
      <c r="AT340"/>
      <c r="AU340"/>
      <c r="AV340"/>
      <c r="AW340"/>
      <c r="AX340"/>
      <c r="AY340"/>
      <c r="AZ340"/>
      <c r="BA340"/>
      <c r="BB340"/>
      <c r="BC340"/>
      <c r="BD340"/>
      <c r="BE340"/>
      <c r="BF340"/>
      <c r="BG340"/>
      <c r="BH340"/>
      <c r="BI340"/>
      <c r="BJ340"/>
      <c r="BK340"/>
      <c r="BL340"/>
      <c r="BM340"/>
      <c r="BN340"/>
      <c r="BO340"/>
      <c r="BP340"/>
      <c r="BQ340"/>
      <c r="BR340"/>
      <c r="BS340"/>
      <c r="BT340"/>
      <c r="BU340"/>
      <c r="BV340"/>
      <c r="BW340"/>
      <c r="BX340"/>
      <c r="BY340"/>
      <c r="BZ340"/>
      <c r="CA340"/>
      <c r="CB340"/>
      <c r="CC340"/>
    </row>
    <row r="341" spans="1:81" x14ac:dyDescent="0.25">
      <c r="A341"/>
      <c r="B341"/>
      <c r="C341"/>
      <c r="D341"/>
      <c r="E341"/>
      <c r="F341"/>
      <c r="G341"/>
      <c r="H341"/>
      <c r="I341"/>
      <c r="J341"/>
      <c r="K341"/>
      <c r="L341"/>
      <c r="M341"/>
      <c r="N341"/>
      <c r="O341"/>
      <c r="P341"/>
      <c r="Q341"/>
      <c r="R341"/>
      <c r="S341"/>
      <c r="T341"/>
      <c r="U341"/>
      <c r="V341"/>
      <c r="W341"/>
      <c r="X341"/>
      <c r="Y341"/>
      <c r="Z341"/>
      <c r="AA341"/>
      <c r="AB341"/>
      <c r="AC341"/>
      <c r="AD341"/>
      <c r="AE341"/>
      <c r="AF341"/>
      <c r="AG341"/>
      <c r="AH341"/>
      <c r="AI341"/>
      <c r="AJ341"/>
      <c r="AK341"/>
      <c r="AL341"/>
      <c r="AM341"/>
      <c r="AN341"/>
      <c r="AO341"/>
      <c r="AP341"/>
      <c r="AQ341"/>
      <c r="AR341"/>
      <c r="AS341"/>
      <c r="AT341"/>
      <c r="AU341"/>
      <c r="AV341"/>
      <c r="AW341"/>
      <c r="AX341"/>
      <c r="AY341"/>
      <c r="AZ341"/>
      <c r="BA341"/>
      <c r="BB341"/>
      <c r="BC341"/>
      <c r="BD341"/>
      <c r="BE341"/>
      <c r="BF341"/>
      <c r="BG341"/>
      <c r="BH341"/>
      <c r="BI341"/>
      <c r="BJ341"/>
      <c r="BK341"/>
      <c r="BL341"/>
      <c r="BM341"/>
      <c r="BN341"/>
      <c r="BO341"/>
      <c r="BP341"/>
      <c r="BQ341"/>
      <c r="BR341"/>
      <c r="BS341"/>
      <c r="BT341"/>
      <c r="BU341"/>
      <c r="BV341"/>
      <c r="BW341"/>
      <c r="BX341"/>
      <c r="BY341"/>
      <c r="BZ341"/>
      <c r="CA341"/>
      <c r="CB341"/>
      <c r="CC341"/>
    </row>
    <row r="342" spans="1:81" x14ac:dyDescent="0.25">
      <c r="A342"/>
      <c r="B342"/>
      <c r="C342"/>
      <c r="D342"/>
      <c r="E342"/>
      <c r="F342"/>
      <c r="G342"/>
      <c r="H342"/>
      <c r="I342"/>
      <c r="J342"/>
      <c r="K342"/>
      <c r="L342"/>
      <c r="M342"/>
      <c r="N342"/>
      <c r="O342"/>
      <c r="P342"/>
      <c r="Q342"/>
      <c r="R342"/>
      <c r="S342"/>
      <c r="T342"/>
      <c r="U342"/>
      <c r="V342"/>
      <c r="W342"/>
      <c r="X342"/>
      <c r="Y342"/>
      <c r="Z342"/>
      <c r="AA342"/>
      <c r="AB342"/>
      <c r="AC342"/>
      <c r="AD342"/>
      <c r="AE342"/>
      <c r="AF342"/>
      <c r="AG342"/>
      <c r="AH342"/>
      <c r="AI342"/>
      <c r="AJ342"/>
      <c r="AK342"/>
      <c r="AL342"/>
      <c r="AM342"/>
      <c r="AN342"/>
      <c r="AO342"/>
      <c r="AP342"/>
      <c r="AQ342"/>
      <c r="AR342"/>
      <c r="AS342"/>
      <c r="AT342"/>
      <c r="AU342"/>
      <c r="AV342"/>
      <c r="AW342"/>
      <c r="AX342"/>
      <c r="AY342"/>
      <c r="AZ342"/>
      <c r="BA342"/>
      <c r="BB342"/>
      <c r="BC342"/>
      <c r="BD342"/>
      <c r="BE342"/>
      <c r="BF342"/>
      <c r="BG342"/>
      <c r="BH342"/>
      <c r="BI342"/>
      <c r="BJ342"/>
      <c r="BK342"/>
      <c r="BL342"/>
      <c r="BM342"/>
      <c r="BN342"/>
      <c r="BO342"/>
      <c r="BP342"/>
      <c r="BQ342"/>
      <c r="BR342"/>
      <c r="BS342"/>
      <c r="BT342"/>
      <c r="BU342"/>
      <c r="BV342"/>
      <c r="BW342"/>
      <c r="BX342"/>
      <c r="BY342"/>
      <c r="BZ342"/>
      <c r="CA342"/>
      <c r="CB342"/>
      <c r="CC342"/>
    </row>
    <row r="343" spans="1:81" x14ac:dyDescent="0.25">
      <c r="A343"/>
      <c r="B343"/>
      <c r="C343"/>
      <c r="D343"/>
      <c r="E343"/>
      <c r="F343"/>
      <c r="G343"/>
      <c r="H343"/>
      <c r="I343"/>
      <c r="J343"/>
      <c r="K343"/>
      <c r="L343"/>
      <c r="M343"/>
      <c r="N343"/>
      <c r="O343"/>
      <c r="P343"/>
      <c r="Q343"/>
      <c r="R343"/>
      <c r="S343"/>
      <c r="T343"/>
      <c r="U343"/>
      <c r="V343"/>
      <c r="W343"/>
      <c r="X343"/>
      <c r="Y343"/>
      <c r="Z343"/>
      <c r="AA343"/>
      <c r="AB343"/>
      <c r="AC343"/>
      <c r="AD343"/>
      <c r="AE343"/>
      <c r="AF343"/>
      <c r="AG343"/>
      <c r="AH343"/>
      <c r="AI343"/>
      <c r="AJ343"/>
      <c r="AK343"/>
      <c r="AL343"/>
      <c r="AM343"/>
      <c r="AN343"/>
      <c r="AO343"/>
      <c r="AP343"/>
      <c r="AQ343"/>
      <c r="AR343"/>
      <c r="AS343"/>
      <c r="AT343"/>
      <c r="AU343"/>
      <c r="AV343"/>
      <c r="AW343"/>
      <c r="AX343"/>
      <c r="AY343"/>
      <c r="AZ343"/>
      <c r="BA343"/>
      <c r="BB343"/>
      <c r="BC343"/>
      <c r="BD343"/>
      <c r="BE343"/>
      <c r="BF343"/>
      <c r="BG343"/>
      <c r="BH343"/>
      <c r="BI343"/>
      <c r="BJ343"/>
      <c r="BK343"/>
      <c r="BL343"/>
      <c r="BM343"/>
      <c r="BN343"/>
      <c r="BO343"/>
      <c r="BP343"/>
      <c r="BQ343"/>
      <c r="BR343"/>
      <c r="BS343"/>
      <c r="BT343"/>
      <c r="BU343"/>
      <c r="BV343"/>
      <c r="BW343"/>
      <c r="BX343"/>
      <c r="BY343"/>
      <c r="BZ343"/>
      <c r="CA343"/>
      <c r="CB343"/>
      <c r="CC343"/>
    </row>
    <row r="344" spans="1:81" x14ac:dyDescent="0.25">
      <c r="A344"/>
      <c r="B344"/>
      <c r="C344"/>
      <c r="D344"/>
      <c r="E344"/>
      <c r="F344"/>
      <c r="G344"/>
      <c r="H344"/>
      <c r="I344"/>
      <c r="J344"/>
      <c r="K344"/>
      <c r="L344"/>
      <c r="M344"/>
      <c r="N344"/>
      <c r="O344"/>
      <c r="P344"/>
      <c r="Q344"/>
      <c r="R344"/>
      <c r="S344"/>
      <c r="T344"/>
      <c r="U344"/>
      <c r="V344"/>
      <c r="W344"/>
      <c r="X344"/>
      <c r="Y344"/>
      <c r="Z344"/>
      <c r="AA344"/>
      <c r="AB344"/>
      <c r="AC344"/>
      <c r="AD344"/>
      <c r="AE344"/>
      <c r="AF344"/>
      <c r="AG344"/>
      <c r="AH344"/>
      <c r="AI344"/>
      <c r="AJ344"/>
      <c r="AK344"/>
      <c r="AL344"/>
      <c r="AM344"/>
      <c r="AN344"/>
      <c r="AO344"/>
      <c r="AP344"/>
      <c r="AQ344"/>
      <c r="AR344"/>
      <c r="AS344"/>
      <c r="AT344"/>
      <c r="AU344"/>
      <c r="AV344"/>
      <c r="AW344"/>
      <c r="AX344"/>
      <c r="AY344"/>
      <c r="AZ344"/>
      <c r="BA344"/>
      <c r="BB344"/>
      <c r="BC344"/>
      <c r="BD344"/>
      <c r="BE344"/>
      <c r="BF344"/>
      <c r="BG344"/>
      <c r="BH344"/>
      <c r="BI344"/>
      <c r="BJ344"/>
      <c r="BK344"/>
      <c r="BL344"/>
      <c r="BM344"/>
      <c r="BN344"/>
      <c r="BO344"/>
      <c r="BP344"/>
      <c r="BQ344"/>
      <c r="BR344"/>
      <c r="BS344"/>
      <c r="BT344"/>
      <c r="BU344"/>
      <c r="BV344"/>
      <c r="BW344"/>
      <c r="BX344"/>
      <c r="BY344"/>
      <c r="BZ344"/>
      <c r="CA344"/>
      <c r="CB344"/>
      <c r="CC344"/>
    </row>
    <row r="345" spans="1:81" x14ac:dyDescent="0.25">
      <c r="A345"/>
      <c r="B345"/>
      <c r="C345"/>
      <c r="D345"/>
      <c r="E345"/>
      <c r="F345"/>
      <c r="G345"/>
      <c r="H345"/>
      <c r="I345"/>
      <c r="J345"/>
      <c r="K345"/>
      <c r="L345"/>
      <c r="M345"/>
      <c r="N345"/>
      <c r="O345"/>
      <c r="P345"/>
      <c r="Q345"/>
      <c r="R345"/>
      <c r="S345"/>
      <c r="T345"/>
      <c r="U345"/>
      <c r="V345"/>
      <c r="W345"/>
      <c r="X345"/>
      <c r="Y345"/>
      <c r="Z345"/>
      <c r="AA345"/>
      <c r="AB345"/>
      <c r="AC345"/>
      <c r="AD345"/>
      <c r="AE345"/>
      <c r="AF345"/>
      <c r="AG345"/>
      <c r="AH345"/>
      <c r="AI345"/>
      <c r="AJ345"/>
      <c r="AK345"/>
      <c r="AL345"/>
      <c r="AM345"/>
      <c r="AN345"/>
      <c r="AO345"/>
      <c r="AP345"/>
      <c r="AQ345"/>
      <c r="AR345"/>
      <c r="AS345"/>
      <c r="AT345"/>
      <c r="AU345"/>
      <c r="AV345"/>
      <c r="AW345"/>
      <c r="AX345"/>
      <c r="AY345"/>
      <c r="AZ345"/>
      <c r="BA345"/>
      <c r="BB345"/>
      <c r="BC345"/>
      <c r="BD345"/>
      <c r="BE345"/>
      <c r="BF345"/>
      <c r="BG345"/>
      <c r="BH345"/>
      <c r="BI345"/>
      <c r="BJ345"/>
      <c r="BK345"/>
      <c r="BL345"/>
      <c r="BM345"/>
      <c r="BN345"/>
      <c r="BO345"/>
      <c r="BP345"/>
      <c r="BQ345"/>
      <c r="BR345"/>
      <c r="BS345"/>
      <c r="BT345"/>
      <c r="BU345"/>
      <c r="BV345"/>
      <c r="BW345"/>
      <c r="BX345"/>
      <c r="BY345"/>
      <c r="BZ345"/>
      <c r="CA345"/>
      <c r="CB345"/>
      <c r="CC345"/>
    </row>
    <row r="346" spans="1:81" x14ac:dyDescent="0.25">
      <c r="A346"/>
      <c r="B346"/>
      <c r="C346"/>
      <c r="D346"/>
      <c r="E346"/>
      <c r="F346"/>
      <c r="G346"/>
      <c r="H346"/>
      <c r="I346"/>
      <c r="J346"/>
      <c r="K346"/>
      <c r="L346"/>
      <c r="M346"/>
      <c r="N346"/>
      <c r="O346"/>
      <c r="P346"/>
      <c r="Q346"/>
      <c r="R346"/>
      <c r="S346"/>
      <c r="T346"/>
      <c r="U346"/>
      <c r="V346"/>
      <c r="W346"/>
      <c r="X346"/>
      <c r="Y346"/>
      <c r="Z346"/>
      <c r="AA346"/>
      <c r="AB346"/>
      <c r="AC346"/>
      <c r="AD346"/>
      <c r="AE346"/>
      <c r="AF346"/>
      <c r="AG346"/>
      <c r="AH346"/>
      <c r="AI346"/>
      <c r="AJ346"/>
      <c r="AK346"/>
      <c r="AL346"/>
      <c r="AM346"/>
      <c r="AN346"/>
      <c r="AO346"/>
      <c r="AP346"/>
      <c r="AQ346"/>
      <c r="AR346"/>
      <c r="AS346"/>
      <c r="AT346"/>
      <c r="AU346"/>
      <c r="AV346"/>
      <c r="AW346"/>
      <c r="AX346"/>
      <c r="AY346"/>
      <c r="AZ346"/>
      <c r="BA346"/>
      <c r="BB346"/>
      <c r="BC346"/>
      <c r="BD346"/>
      <c r="BE346"/>
      <c r="BF346"/>
      <c r="BG346"/>
      <c r="BH346"/>
      <c r="BI346"/>
      <c r="BJ346"/>
      <c r="BK346"/>
      <c r="BL346"/>
      <c r="BM346"/>
      <c r="BN346"/>
      <c r="BO346"/>
      <c r="BP346"/>
      <c r="BQ346"/>
      <c r="BR346"/>
      <c r="BS346"/>
      <c r="BT346"/>
      <c r="BU346"/>
      <c r="BV346"/>
      <c r="BW346"/>
      <c r="BX346"/>
      <c r="BY346"/>
      <c r="BZ346"/>
      <c r="CA346"/>
      <c r="CB346"/>
      <c r="CC346"/>
    </row>
    <row r="347" spans="1:81" x14ac:dyDescent="0.25">
      <c r="A347"/>
      <c r="B347"/>
      <c r="C347"/>
      <c r="D347"/>
      <c r="E347"/>
      <c r="F347"/>
      <c r="G347"/>
      <c r="H347"/>
      <c r="I347"/>
      <c r="J347"/>
      <c r="K347"/>
      <c r="L347"/>
      <c r="M347"/>
      <c r="N347"/>
      <c r="O347"/>
      <c r="P347"/>
      <c r="Q347"/>
      <c r="R347"/>
      <c r="S347"/>
      <c r="T347"/>
      <c r="U347"/>
      <c r="V347"/>
      <c r="W347"/>
      <c r="X347"/>
      <c r="Y347"/>
      <c r="Z347"/>
      <c r="AA347"/>
      <c r="AB347"/>
      <c r="AC347"/>
      <c r="AD347"/>
      <c r="AE347"/>
      <c r="AF347"/>
      <c r="AG347"/>
      <c r="AH347"/>
      <c r="AI347"/>
      <c r="AJ347"/>
      <c r="AK347"/>
      <c r="AL347"/>
      <c r="AM347"/>
      <c r="AN347"/>
      <c r="AO347"/>
      <c r="AP347"/>
      <c r="AQ347"/>
      <c r="AR347"/>
      <c r="AS347"/>
      <c r="AT347"/>
      <c r="AU347"/>
      <c r="AV347"/>
      <c r="AW347"/>
      <c r="AX347"/>
      <c r="AY347"/>
      <c r="AZ347"/>
      <c r="BA347"/>
      <c r="BB347"/>
      <c r="BC347"/>
      <c r="BD347"/>
      <c r="BE347"/>
      <c r="BF347"/>
      <c r="BG347"/>
      <c r="BH347"/>
      <c r="BI347"/>
      <c r="BJ347"/>
      <c r="BK347"/>
      <c r="BL347"/>
      <c r="BM347"/>
      <c r="BN347"/>
      <c r="BO347"/>
      <c r="BP347"/>
      <c r="BQ347"/>
      <c r="BR347"/>
      <c r="BS347"/>
      <c r="BT347"/>
      <c r="BU347"/>
      <c r="BV347"/>
      <c r="BW347"/>
      <c r="BX347"/>
      <c r="BY347"/>
      <c r="BZ347"/>
      <c r="CA347"/>
      <c r="CB347"/>
      <c r="CC347"/>
    </row>
    <row r="348" spans="1:81" x14ac:dyDescent="0.25">
      <c r="A348"/>
      <c r="B348"/>
      <c r="C348"/>
      <c r="D348"/>
      <c r="E348"/>
      <c r="F348"/>
      <c r="G348"/>
      <c r="H348"/>
      <c r="I348"/>
      <c r="J348"/>
      <c r="K348"/>
      <c r="L348"/>
      <c r="M348"/>
      <c r="N348"/>
      <c r="O348"/>
      <c r="P348"/>
      <c r="Q348"/>
      <c r="R348"/>
      <c r="S348"/>
      <c r="T348"/>
      <c r="U348"/>
      <c r="V348"/>
      <c r="W348"/>
      <c r="X348"/>
      <c r="Y348"/>
      <c r="Z348"/>
      <c r="AA348"/>
      <c r="AB348"/>
      <c r="AC348"/>
      <c r="AD348"/>
      <c r="AE348"/>
      <c r="AF348"/>
      <c r="AG348"/>
      <c r="AH348"/>
      <c r="AI348"/>
      <c r="AJ348"/>
      <c r="AK348"/>
      <c r="AL348"/>
      <c r="AM348"/>
      <c r="AN348"/>
      <c r="AO348"/>
      <c r="AP348"/>
      <c r="AQ348"/>
      <c r="AR348"/>
      <c r="AS348"/>
      <c r="AT348"/>
      <c r="AU348"/>
      <c r="AV348"/>
      <c r="AW348"/>
      <c r="AX348"/>
      <c r="AY348"/>
      <c r="AZ348"/>
      <c r="BA348"/>
      <c r="BB348"/>
      <c r="BC348"/>
      <c r="BD348"/>
      <c r="BE348"/>
      <c r="BF348"/>
      <c r="BG348"/>
      <c r="BH348"/>
      <c r="BI348"/>
      <c r="BJ348"/>
      <c r="BK348"/>
      <c r="BL348"/>
      <c r="BM348"/>
      <c r="BN348"/>
      <c r="BO348"/>
      <c r="BP348"/>
      <c r="BQ348"/>
      <c r="BR348"/>
      <c r="BS348"/>
      <c r="BT348"/>
      <c r="BU348"/>
      <c r="BV348"/>
      <c r="BW348"/>
      <c r="BX348"/>
      <c r="BY348"/>
      <c r="BZ348"/>
      <c r="CA348"/>
      <c r="CB348"/>
      <c r="CC348"/>
    </row>
    <row r="349" spans="1:81" x14ac:dyDescent="0.25">
      <c r="A349"/>
      <c r="B349"/>
      <c r="C349"/>
      <c r="D349"/>
      <c r="E349"/>
      <c r="F349"/>
      <c r="G349"/>
      <c r="H349"/>
      <c r="I349"/>
      <c r="J349"/>
      <c r="K349"/>
      <c r="L349"/>
      <c r="M349"/>
      <c r="N349"/>
      <c r="O349"/>
      <c r="P349"/>
      <c r="Q349"/>
      <c r="R349"/>
      <c r="S349"/>
      <c r="T349"/>
      <c r="U349"/>
      <c r="V349"/>
      <c r="W349"/>
      <c r="X349"/>
      <c r="Y349"/>
      <c r="Z349"/>
      <c r="AA349"/>
      <c r="AB349"/>
      <c r="AC349"/>
      <c r="AD349"/>
      <c r="AE349"/>
      <c r="AF349"/>
      <c r="AG349"/>
      <c r="AH349"/>
      <c r="AI349"/>
      <c r="AJ349"/>
      <c r="AK349"/>
      <c r="AL349"/>
      <c r="AM349"/>
      <c r="AN349"/>
      <c r="AO349"/>
      <c r="AP349"/>
      <c r="AQ349"/>
      <c r="AR349"/>
      <c r="AS349"/>
      <c r="AT349"/>
      <c r="AU349"/>
      <c r="AV349"/>
      <c r="AW349"/>
      <c r="AX349"/>
      <c r="AY349"/>
      <c r="AZ349"/>
      <c r="BA349"/>
      <c r="BB349"/>
      <c r="BC349"/>
      <c r="BD349"/>
      <c r="BE349"/>
      <c r="BF349"/>
      <c r="BG349"/>
      <c r="BH349"/>
      <c r="BI349"/>
      <c r="BJ349"/>
      <c r="BK349"/>
      <c r="BL349"/>
      <c r="BM349"/>
      <c r="BN349"/>
      <c r="BO349"/>
      <c r="BP349"/>
      <c r="BQ349"/>
      <c r="BR349"/>
      <c r="BS349"/>
      <c r="BT349"/>
      <c r="BU349"/>
      <c r="BV349"/>
      <c r="BW349"/>
      <c r="BX349"/>
      <c r="BY349"/>
      <c r="BZ349"/>
      <c r="CA349"/>
      <c r="CB349"/>
      <c r="CC349"/>
    </row>
    <row r="350" spans="1:81" x14ac:dyDescent="0.25">
      <c r="A350"/>
      <c r="B350"/>
      <c r="C350"/>
      <c r="D350"/>
      <c r="E350"/>
      <c r="F350"/>
      <c r="G350"/>
      <c r="H350"/>
      <c r="I350"/>
      <c r="J350"/>
      <c r="K350"/>
      <c r="L350"/>
      <c r="M350"/>
      <c r="N350"/>
      <c r="O350"/>
      <c r="P350"/>
      <c r="Q350"/>
      <c r="R350"/>
      <c r="S350"/>
      <c r="T350"/>
      <c r="U350"/>
      <c r="V350"/>
      <c r="W350"/>
      <c r="X350"/>
      <c r="Y350"/>
      <c r="Z350"/>
      <c r="AA350"/>
      <c r="AB350"/>
      <c r="AC350"/>
      <c r="AD350"/>
      <c r="AE350"/>
      <c r="AF350"/>
      <c r="AG350"/>
      <c r="AH350"/>
      <c r="AI350"/>
      <c r="AJ350"/>
      <c r="AK350"/>
      <c r="AL350"/>
      <c r="AM350"/>
      <c r="AN350"/>
      <c r="AO350"/>
      <c r="AP350"/>
      <c r="AQ350"/>
      <c r="AR350"/>
      <c r="AS350"/>
      <c r="AT350"/>
      <c r="AU350"/>
      <c r="AV350"/>
      <c r="AW350"/>
      <c r="AX350"/>
      <c r="AY350"/>
      <c r="AZ350"/>
      <c r="BA350"/>
      <c r="BB350"/>
      <c r="BC350"/>
      <c r="BD350"/>
      <c r="BE350"/>
      <c r="BF350"/>
      <c r="BG350"/>
      <c r="BH350"/>
      <c r="BI350"/>
      <c r="BJ350"/>
      <c r="BK350"/>
      <c r="BL350"/>
      <c r="BM350"/>
      <c r="BN350"/>
      <c r="BO350"/>
      <c r="BP350"/>
      <c r="BQ350"/>
      <c r="BR350"/>
      <c r="BS350"/>
      <c r="BT350"/>
      <c r="BU350"/>
      <c r="BV350"/>
      <c r="BW350"/>
      <c r="BX350"/>
      <c r="BY350"/>
      <c r="BZ350"/>
      <c r="CA350"/>
      <c r="CB350"/>
      <c r="CC350"/>
    </row>
    <row r="351" spans="1:81" x14ac:dyDescent="0.25">
      <c r="A351"/>
      <c r="B351"/>
      <c r="C351"/>
      <c r="D351"/>
      <c r="E351"/>
      <c r="F351"/>
      <c r="G351"/>
      <c r="H351"/>
      <c r="I351"/>
      <c r="J351"/>
      <c r="K351"/>
      <c r="L351"/>
      <c r="M351"/>
      <c r="N351"/>
      <c r="O351"/>
      <c r="P351"/>
      <c r="Q351"/>
      <c r="R351"/>
      <c r="S351"/>
      <c r="T351"/>
      <c r="U351"/>
      <c r="V351"/>
      <c r="W351"/>
      <c r="X351"/>
      <c r="Y351"/>
      <c r="Z351"/>
      <c r="AA351"/>
      <c r="AB351"/>
      <c r="AC351"/>
      <c r="AD351"/>
      <c r="AE351"/>
      <c r="AF351"/>
      <c r="AG351"/>
      <c r="AH351"/>
      <c r="AI351"/>
      <c r="AJ351"/>
      <c r="AK351"/>
      <c r="AL351"/>
      <c r="AM351"/>
      <c r="AN351"/>
      <c r="AO351"/>
      <c r="AP351"/>
      <c r="AQ351"/>
      <c r="AR351"/>
      <c r="AS351"/>
      <c r="AT351"/>
      <c r="AU351"/>
      <c r="AV351"/>
      <c r="AW351"/>
      <c r="AX351"/>
      <c r="AY351"/>
      <c r="AZ351"/>
      <c r="BA351"/>
      <c r="BB351"/>
      <c r="BC351"/>
      <c r="BD351"/>
      <c r="BE351"/>
      <c r="BF351"/>
      <c r="BG351"/>
      <c r="BH351"/>
      <c r="BI351"/>
      <c r="BJ351"/>
      <c r="BK351"/>
      <c r="BL351"/>
      <c r="BM351"/>
      <c r="BN351"/>
      <c r="BO351"/>
      <c r="BP351"/>
      <c r="BQ351"/>
      <c r="BR351"/>
      <c r="BS351"/>
      <c r="BT351"/>
      <c r="BU351"/>
      <c r="BV351"/>
      <c r="BW351"/>
      <c r="BX351"/>
      <c r="BY351"/>
      <c r="BZ351"/>
      <c r="CA351"/>
      <c r="CB351"/>
      <c r="CC351"/>
    </row>
    <row r="352" spans="1:81" x14ac:dyDescent="0.25">
      <c r="A352"/>
      <c r="B352"/>
      <c r="C352"/>
      <c r="D352"/>
      <c r="E352"/>
      <c r="F352"/>
      <c r="G352"/>
      <c r="H352"/>
      <c r="I352"/>
      <c r="J352"/>
      <c r="K352"/>
      <c r="L352"/>
      <c r="M352"/>
      <c r="N352"/>
      <c r="O352"/>
      <c r="P352"/>
      <c r="Q352"/>
      <c r="R352"/>
      <c r="S352"/>
      <c r="T352"/>
      <c r="U352"/>
      <c r="V352"/>
      <c r="W352"/>
      <c r="X352"/>
      <c r="Y352"/>
      <c r="Z352"/>
      <c r="AA352"/>
      <c r="AB352"/>
      <c r="AC352"/>
      <c r="AD352"/>
      <c r="AE352"/>
      <c r="AF352"/>
      <c r="AG352"/>
      <c r="AH352"/>
      <c r="AI352"/>
      <c r="AJ352"/>
      <c r="AK352"/>
      <c r="AL352"/>
      <c r="AM352"/>
      <c r="AN352"/>
      <c r="AO352"/>
      <c r="AP352"/>
      <c r="AQ352"/>
      <c r="AR352"/>
      <c r="AS352"/>
      <c r="AT352"/>
      <c r="AU352"/>
      <c r="AV352"/>
      <c r="AW352"/>
      <c r="AX352"/>
      <c r="AY352"/>
      <c r="AZ352"/>
      <c r="BA352"/>
      <c r="BB352"/>
      <c r="BC352"/>
      <c r="BD352"/>
      <c r="BE352"/>
      <c r="BF352"/>
      <c r="BG352"/>
      <c r="BH352"/>
      <c r="BI352"/>
      <c r="BJ352"/>
      <c r="BK352"/>
      <c r="BL352"/>
      <c r="BM352"/>
      <c r="BN352"/>
      <c r="BO352"/>
      <c r="BP352"/>
      <c r="BQ352"/>
      <c r="BR352"/>
      <c r="BS352"/>
      <c r="BT352"/>
      <c r="BU352"/>
      <c r="BV352"/>
      <c r="BW352"/>
      <c r="BX352"/>
      <c r="BY352"/>
      <c r="BZ352"/>
      <c r="CA352"/>
      <c r="CB352"/>
      <c r="CC352"/>
    </row>
    <row r="353" spans="1:81" x14ac:dyDescent="0.25">
      <c r="A353"/>
      <c r="B353"/>
      <c r="C353"/>
      <c r="D353"/>
      <c r="E353"/>
      <c r="F353"/>
      <c r="G353"/>
      <c r="H353"/>
      <c r="I353"/>
      <c r="J353"/>
      <c r="K353"/>
      <c r="L353"/>
      <c r="M353"/>
      <c r="N353"/>
      <c r="O353"/>
      <c r="P353"/>
      <c r="Q353"/>
      <c r="R353"/>
      <c r="S353"/>
      <c r="T353"/>
      <c r="U353"/>
      <c r="V353"/>
      <c r="W353"/>
      <c r="X353"/>
      <c r="Y353"/>
      <c r="Z353"/>
      <c r="AA353"/>
      <c r="AB353"/>
      <c r="AC353"/>
      <c r="AD353"/>
      <c r="AE353"/>
      <c r="AF353"/>
      <c r="AG353"/>
      <c r="AH353"/>
      <c r="AI353"/>
      <c r="AJ353"/>
      <c r="AK353"/>
      <c r="AL353"/>
      <c r="AM353"/>
      <c r="AN353"/>
      <c r="AO353"/>
      <c r="AP353"/>
      <c r="AQ353"/>
      <c r="AR353"/>
      <c r="AS353"/>
      <c r="AT353"/>
      <c r="AU353"/>
      <c r="AV353"/>
      <c r="AW353"/>
      <c r="AX353"/>
      <c r="AY353"/>
      <c r="AZ353"/>
      <c r="BA353"/>
      <c r="BB353"/>
      <c r="BC353"/>
      <c r="BD353"/>
      <c r="BE353"/>
      <c r="BF353"/>
      <c r="BG353"/>
      <c r="BH353"/>
      <c r="BI353"/>
      <c r="BJ353"/>
      <c r="BK353"/>
      <c r="BL353"/>
      <c r="BM353"/>
      <c r="BN353"/>
      <c r="BO353"/>
      <c r="BP353"/>
      <c r="BQ353"/>
      <c r="BR353"/>
      <c r="BS353"/>
      <c r="BT353"/>
      <c r="BU353"/>
      <c r="BV353"/>
      <c r="BW353"/>
      <c r="BX353"/>
      <c r="BY353"/>
      <c r="BZ353"/>
      <c r="CA353"/>
      <c r="CB353"/>
      <c r="CC353"/>
    </row>
    <row r="354" spans="1:81" x14ac:dyDescent="0.25">
      <c r="A354"/>
      <c r="B354"/>
      <c r="C354"/>
      <c r="D354"/>
      <c r="E354"/>
      <c r="F354"/>
      <c r="G354"/>
      <c r="H354"/>
      <c r="I354"/>
      <c r="J354"/>
      <c r="K354"/>
      <c r="L354"/>
      <c r="M354"/>
      <c r="N354"/>
      <c r="O354"/>
      <c r="P354"/>
      <c r="Q354"/>
      <c r="R354"/>
      <c r="S354"/>
      <c r="T354"/>
      <c r="U354"/>
      <c r="V354"/>
      <c r="W354"/>
      <c r="X354"/>
      <c r="Y354"/>
      <c r="Z354"/>
      <c r="AA354"/>
      <c r="AB354"/>
      <c r="AC354"/>
      <c r="AD354"/>
      <c r="AE354"/>
      <c r="AF354"/>
      <c r="AG354"/>
      <c r="AH354"/>
      <c r="AI354"/>
      <c r="AJ354"/>
      <c r="AK354"/>
      <c r="AL354"/>
      <c r="AM354"/>
      <c r="AN354"/>
      <c r="AO354"/>
      <c r="AP354"/>
      <c r="AQ354"/>
      <c r="AR354"/>
      <c r="AS354"/>
      <c r="AT354"/>
      <c r="AU354"/>
      <c r="AV354"/>
      <c r="AW354"/>
      <c r="AX354"/>
      <c r="AY354"/>
      <c r="AZ354"/>
      <c r="BA354"/>
      <c r="BB354"/>
      <c r="BC354"/>
      <c r="BD354"/>
      <c r="BE354"/>
      <c r="BF354"/>
      <c r="BG354"/>
      <c r="BH354"/>
      <c r="BI354"/>
      <c r="BJ354"/>
      <c r="BK354"/>
      <c r="BL354"/>
      <c r="BM354"/>
      <c r="BN354"/>
      <c r="BO354"/>
      <c r="BP354"/>
      <c r="BQ354"/>
      <c r="BR354"/>
      <c r="BS354"/>
      <c r="BT354"/>
      <c r="BU354"/>
      <c r="BV354"/>
      <c r="BW354"/>
      <c r="BX354"/>
      <c r="BY354"/>
      <c r="BZ354"/>
      <c r="CA354"/>
      <c r="CB354"/>
      <c r="CC354"/>
    </row>
    <row r="355" spans="1:81" x14ac:dyDescent="0.25">
      <c r="A355"/>
      <c r="B355"/>
      <c r="C355"/>
      <c r="D355"/>
      <c r="E355"/>
      <c r="F355"/>
      <c r="G355"/>
      <c r="H355"/>
      <c r="I355"/>
      <c r="J355"/>
      <c r="K355"/>
      <c r="L355"/>
      <c r="M355"/>
      <c r="N355"/>
      <c r="O355"/>
      <c r="P355"/>
      <c r="Q355"/>
      <c r="R355"/>
      <c r="S355"/>
      <c r="T355"/>
      <c r="U355"/>
      <c r="V355"/>
      <c r="W355"/>
      <c r="X355"/>
      <c r="Y355"/>
      <c r="Z355"/>
      <c r="AA355"/>
      <c r="AB355"/>
      <c r="AC355"/>
      <c r="AD355"/>
      <c r="AE355"/>
      <c r="AF355"/>
      <c r="AG355"/>
      <c r="AH355"/>
      <c r="AI355"/>
      <c r="AJ355"/>
      <c r="AK355"/>
      <c r="AL355"/>
      <c r="AM355"/>
      <c r="AN355"/>
      <c r="AO355"/>
      <c r="AP355"/>
      <c r="AQ355"/>
      <c r="AR355"/>
      <c r="AS355"/>
      <c r="AT355"/>
      <c r="AU355"/>
      <c r="AV355"/>
      <c r="AW355"/>
      <c r="AX355"/>
      <c r="AY355"/>
      <c r="AZ355"/>
      <c r="BA355"/>
      <c r="BB355"/>
      <c r="BC355"/>
      <c r="BD355"/>
      <c r="BE355"/>
      <c r="BF355"/>
      <c r="BG355"/>
      <c r="BH355"/>
      <c r="BI355"/>
      <c r="BJ355"/>
      <c r="BK355"/>
      <c r="BL355"/>
      <c r="BM355"/>
      <c r="BN355"/>
      <c r="BO355"/>
      <c r="BP355"/>
      <c r="BQ355"/>
      <c r="BR355"/>
      <c r="BS355"/>
      <c r="BT355"/>
      <c r="BU355"/>
      <c r="BV355"/>
      <c r="BW355"/>
      <c r="BX355"/>
      <c r="BY355"/>
      <c r="BZ355"/>
      <c r="CA355"/>
      <c r="CB355"/>
      <c r="CC355"/>
    </row>
    <row r="356" spans="1:81" x14ac:dyDescent="0.25">
      <c r="A356"/>
      <c r="B356"/>
      <c r="C356"/>
      <c r="D356"/>
      <c r="E356"/>
      <c r="F356"/>
      <c r="G356"/>
      <c r="H356"/>
      <c r="I356"/>
      <c r="J356"/>
      <c r="K356"/>
      <c r="L356"/>
      <c r="M356"/>
      <c r="N356"/>
      <c r="O356"/>
      <c r="P356"/>
      <c r="Q356"/>
      <c r="R356"/>
      <c r="S356"/>
      <c r="T356"/>
      <c r="U356"/>
      <c r="V356"/>
      <c r="W356"/>
      <c r="X356"/>
      <c r="Y356"/>
      <c r="Z356"/>
      <c r="AA356"/>
      <c r="AB356"/>
      <c r="AC356"/>
      <c r="AD356"/>
      <c r="AE356"/>
      <c r="AF356"/>
      <c r="AG356"/>
      <c r="AH356"/>
      <c r="AI356"/>
      <c r="AJ356"/>
      <c r="AK356"/>
      <c r="AL356"/>
      <c r="AM356"/>
      <c r="AN356"/>
      <c r="AO356"/>
      <c r="AP356"/>
      <c r="AQ356"/>
      <c r="AR356"/>
      <c r="AS356"/>
      <c r="AT356"/>
      <c r="AU356"/>
      <c r="AV356"/>
      <c r="AW356"/>
      <c r="AX356"/>
      <c r="AY356"/>
      <c r="AZ356"/>
      <c r="BA356"/>
      <c r="BB356"/>
      <c r="BC356"/>
      <c r="BD356"/>
      <c r="BE356"/>
      <c r="BF356"/>
      <c r="BG356"/>
      <c r="BH356"/>
      <c r="BI356"/>
      <c r="BJ356"/>
      <c r="BK356"/>
      <c r="BL356"/>
      <c r="BM356"/>
      <c r="BN356"/>
      <c r="BO356"/>
      <c r="BP356"/>
      <c r="BQ356"/>
      <c r="BR356"/>
      <c r="BS356"/>
      <c r="BT356"/>
      <c r="BU356"/>
      <c r="BV356"/>
      <c r="BW356"/>
      <c r="BX356"/>
      <c r="BY356"/>
      <c r="BZ356"/>
      <c r="CA356"/>
      <c r="CB356"/>
      <c r="CC356"/>
    </row>
    <row r="357" spans="1:81" x14ac:dyDescent="0.25">
      <c r="A357"/>
      <c r="B357"/>
      <c r="C357"/>
      <c r="D357"/>
      <c r="E357"/>
      <c r="F357"/>
      <c r="G357"/>
      <c r="H357"/>
      <c r="I357"/>
      <c r="J357"/>
      <c r="K357"/>
      <c r="L357"/>
      <c r="M357"/>
      <c r="N357"/>
      <c r="O357"/>
      <c r="P357"/>
      <c r="Q357"/>
      <c r="R357"/>
      <c r="S357"/>
      <c r="T357"/>
      <c r="U357"/>
      <c r="V357"/>
      <c r="W357"/>
      <c r="X357"/>
      <c r="Y357"/>
      <c r="Z357"/>
      <c r="AA357"/>
      <c r="AB357"/>
      <c r="AC357"/>
      <c r="AD357"/>
      <c r="AE357"/>
      <c r="AF357"/>
      <c r="AG357"/>
      <c r="AH357"/>
      <c r="AI357"/>
      <c r="AJ357"/>
      <c r="AK357"/>
      <c r="AL357"/>
      <c r="AM357"/>
      <c r="AN357"/>
      <c r="AO357"/>
      <c r="AP357"/>
      <c r="AQ357"/>
      <c r="AR357"/>
      <c r="AS357"/>
      <c r="AT357"/>
      <c r="AU357"/>
      <c r="AV357"/>
      <c r="AW357"/>
      <c r="AX357"/>
      <c r="AY357"/>
      <c r="AZ357"/>
      <c r="BA357"/>
      <c r="BB357"/>
      <c r="BC357"/>
      <c r="BD357"/>
      <c r="BE357"/>
      <c r="BF357"/>
      <c r="BG357"/>
      <c r="BH357"/>
      <c r="BI357"/>
      <c r="BJ357"/>
      <c r="BK357"/>
      <c r="BL357"/>
      <c r="BM357"/>
      <c r="BN357"/>
      <c r="BO357"/>
      <c r="BP357"/>
      <c r="BQ357"/>
      <c r="BR357"/>
      <c r="BS357"/>
      <c r="BT357"/>
      <c r="BU357"/>
      <c r="BV357"/>
      <c r="BW357"/>
      <c r="BX357"/>
      <c r="BY357"/>
      <c r="BZ357"/>
      <c r="CA357"/>
      <c r="CB357"/>
      <c r="CC357"/>
    </row>
    <row r="358" spans="1:81" x14ac:dyDescent="0.25">
      <c r="A358"/>
      <c r="B358"/>
      <c r="C358"/>
      <c r="D358"/>
      <c r="E358"/>
      <c r="F358"/>
      <c r="G358"/>
      <c r="H358"/>
      <c r="I358"/>
      <c r="J358"/>
      <c r="K358"/>
      <c r="L358"/>
      <c r="M358"/>
      <c r="N358"/>
      <c r="O358"/>
      <c r="P358"/>
      <c r="Q358"/>
      <c r="R358"/>
      <c r="S358"/>
      <c r="T358"/>
      <c r="U358"/>
      <c r="V358"/>
      <c r="W358"/>
      <c r="X358"/>
      <c r="Y358"/>
      <c r="Z358"/>
      <c r="AA358"/>
      <c r="AB358"/>
      <c r="AC358"/>
      <c r="AD358"/>
      <c r="AE358"/>
      <c r="AF358"/>
      <c r="AG358"/>
      <c r="AH358"/>
      <c r="AI358"/>
      <c r="AJ358"/>
      <c r="AK358"/>
      <c r="AL358"/>
      <c r="AM358"/>
      <c r="AN358"/>
      <c r="AO358"/>
      <c r="AP358"/>
      <c r="AQ358"/>
      <c r="AR358"/>
      <c r="AS358"/>
      <c r="AT358"/>
      <c r="AU358"/>
      <c r="AV358"/>
      <c r="AW358"/>
      <c r="AX358"/>
      <c r="AY358"/>
      <c r="AZ358"/>
      <c r="BA358"/>
      <c r="BB358"/>
      <c r="BC358"/>
      <c r="BD358"/>
      <c r="BE358"/>
      <c r="BF358"/>
      <c r="BG358"/>
      <c r="BH358"/>
      <c r="BI358"/>
      <c r="BJ358"/>
      <c r="BK358"/>
      <c r="BL358"/>
      <c r="BM358"/>
      <c r="BN358"/>
      <c r="BO358"/>
      <c r="BP358"/>
      <c r="BQ358"/>
      <c r="BR358"/>
      <c r="BS358"/>
      <c r="BT358"/>
      <c r="BU358"/>
      <c r="BV358"/>
      <c r="BW358"/>
      <c r="BX358"/>
      <c r="BY358"/>
      <c r="BZ358"/>
      <c r="CA358"/>
      <c r="CB358"/>
      <c r="CC358"/>
    </row>
    <row r="359" spans="1:81" x14ac:dyDescent="0.25">
      <c r="A359"/>
      <c r="B359"/>
      <c r="C359"/>
      <c r="D359"/>
      <c r="E359"/>
      <c r="F359"/>
      <c r="G359"/>
      <c r="H359"/>
      <c r="I359"/>
      <c r="J359"/>
      <c r="K359"/>
      <c r="L359"/>
      <c r="M359"/>
      <c r="N359"/>
      <c r="O359"/>
      <c r="P359"/>
      <c r="Q359"/>
      <c r="R359"/>
      <c r="S359"/>
      <c r="T359"/>
      <c r="U359"/>
      <c r="V359"/>
      <c r="W359"/>
      <c r="X359"/>
      <c r="Y359"/>
      <c r="Z359"/>
      <c r="AA359"/>
      <c r="AB359"/>
      <c r="AC359"/>
      <c r="AD359"/>
      <c r="AE359"/>
      <c r="AF359"/>
      <c r="AG359"/>
      <c r="AH359"/>
      <c r="AI359"/>
      <c r="AJ359"/>
      <c r="AK359"/>
      <c r="AL359"/>
      <c r="AM359"/>
      <c r="AN359"/>
      <c r="AO359"/>
      <c r="AP359"/>
      <c r="AQ359"/>
      <c r="AR359"/>
      <c r="AS359"/>
      <c r="AT359"/>
      <c r="AU359"/>
      <c r="AV359"/>
      <c r="AW359"/>
      <c r="AX359"/>
      <c r="AY359"/>
      <c r="AZ359"/>
      <c r="BA359"/>
      <c r="BB359"/>
      <c r="BC359"/>
      <c r="BD359"/>
      <c r="BE359"/>
      <c r="BF359"/>
      <c r="BG359"/>
      <c r="BH359"/>
      <c r="BI359"/>
      <c r="BJ359"/>
      <c r="BK359"/>
      <c r="BL359"/>
      <c r="BM359"/>
      <c r="BN359"/>
      <c r="BO359"/>
      <c r="BP359"/>
      <c r="BQ359"/>
      <c r="BR359"/>
      <c r="BS359"/>
      <c r="BT359"/>
      <c r="BU359"/>
      <c r="BV359"/>
      <c r="BW359"/>
      <c r="BX359"/>
      <c r="BY359"/>
      <c r="BZ359"/>
      <c r="CA359"/>
      <c r="CB359"/>
      <c r="CC359"/>
    </row>
    <row r="360" spans="1:81" x14ac:dyDescent="0.25">
      <c r="A360"/>
      <c r="B360"/>
      <c r="C360"/>
      <c r="D360"/>
      <c r="E360"/>
      <c r="F360"/>
      <c r="G360"/>
      <c r="H360"/>
      <c r="I360"/>
      <c r="J360"/>
      <c r="K360"/>
      <c r="L360"/>
      <c r="M360"/>
      <c r="N360"/>
      <c r="O360"/>
      <c r="P360"/>
      <c r="Q360"/>
      <c r="R360"/>
      <c r="S360"/>
      <c r="T360"/>
      <c r="U360"/>
      <c r="V360"/>
      <c r="W360"/>
      <c r="X360"/>
      <c r="Y360"/>
      <c r="Z360"/>
      <c r="AA360"/>
      <c r="AB360"/>
      <c r="AC360"/>
      <c r="AD360"/>
      <c r="AE360"/>
      <c r="AF360"/>
      <c r="AG360"/>
      <c r="AH360"/>
      <c r="AI360"/>
      <c r="AJ360"/>
      <c r="AK360"/>
      <c r="AL360"/>
      <c r="AM360"/>
      <c r="AN360"/>
      <c r="AO360"/>
      <c r="AP360"/>
      <c r="AQ360"/>
      <c r="AR360"/>
      <c r="AS360"/>
      <c r="AT360"/>
      <c r="AU360"/>
      <c r="AV360"/>
      <c r="AW360"/>
      <c r="AX360"/>
      <c r="AY360"/>
      <c r="AZ360"/>
      <c r="BA360"/>
      <c r="BB360"/>
      <c r="BC360"/>
      <c r="BD360"/>
      <c r="BE360"/>
      <c r="BF360"/>
      <c r="BG360"/>
      <c r="BH360"/>
      <c r="BI360"/>
      <c r="BJ360"/>
      <c r="BK360"/>
      <c r="BL360"/>
      <c r="BM360"/>
      <c r="BN360"/>
      <c r="BO360"/>
      <c r="BP360"/>
      <c r="BQ360"/>
      <c r="BR360"/>
      <c r="BS360"/>
      <c r="BT360"/>
      <c r="BU360"/>
      <c r="BV360"/>
      <c r="BW360"/>
      <c r="BX360"/>
      <c r="BY360"/>
      <c r="BZ360"/>
      <c r="CA360"/>
      <c r="CB360"/>
      <c r="CC360"/>
    </row>
    <row r="361" spans="1:81" x14ac:dyDescent="0.25">
      <c r="A361"/>
      <c r="B361"/>
      <c r="C361"/>
      <c r="D361"/>
      <c r="E361"/>
      <c r="F361"/>
      <c r="G361"/>
      <c r="H361"/>
      <c r="I361"/>
      <c r="J361"/>
      <c r="K361"/>
      <c r="L361"/>
      <c r="M361"/>
      <c r="N361"/>
      <c r="O361"/>
      <c r="P361"/>
      <c r="Q361"/>
      <c r="R361"/>
      <c r="S361"/>
      <c r="T361"/>
      <c r="U361"/>
      <c r="V361"/>
      <c r="W361"/>
      <c r="X361"/>
      <c r="Y361"/>
      <c r="Z361"/>
      <c r="AA361"/>
      <c r="AB361"/>
      <c r="AC361"/>
      <c r="AD361"/>
      <c r="AE361"/>
      <c r="AF361"/>
      <c r="AG361"/>
      <c r="AH361"/>
      <c r="AI361"/>
      <c r="AJ361"/>
      <c r="AK361"/>
      <c r="AL361"/>
      <c r="AM361"/>
      <c r="AN361"/>
      <c r="AO361"/>
      <c r="AP361"/>
      <c r="AQ361"/>
      <c r="AR361"/>
      <c r="AS361"/>
      <c r="AT361"/>
      <c r="AU361"/>
      <c r="AV361"/>
      <c r="AW361"/>
      <c r="AX361"/>
      <c r="AY361"/>
      <c r="AZ361"/>
      <c r="BA361"/>
      <c r="BB361"/>
      <c r="BC361"/>
      <c r="BD361"/>
      <c r="BE361"/>
      <c r="BF361"/>
      <c r="BG361"/>
      <c r="BH361"/>
      <c r="BI361"/>
      <c r="BJ361"/>
      <c r="BK361"/>
      <c r="BL361"/>
      <c r="BM361"/>
      <c r="BN361"/>
      <c r="BO361"/>
      <c r="BP361"/>
      <c r="BQ361"/>
      <c r="BR361"/>
      <c r="BS361"/>
      <c r="BT361"/>
      <c r="BU361"/>
      <c r="BV361"/>
      <c r="BW361"/>
      <c r="BX361"/>
      <c r="BY361"/>
      <c r="BZ361"/>
      <c r="CA361"/>
      <c r="CB361"/>
      <c r="CC361"/>
    </row>
    <row r="362" spans="1:81" x14ac:dyDescent="0.25">
      <c r="A362"/>
      <c r="B362"/>
      <c r="C362"/>
      <c r="D362"/>
      <c r="E362"/>
      <c r="F362"/>
      <c r="G362"/>
      <c r="H362"/>
      <c r="I362"/>
      <c r="J362"/>
      <c r="K362"/>
      <c r="L362"/>
      <c r="M362"/>
      <c r="N362"/>
      <c r="O362"/>
      <c r="P362"/>
      <c r="Q362"/>
      <c r="R362"/>
      <c r="S362"/>
      <c r="T362"/>
      <c r="U362"/>
      <c r="V362"/>
      <c r="W362"/>
      <c r="X362"/>
      <c r="Y362"/>
      <c r="Z362"/>
      <c r="AA362"/>
      <c r="AB362"/>
      <c r="AC362"/>
      <c r="AD362"/>
      <c r="AE362"/>
      <c r="AF362"/>
      <c r="AG362"/>
      <c r="AH362"/>
      <c r="AI362"/>
      <c r="AJ362"/>
      <c r="AK362"/>
      <c r="AL362"/>
      <c r="AM362"/>
      <c r="AN362"/>
      <c r="AO362"/>
      <c r="AP362"/>
      <c r="AQ362"/>
      <c r="AR362"/>
      <c r="AS362"/>
      <c r="AT362"/>
      <c r="AU362"/>
      <c r="AV362"/>
      <c r="AW362"/>
      <c r="AX362"/>
      <c r="AY362"/>
      <c r="AZ362"/>
      <c r="BA362"/>
      <c r="BB362"/>
      <c r="BC362"/>
      <c r="BD362"/>
      <c r="BE362"/>
      <c r="BF362"/>
      <c r="BG362"/>
      <c r="BH362"/>
      <c r="BI362"/>
      <c r="BJ362"/>
      <c r="BK362"/>
      <c r="BL362"/>
      <c r="BM362"/>
      <c r="BN362"/>
      <c r="BO362"/>
      <c r="BP362"/>
      <c r="BQ362"/>
      <c r="BR362"/>
      <c r="BS362"/>
      <c r="BT362"/>
      <c r="BU362"/>
      <c r="BV362"/>
      <c r="BW362"/>
      <c r="BX362"/>
      <c r="BY362"/>
      <c r="BZ362"/>
      <c r="CA362"/>
      <c r="CB362"/>
      <c r="CC362"/>
    </row>
    <row r="363" spans="1:81" x14ac:dyDescent="0.25">
      <c r="A363"/>
      <c r="B363"/>
      <c r="C363"/>
      <c r="D363"/>
      <c r="E363"/>
      <c r="F363"/>
      <c r="G363"/>
      <c r="H363"/>
      <c r="I363"/>
      <c r="J363"/>
      <c r="K363"/>
      <c r="L363"/>
      <c r="M363"/>
      <c r="N363"/>
      <c r="O363"/>
      <c r="P363"/>
      <c r="Q363"/>
      <c r="R363"/>
      <c r="S363"/>
      <c r="T363"/>
      <c r="U363"/>
      <c r="V363"/>
      <c r="W363"/>
      <c r="X363"/>
      <c r="Y363"/>
      <c r="Z363"/>
      <c r="AA363"/>
      <c r="AB363"/>
      <c r="AC363"/>
      <c r="AD363"/>
      <c r="AE363"/>
      <c r="AF363"/>
      <c r="AG363"/>
      <c r="AH363"/>
      <c r="AI363"/>
      <c r="AJ363"/>
      <c r="AK363"/>
      <c r="AL363"/>
      <c r="AM363"/>
      <c r="AN363"/>
      <c r="AO363"/>
      <c r="AP363"/>
      <c r="AQ363"/>
      <c r="AR363"/>
      <c r="AS363"/>
      <c r="AT363"/>
      <c r="AU363"/>
      <c r="AV363"/>
      <c r="AW363"/>
      <c r="AX363"/>
      <c r="AY363"/>
      <c r="AZ363"/>
      <c r="BA363"/>
      <c r="BB363"/>
      <c r="BC363"/>
      <c r="BD363"/>
      <c r="BE363"/>
      <c r="BF363"/>
      <c r="BG363"/>
      <c r="BH363"/>
      <c r="BI363"/>
      <c r="BJ363"/>
      <c r="BK363"/>
      <c r="BL363"/>
      <c r="BM363"/>
      <c r="BN363"/>
      <c r="BO363"/>
      <c r="BP363"/>
      <c r="BQ363"/>
      <c r="BR363"/>
      <c r="BS363"/>
      <c r="BT363"/>
      <c r="BU363"/>
      <c r="BV363"/>
      <c r="BW363"/>
      <c r="BX363"/>
      <c r="BY363"/>
      <c r="BZ363"/>
      <c r="CA363"/>
      <c r="CB363"/>
      <c r="CC363"/>
    </row>
    <row r="364" spans="1:81" x14ac:dyDescent="0.25">
      <c r="A364"/>
      <c r="B364"/>
      <c r="C364"/>
      <c r="D364"/>
      <c r="E364"/>
      <c r="F364"/>
      <c r="G364"/>
      <c r="H364"/>
      <c r="I364"/>
      <c r="J364"/>
      <c r="K364"/>
      <c r="L364"/>
      <c r="M364"/>
      <c r="N364"/>
      <c r="O364"/>
      <c r="P364"/>
      <c r="Q364"/>
      <c r="R364"/>
      <c r="S364"/>
      <c r="T364"/>
      <c r="U364"/>
      <c r="V364"/>
      <c r="W364"/>
      <c r="X364"/>
      <c r="Y364"/>
      <c r="Z364"/>
      <c r="AA364"/>
      <c r="AB364"/>
      <c r="AC364"/>
      <c r="AD364"/>
      <c r="AE364"/>
      <c r="AF364"/>
      <c r="AG364"/>
      <c r="AH364"/>
      <c r="AI364"/>
      <c r="AJ364"/>
      <c r="AK364"/>
      <c r="AL364"/>
      <c r="AM364"/>
      <c r="AN364"/>
      <c r="AO364"/>
      <c r="AP364"/>
      <c r="AQ364"/>
      <c r="AR364"/>
      <c r="AS364"/>
      <c r="AT364"/>
      <c r="AU364"/>
      <c r="AV364"/>
      <c r="AW364"/>
      <c r="AX364"/>
      <c r="AY364"/>
      <c r="AZ364"/>
      <c r="BA364"/>
      <c r="BB364"/>
      <c r="BC364"/>
      <c r="BD364"/>
      <c r="BE364"/>
      <c r="BF364"/>
      <c r="BG364"/>
      <c r="BH364"/>
      <c r="BI364"/>
      <c r="BJ364"/>
      <c r="BK364"/>
      <c r="BL364"/>
      <c r="BM364"/>
      <c r="BN364"/>
      <c r="BO364"/>
      <c r="BP364"/>
      <c r="BQ364"/>
      <c r="BR364"/>
      <c r="BS364"/>
      <c r="BT364"/>
      <c r="BU364"/>
      <c r="BV364"/>
      <c r="BW364"/>
      <c r="BX364"/>
      <c r="BY364"/>
      <c r="BZ364"/>
      <c r="CA364"/>
      <c r="CB364"/>
      <c r="CC364"/>
    </row>
    <row r="365" spans="1:81" x14ac:dyDescent="0.25">
      <c r="A365"/>
      <c r="B365"/>
      <c r="C365"/>
      <c r="D365"/>
      <c r="E365"/>
      <c r="F365"/>
      <c r="G365"/>
      <c r="H365"/>
      <c r="I365"/>
      <c r="J365"/>
      <c r="K365"/>
      <c r="L365"/>
      <c r="M365"/>
      <c r="N365"/>
      <c r="O365"/>
      <c r="P365"/>
      <c r="Q365"/>
      <c r="R365"/>
      <c r="S365"/>
      <c r="T365"/>
      <c r="U365"/>
      <c r="V365"/>
      <c r="W365"/>
      <c r="X365"/>
      <c r="Y365"/>
      <c r="Z365"/>
      <c r="AA365"/>
      <c r="AB365"/>
      <c r="AC365"/>
      <c r="AD365"/>
      <c r="AE365"/>
      <c r="AF365"/>
      <c r="AG365"/>
      <c r="AH365"/>
      <c r="AI365"/>
      <c r="AJ365"/>
      <c r="AK365"/>
      <c r="AL365"/>
      <c r="AM365"/>
      <c r="AN365"/>
      <c r="AO365"/>
      <c r="AP365"/>
      <c r="AQ365"/>
      <c r="AR365"/>
      <c r="AS365"/>
      <c r="AT365"/>
      <c r="AU365"/>
      <c r="AV365"/>
      <c r="AW365"/>
      <c r="AX365"/>
      <c r="AY365"/>
      <c r="AZ365"/>
      <c r="BA365"/>
      <c r="BB365"/>
      <c r="BC365"/>
      <c r="BD365"/>
      <c r="BE365"/>
      <c r="BF365"/>
      <c r="BG365"/>
      <c r="BH365"/>
      <c r="BI365"/>
      <c r="BJ365"/>
      <c r="BK365"/>
      <c r="BL365"/>
      <c r="BM365"/>
      <c r="BN365"/>
      <c r="BO365"/>
      <c r="BP365"/>
      <c r="BQ365"/>
      <c r="BR365"/>
      <c r="BS365"/>
      <c r="BT365"/>
      <c r="BU365"/>
      <c r="BV365"/>
      <c r="BW365"/>
      <c r="BX365"/>
      <c r="BY365"/>
      <c r="BZ365"/>
      <c r="CA365"/>
      <c r="CB365"/>
      <c r="CC365"/>
    </row>
    <row r="366" spans="1:81" x14ac:dyDescent="0.25">
      <c r="A366"/>
      <c r="B366"/>
      <c r="C366"/>
      <c r="D366"/>
      <c r="E366"/>
      <c r="F366"/>
      <c r="G366"/>
      <c r="H366"/>
      <c r="I366"/>
      <c r="J366"/>
      <c r="K366"/>
      <c r="L366"/>
      <c r="M366"/>
      <c r="N366"/>
      <c r="O366"/>
      <c r="P366"/>
      <c r="Q366"/>
      <c r="R366"/>
      <c r="S366"/>
      <c r="T366"/>
      <c r="U366"/>
      <c r="V366"/>
      <c r="W366"/>
      <c r="X366"/>
      <c r="Y366"/>
      <c r="Z366"/>
      <c r="AA366"/>
      <c r="AB366"/>
      <c r="AC366"/>
      <c r="AD366"/>
      <c r="AE366"/>
      <c r="AF366"/>
      <c r="AG366"/>
      <c r="AH366"/>
      <c r="AI366"/>
      <c r="AJ366"/>
      <c r="AK366"/>
      <c r="AL366"/>
      <c r="AM366"/>
      <c r="AN366"/>
      <c r="AO366"/>
      <c r="AP366"/>
      <c r="AQ366"/>
      <c r="AR366"/>
      <c r="AS366"/>
      <c r="AT366"/>
      <c r="AU366"/>
      <c r="AV366"/>
      <c r="AW366"/>
      <c r="AX366"/>
      <c r="AY366"/>
      <c r="AZ366"/>
      <c r="BA366"/>
      <c r="BB366"/>
      <c r="BC366"/>
      <c r="BD366"/>
      <c r="BE366"/>
      <c r="BF366"/>
      <c r="BG366"/>
      <c r="BH366"/>
      <c r="BI366"/>
      <c r="BJ366"/>
      <c r="BK366"/>
      <c r="BL366"/>
      <c r="BM366"/>
      <c r="BN366"/>
      <c r="BO366"/>
      <c r="BP366"/>
      <c r="BQ366"/>
      <c r="BR366"/>
      <c r="BS366"/>
      <c r="BT366"/>
      <c r="BU366"/>
      <c r="BV366"/>
      <c r="BW366"/>
      <c r="BX366"/>
      <c r="BY366"/>
      <c r="BZ366"/>
      <c r="CA366"/>
      <c r="CB366"/>
      <c r="CC366"/>
    </row>
    <row r="367" spans="1:81" x14ac:dyDescent="0.25">
      <c r="A367"/>
      <c r="B367"/>
      <c r="C367"/>
      <c r="D367"/>
      <c r="E367"/>
      <c r="F367"/>
      <c r="G367"/>
      <c r="H367"/>
      <c r="I367"/>
      <c r="J367"/>
      <c r="K367"/>
      <c r="L367"/>
      <c r="M367"/>
      <c r="N367"/>
      <c r="O367"/>
      <c r="P367"/>
      <c r="Q367"/>
      <c r="R367"/>
      <c r="S367"/>
      <c r="T367"/>
      <c r="U367"/>
      <c r="V367"/>
      <c r="W367"/>
      <c r="X367"/>
      <c r="Y367"/>
      <c r="Z367"/>
      <c r="AA367"/>
      <c r="AB367"/>
      <c r="AC367"/>
      <c r="AD367"/>
      <c r="AE367"/>
      <c r="AF367"/>
      <c r="AG367"/>
      <c r="AH367"/>
      <c r="AI367"/>
      <c r="AJ367"/>
      <c r="AK367"/>
      <c r="AL367"/>
      <c r="AM367"/>
      <c r="AN367"/>
      <c r="AO367"/>
      <c r="AP367"/>
      <c r="AQ367"/>
      <c r="AR367"/>
      <c r="AS367"/>
      <c r="AT367"/>
      <c r="AU367"/>
      <c r="AV367"/>
      <c r="AW367"/>
      <c r="AX367"/>
      <c r="AY367"/>
      <c r="AZ367"/>
      <c r="BA367"/>
      <c r="BB367"/>
      <c r="BC367"/>
      <c r="BD367"/>
      <c r="BE367"/>
      <c r="BF367"/>
      <c r="BG367"/>
      <c r="BH367"/>
      <c r="BI367"/>
      <c r="BJ367"/>
      <c r="BK367"/>
      <c r="BL367"/>
      <c r="BM367"/>
      <c r="BN367"/>
      <c r="BO367"/>
      <c r="BP367"/>
      <c r="BQ367"/>
      <c r="BR367"/>
      <c r="BS367"/>
      <c r="BT367"/>
      <c r="BU367"/>
      <c r="BV367"/>
      <c r="BW367"/>
      <c r="BX367"/>
      <c r="BY367"/>
      <c r="BZ367"/>
      <c r="CA367"/>
      <c r="CB367"/>
      <c r="CC367"/>
    </row>
    <row r="368" spans="1:81" x14ac:dyDescent="0.25">
      <c r="A368"/>
      <c r="B368"/>
      <c r="C368"/>
      <c r="D368"/>
      <c r="E368"/>
      <c r="F368"/>
      <c r="G368"/>
      <c r="H368"/>
      <c r="I368"/>
      <c r="J368"/>
      <c r="K368"/>
      <c r="L368"/>
      <c r="M368"/>
      <c r="N368"/>
      <c r="O368"/>
      <c r="P368"/>
      <c r="Q368"/>
      <c r="R368"/>
      <c r="S368"/>
      <c r="T368"/>
      <c r="U368"/>
      <c r="V368"/>
      <c r="W368"/>
      <c r="X368"/>
      <c r="Y368"/>
      <c r="Z368"/>
      <c r="AA368"/>
      <c r="AB368"/>
      <c r="AC368"/>
      <c r="AD368"/>
      <c r="AE368"/>
      <c r="AF368"/>
      <c r="AG368"/>
      <c r="AH368"/>
      <c r="AI368"/>
      <c r="AJ368"/>
      <c r="AK368"/>
      <c r="AL368"/>
      <c r="AM368"/>
      <c r="AN368"/>
      <c r="AO368"/>
      <c r="AP368"/>
      <c r="AQ368"/>
      <c r="AR368"/>
      <c r="AS368"/>
      <c r="AT368"/>
      <c r="AU368"/>
      <c r="AV368"/>
      <c r="AW368"/>
      <c r="AX368"/>
      <c r="AY368"/>
      <c r="AZ368"/>
      <c r="BA368"/>
      <c r="BB368"/>
      <c r="BC368"/>
      <c r="BD368"/>
      <c r="BE368"/>
      <c r="BF368"/>
      <c r="BG368"/>
      <c r="BH368"/>
      <c r="BI368"/>
      <c r="BJ368"/>
      <c r="BK368"/>
      <c r="BL368"/>
      <c r="BM368"/>
      <c r="BN368"/>
      <c r="BO368"/>
      <c r="BP368"/>
      <c r="BQ368"/>
      <c r="BR368"/>
      <c r="BS368"/>
      <c r="BT368"/>
      <c r="BU368"/>
      <c r="BV368"/>
      <c r="BW368"/>
      <c r="BX368"/>
      <c r="BY368"/>
      <c r="BZ368"/>
      <c r="CA368"/>
      <c r="CB368"/>
      <c r="CC368"/>
    </row>
    <row r="369" spans="1:81" x14ac:dyDescent="0.25">
      <c r="A369"/>
      <c r="B369"/>
      <c r="C369"/>
      <c r="D369"/>
      <c r="E369"/>
      <c r="F369"/>
      <c r="G369"/>
      <c r="H369"/>
      <c r="I369"/>
      <c r="J369"/>
      <c r="K369"/>
      <c r="L369"/>
      <c r="M369"/>
      <c r="N369"/>
      <c r="O369"/>
      <c r="P369"/>
      <c r="Q369"/>
      <c r="R369"/>
      <c r="S369"/>
      <c r="T369"/>
      <c r="U369"/>
      <c r="V369"/>
      <c r="W369"/>
      <c r="X369"/>
      <c r="Y369"/>
      <c r="Z369"/>
      <c r="AA369"/>
      <c r="AB369"/>
      <c r="AC369"/>
      <c r="AD369"/>
      <c r="AE369"/>
      <c r="AF369"/>
      <c r="AG369"/>
      <c r="AH369"/>
      <c r="AI369"/>
      <c r="AJ369"/>
      <c r="AK369"/>
      <c r="AL369"/>
      <c r="AM369"/>
      <c r="AN369"/>
      <c r="AO369"/>
      <c r="AP369"/>
      <c r="AQ369"/>
      <c r="AR369"/>
      <c r="AS369"/>
      <c r="AT369"/>
      <c r="AU369"/>
      <c r="AV369"/>
      <c r="AW369"/>
      <c r="AX369"/>
      <c r="AY369"/>
      <c r="AZ369"/>
      <c r="BA369"/>
      <c r="BB369"/>
      <c r="BC369"/>
      <c r="BD369"/>
      <c r="BE369"/>
      <c r="BF369"/>
      <c r="BG369"/>
      <c r="BH369"/>
      <c r="BI369"/>
      <c r="BJ369"/>
      <c r="BK369"/>
      <c r="BL369"/>
      <c r="BM369"/>
      <c r="BN369"/>
      <c r="BO369"/>
      <c r="BP369"/>
      <c r="BQ369"/>
      <c r="BR369"/>
      <c r="BS369"/>
      <c r="BT369"/>
      <c r="BU369"/>
      <c r="BV369"/>
      <c r="BW369"/>
      <c r="BX369"/>
      <c r="BY369"/>
      <c r="BZ369"/>
      <c r="CA369"/>
      <c r="CB369"/>
      <c r="CC369"/>
    </row>
    <row r="370" spans="1:81" x14ac:dyDescent="0.25">
      <c r="A370"/>
      <c r="B370"/>
      <c r="C370"/>
      <c r="D370"/>
      <c r="E370"/>
      <c r="F370"/>
      <c r="G370"/>
      <c r="H370"/>
      <c r="I370"/>
      <c r="J370"/>
      <c r="K370"/>
      <c r="L370"/>
      <c r="M370"/>
      <c r="N370"/>
      <c r="O370"/>
      <c r="P370"/>
      <c r="Q370"/>
      <c r="R370"/>
      <c r="S370"/>
      <c r="T370"/>
      <c r="U370"/>
      <c r="V370"/>
      <c r="W370"/>
      <c r="X370"/>
      <c r="Y370"/>
      <c r="Z370"/>
      <c r="AA370"/>
      <c r="AB370"/>
      <c r="AC370"/>
      <c r="AD370"/>
      <c r="AE370"/>
      <c r="AF370"/>
      <c r="AG370"/>
      <c r="AH370"/>
      <c r="AI370"/>
      <c r="AJ370"/>
      <c r="AK370"/>
      <c r="AL370"/>
      <c r="AM370"/>
      <c r="AN370"/>
      <c r="AO370"/>
      <c r="AP370"/>
      <c r="AQ370"/>
      <c r="AR370"/>
      <c r="AS370"/>
      <c r="AT370"/>
      <c r="AU370"/>
      <c r="AV370"/>
      <c r="AW370"/>
      <c r="AX370"/>
      <c r="AY370"/>
      <c r="AZ370"/>
      <c r="BA370"/>
      <c r="BB370"/>
      <c r="BC370"/>
      <c r="BD370"/>
      <c r="BE370"/>
      <c r="BF370"/>
      <c r="BG370"/>
      <c r="BH370"/>
      <c r="BI370"/>
      <c r="BJ370"/>
      <c r="BK370"/>
      <c r="BL370"/>
      <c r="BM370"/>
      <c r="BN370"/>
      <c r="BO370"/>
      <c r="BP370"/>
      <c r="BQ370"/>
      <c r="BR370"/>
      <c r="BS370"/>
      <c r="BT370"/>
      <c r="BU370"/>
      <c r="BV370"/>
      <c r="BW370"/>
      <c r="BX370"/>
      <c r="BY370"/>
      <c r="BZ370"/>
      <c r="CA370"/>
      <c r="CB370"/>
      <c r="CC370"/>
    </row>
    <row r="371" spans="1:81" x14ac:dyDescent="0.25">
      <c r="A371"/>
      <c r="B371"/>
      <c r="C371"/>
      <c r="D371"/>
      <c r="E371"/>
      <c r="F371"/>
      <c r="G371"/>
      <c r="H371"/>
      <c r="I371"/>
      <c r="J371"/>
      <c r="K371"/>
      <c r="L371"/>
      <c r="M371"/>
      <c r="N371"/>
      <c r="O371"/>
      <c r="P371"/>
      <c r="Q371"/>
      <c r="R371"/>
      <c r="S371"/>
      <c r="T371"/>
      <c r="U371"/>
      <c r="V371"/>
      <c r="W371"/>
      <c r="X371"/>
      <c r="Y371"/>
      <c r="Z371"/>
      <c r="AA371"/>
      <c r="AB371"/>
      <c r="AC371"/>
      <c r="AD371"/>
      <c r="AE371"/>
      <c r="AF371"/>
      <c r="AG371"/>
      <c r="AH371"/>
      <c r="AI371"/>
      <c r="AJ371"/>
      <c r="AK371"/>
      <c r="AL371"/>
      <c r="AM371"/>
      <c r="AN371"/>
      <c r="AO371"/>
      <c r="AP371"/>
      <c r="AQ371"/>
      <c r="AR371"/>
      <c r="AS371"/>
      <c r="AT371"/>
      <c r="AU371"/>
      <c r="AV371"/>
      <c r="AW371"/>
      <c r="AX371"/>
      <c r="AY371"/>
      <c r="AZ371"/>
      <c r="BA371"/>
      <c r="BB371"/>
      <c r="BC371"/>
      <c r="BD371"/>
      <c r="BE371"/>
      <c r="BF371"/>
      <c r="BG371"/>
      <c r="BH371"/>
      <c r="BI371"/>
      <c r="BJ371"/>
      <c r="BK371"/>
      <c r="BL371"/>
      <c r="BM371"/>
      <c r="BN371"/>
      <c r="BO371"/>
      <c r="BP371"/>
      <c r="BQ371"/>
      <c r="BR371"/>
      <c r="BS371"/>
      <c r="BT371"/>
      <c r="BU371"/>
      <c r="BV371"/>
      <c r="BW371"/>
      <c r="BX371"/>
      <c r="BY371"/>
      <c r="BZ371"/>
      <c r="CA371"/>
      <c r="CB371"/>
      <c r="CC371"/>
    </row>
    <row r="372" spans="1:81" x14ac:dyDescent="0.25">
      <c r="A372"/>
      <c r="B372"/>
      <c r="C372"/>
      <c r="D372"/>
      <c r="E372"/>
      <c r="F372"/>
      <c r="G372"/>
      <c r="H372"/>
      <c r="I372"/>
      <c r="J372"/>
      <c r="K372"/>
      <c r="L372"/>
      <c r="M372"/>
      <c r="N372"/>
      <c r="O372"/>
      <c r="P372"/>
      <c r="Q372"/>
      <c r="R372"/>
      <c r="S372"/>
      <c r="T372"/>
      <c r="U372"/>
      <c r="V372"/>
      <c r="W372"/>
      <c r="X372"/>
      <c r="Y372"/>
      <c r="Z372"/>
      <c r="AA372"/>
      <c r="AB372"/>
      <c r="AC372"/>
      <c r="AD372"/>
      <c r="AE372"/>
      <c r="AF372"/>
      <c r="AG372"/>
      <c r="AH372"/>
      <c r="AI372"/>
      <c r="AJ372"/>
      <c r="AK372"/>
      <c r="AL372"/>
      <c r="AM372"/>
      <c r="AN372"/>
      <c r="AO372"/>
      <c r="AP372"/>
      <c r="AQ372"/>
      <c r="AR372"/>
      <c r="AS372"/>
      <c r="AT372"/>
      <c r="AU372"/>
      <c r="AV372"/>
      <c r="AW372"/>
      <c r="AX372"/>
      <c r="AY372"/>
      <c r="AZ372"/>
      <c r="BA372"/>
      <c r="BB372"/>
      <c r="BC372"/>
      <c r="BD372"/>
      <c r="BE372"/>
      <c r="BF372"/>
      <c r="BG372"/>
      <c r="BH372"/>
      <c r="BI372"/>
      <c r="BJ372"/>
      <c r="BK372"/>
      <c r="BL372"/>
      <c r="BM372"/>
      <c r="BN372"/>
      <c r="BO372"/>
      <c r="BP372"/>
      <c r="BQ372"/>
      <c r="BR372"/>
      <c r="BS372"/>
      <c r="BT372"/>
      <c r="BU372"/>
      <c r="BV372"/>
      <c r="BW372"/>
      <c r="BX372"/>
      <c r="BY372"/>
      <c r="BZ372"/>
      <c r="CA372"/>
      <c r="CB372"/>
      <c r="CC372"/>
    </row>
    <row r="373" spans="1:81" x14ac:dyDescent="0.25">
      <c r="A373"/>
      <c r="B373"/>
      <c r="C373"/>
      <c r="D373"/>
      <c r="E373"/>
      <c r="F373"/>
      <c r="G373"/>
      <c r="H373"/>
      <c r="I373"/>
      <c r="J373"/>
      <c r="K373"/>
      <c r="L373"/>
      <c r="M373"/>
      <c r="N373"/>
      <c r="O373"/>
      <c r="P373"/>
      <c r="Q373"/>
      <c r="R373"/>
      <c r="S373"/>
      <c r="T373"/>
      <c r="U373"/>
      <c r="V373"/>
      <c r="W373"/>
      <c r="X373"/>
      <c r="Y373"/>
      <c r="Z373"/>
      <c r="AA373"/>
      <c r="AB373"/>
      <c r="AC373"/>
      <c r="AD373"/>
      <c r="AE373"/>
      <c r="AF373"/>
      <c r="AG373"/>
      <c r="AH373"/>
      <c r="AI373"/>
      <c r="AJ373"/>
      <c r="AK373"/>
      <c r="AL373"/>
      <c r="AM373"/>
      <c r="AN373"/>
      <c r="AO373"/>
      <c r="AP373"/>
      <c r="AQ373"/>
      <c r="AR373"/>
      <c r="AS373"/>
      <c r="AT373"/>
      <c r="AU373"/>
      <c r="AV373"/>
      <c r="AW373"/>
      <c r="AX373"/>
      <c r="AY373"/>
      <c r="AZ373"/>
      <c r="BA373"/>
      <c r="BB373"/>
      <c r="BC373"/>
      <c r="BD373"/>
      <c r="BE373"/>
      <c r="BF373"/>
      <c r="BG373"/>
      <c r="BH373"/>
      <c r="BI373"/>
      <c r="BJ373"/>
      <c r="BK373"/>
      <c r="BL373"/>
      <c r="BM373"/>
      <c r="BN373"/>
      <c r="BO373"/>
      <c r="BP373"/>
      <c r="BQ373"/>
      <c r="BR373"/>
      <c r="BS373"/>
      <c r="BT373"/>
      <c r="BU373"/>
      <c r="BV373"/>
      <c r="BW373"/>
      <c r="BX373"/>
      <c r="BY373"/>
      <c r="BZ373"/>
      <c r="CA373"/>
      <c r="CB373"/>
      <c r="CC373"/>
    </row>
    <row r="374" spans="1:81" x14ac:dyDescent="0.25">
      <c r="A374"/>
      <c r="B374"/>
      <c r="C374"/>
      <c r="D374"/>
      <c r="E374"/>
      <c r="F374"/>
      <c r="G374"/>
      <c r="H374"/>
      <c r="I374"/>
      <c r="J374"/>
      <c r="K374"/>
      <c r="L374"/>
      <c r="M374"/>
      <c r="N374"/>
      <c r="O374"/>
      <c r="P374"/>
      <c r="Q374"/>
      <c r="R374"/>
      <c r="S374"/>
      <c r="T374"/>
      <c r="U374"/>
      <c r="V374"/>
      <c r="W374"/>
      <c r="X374"/>
      <c r="Y374"/>
      <c r="Z374"/>
      <c r="AA374"/>
      <c r="AB374"/>
      <c r="AC374"/>
      <c r="AD374"/>
      <c r="AE374"/>
      <c r="AF374"/>
      <c r="AG374"/>
      <c r="AH374"/>
      <c r="AI374"/>
      <c r="AJ374"/>
      <c r="AK374"/>
      <c r="AL374"/>
      <c r="AM374"/>
      <c r="AN374"/>
      <c r="AO374"/>
      <c r="AP374"/>
      <c r="AQ374"/>
      <c r="AR374"/>
      <c r="AS374"/>
      <c r="AT374"/>
      <c r="AU374"/>
      <c r="AV374"/>
      <c r="AW374"/>
      <c r="AX374"/>
      <c r="AY374"/>
      <c r="AZ374"/>
      <c r="BA374"/>
      <c r="BB374"/>
      <c r="BC374"/>
      <c r="BD374"/>
      <c r="BE374"/>
      <c r="BF374"/>
      <c r="BG374"/>
      <c r="BH374"/>
      <c r="BI374"/>
      <c r="BJ374"/>
      <c r="BK374"/>
      <c r="BL374"/>
      <c r="BM374"/>
      <c r="BN374"/>
      <c r="BO374"/>
      <c r="BP374"/>
      <c r="BQ374"/>
      <c r="BR374"/>
      <c r="BS374"/>
      <c r="BT374"/>
      <c r="BU374"/>
      <c r="BV374"/>
      <c r="BW374"/>
      <c r="BX374"/>
      <c r="BY374"/>
      <c r="BZ374"/>
      <c r="CA374"/>
      <c r="CB374"/>
      <c r="CC374"/>
    </row>
    <row r="375" spans="1:81" x14ac:dyDescent="0.25">
      <c r="A375"/>
      <c r="B375"/>
      <c r="C375"/>
      <c r="D375"/>
      <c r="E375"/>
      <c r="F375"/>
      <c r="G375"/>
      <c r="H375"/>
      <c r="I375"/>
      <c r="J375"/>
      <c r="K375"/>
      <c r="L375"/>
      <c r="M375"/>
      <c r="N375"/>
      <c r="O375"/>
      <c r="P375"/>
      <c r="Q375"/>
      <c r="R375"/>
      <c r="S375"/>
      <c r="T375"/>
      <c r="U375"/>
      <c r="V375"/>
      <c r="W375"/>
      <c r="X375"/>
      <c r="Y375"/>
      <c r="Z375"/>
      <c r="AA375"/>
      <c r="AB375"/>
      <c r="AC375"/>
      <c r="AD375"/>
      <c r="AE375"/>
      <c r="AF375"/>
      <c r="AG375"/>
      <c r="AH375"/>
      <c r="AI375"/>
      <c r="AJ375"/>
      <c r="AK375"/>
      <c r="AL375"/>
      <c r="AM375"/>
      <c r="AN375"/>
      <c r="AO375"/>
      <c r="AP375"/>
      <c r="AQ375"/>
      <c r="AR375"/>
      <c r="AS375"/>
      <c r="AT375"/>
      <c r="AU375"/>
      <c r="AV375"/>
      <c r="AW375"/>
      <c r="AX375"/>
      <c r="AY375"/>
      <c r="AZ375"/>
      <c r="BA375"/>
      <c r="BB375"/>
      <c r="BC375"/>
      <c r="BD375"/>
      <c r="BE375"/>
      <c r="BF375"/>
      <c r="BG375"/>
      <c r="BH375"/>
      <c r="BI375"/>
      <c r="BJ375"/>
      <c r="BK375"/>
      <c r="BL375"/>
      <c r="BM375"/>
      <c r="BN375"/>
      <c r="BO375"/>
      <c r="BP375"/>
      <c r="BQ375"/>
      <c r="BR375"/>
      <c r="BS375"/>
      <c r="BT375"/>
      <c r="BU375"/>
      <c r="BV375"/>
      <c r="BW375"/>
      <c r="BX375"/>
      <c r="BY375"/>
      <c r="BZ375"/>
      <c r="CA375"/>
      <c r="CB375"/>
      <c r="CC375"/>
    </row>
    <row r="376" spans="1:81" x14ac:dyDescent="0.25">
      <c r="A376"/>
      <c r="B376"/>
      <c r="C376"/>
      <c r="D376"/>
      <c r="E376"/>
      <c r="F376"/>
      <c r="G376"/>
      <c r="H376"/>
      <c r="I376"/>
      <c r="J376"/>
      <c r="K376"/>
      <c r="L376"/>
      <c r="M376"/>
      <c r="N376"/>
      <c r="O376"/>
      <c r="P376"/>
      <c r="Q376"/>
      <c r="R376"/>
      <c r="S376"/>
      <c r="T376"/>
      <c r="U376"/>
      <c r="V376"/>
      <c r="W376"/>
      <c r="X376"/>
      <c r="Y376"/>
      <c r="Z376"/>
      <c r="AA376"/>
      <c r="AB376"/>
      <c r="AC376"/>
      <c r="AD376"/>
      <c r="AE376"/>
      <c r="AF376"/>
      <c r="AG376"/>
      <c r="AH376"/>
      <c r="AI376"/>
      <c r="AJ376"/>
      <c r="AK376"/>
      <c r="AL376"/>
      <c r="AM376"/>
      <c r="AN376"/>
      <c r="AO376"/>
      <c r="AP376"/>
      <c r="AQ376"/>
      <c r="AR376"/>
      <c r="AS376"/>
      <c r="AT376"/>
      <c r="AU376"/>
      <c r="AV376"/>
      <c r="AW376"/>
      <c r="AX376"/>
      <c r="AY376"/>
      <c r="AZ376"/>
      <c r="BA376"/>
      <c r="BB376"/>
      <c r="BC376"/>
      <c r="BD376"/>
      <c r="BE376"/>
      <c r="BF376"/>
      <c r="BG376"/>
      <c r="BH376"/>
      <c r="BI376"/>
      <c r="BJ376"/>
      <c r="BK376"/>
      <c r="BL376"/>
      <c r="BM376"/>
      <c r="BN376"/>
      <c r="BO376"/>
      <c r="BP376"/>
      <c r="BQ376"/>
      <c r="BR376"/>
      <c r="BS376"/>
      <c r="BT376"/>
      <c r="BU376"/>
      <c r="BV376"/>
      <c r="BW376"/>
      <c r="BX376"/>
      <c r="BY376"/>
      <c r="BZ376"/>
      <c r="CA376"/>
      <c r="CB376"/>
      <c r="CC376"/>
    </row>
    <row r="377" spans="1:81" x14ac:dyDescent="0.25">
      <c r="A377"/>
      <c r="B377"/>
      <c r="C377"/>
      <c r="D377"/>
      <c r="E377"/>
      <c r="F377"/>
      <c r="G377"/>
      <c r="H377"/>
      <c r="I377"/>
      <c r="J377"/>
      <c r="K377"/>
      <c r="L377"/>
      <c r="M377"/>
      <c r="N377"/>
      <c r="O377"/>
      <c r="P377"/>
      <c r="Q377"/>
      <c r="R377"/>
      <c r="S377"/>
      <c r="T377"/>
      <c r="U377"/>
      <c r="V377"/>
      <c r="W377"/>
      <c r="X377"/>
      <c r="Y377"/>
      <c r="Z377"/>
      <c r="AA377"/>
      <c r="AB377"/>
      <c r="AC377"/>
      <c r="AD377"/>
      <c r="AE377"/>
      <c r="AF377"/>
      <c r="AG377"/>
      <c r="AH377"/>
      <c r="AI377"/>
      <c r="AJ377"/>
      <c r="AK377"/>
      <c r="AL377"/>
      <c r="AM377"/>
      <c r="AN377"/>
      <c r="AO377"/>
      <c r="AP377"/>
      <c r="AQ377"/>
      <c r="AR377"/>
      <c r="AS377"/>
      <c r="AT377"/>
      <c r="AU377"/>
      <c r="AV377"/>
      <c r="AW377"/>
      <c r="AX377"/>
      <c r="AY377"/>
      <c r="AZ377"/>
      <c r="BA377"/>
      <c r="BB377"/>
      <c r="BC377"/>
      <c r="BD377"/>
      <c r="BE377"/>
      <c r="BF377"/>
      <c r="BG377"/>
      <c r="BH377"/>
      <c r="BI377"/>
      <c r="BJ377"/>
      <c r="BK377"/>
      <c r="BL377"/>
      <c r="BM377"/>
      <c r="BN377"/>
      <c r="BO377"/>
      <c r="BP377"/>
      <c r="BQ377"/>
      <c r="BR377"/>
      <c r="BS377"/>
      <c r="BT377"/>
      <c r="BU377"/>
      <c r="BV377"/>
      <c r="BW377"/>
      <c r="BX377"/>
      <c r="BY377"/>
      <c r="BZ377"/>
      <c r="CA377"/>
      <c r="CB377"/>
      <c r="CC377"/>
    </row>
    <row r="378" spans="1:81" x14ac:dyDescent="0.25">
      <c r="A378"/>
      <c r="B378"/>
      <c r="C378"/>
      <c r="D378"/>
      <c r="E378"/>
      <c r="F378"/>
      <c r="G378"/>
      <c r="H378"/>
      <c r="I378"/>
      <c r="J378"/>
      <c r="K378"/>
      <c r="L378"/>
      <c r="M378"/>
      <c r="N378"/>
      <c r="O378"/>
      <c r="P378"/>
      <c r="Q378"/>
      <c r="R378"/>
      <c r="S378"/>
      <c r="T378"/>
      <c r="U378"/>
      <c r="V378"/>
      <c r="W378"/>
      <c r="X378"/>
      <c r="Y378"/>
      <c r="Z378"/>
      <c r="AA378"/>
      <c r="AB378"/>
      <c r="AC378"/>
      <c r="AD378"/>
      <c r="AE378"/>
      <c r="AF378"/>
      <c r="AG378"/>
      <c r="AH378"/>
      <c r="AI378"/>
      <c r="AJ378"/>
      <c r="AK378"/>
      <c r="AL378"/>
      <c r="AM378"/>
      <c r="AN378"/>
      <c r="AO378"/>
      <c r="AP378"/>
      <c r="AQ378"/>
      <c r="AR378"/>
      <c r="AS378"/>
      <c r="AT378"/>
      <c r="AU378"/>
      <c r="AV378"/>
      <c r="AW378"/>
      <c r="AX378"/>
      <c r="AY378"/>
      <c r="AZ378"/>
      <c r="BA378"/>
      <c r="BB378"/>
      <c r="BC378"/>
      <c r="BD378"/>
      <c r="BE378"/>
      <c r="BF378"/>
      <c r="BG378"/>
      <c r="BH378"/>
      <c r="BI378"/>
      <c r="BJ378"/>
      <c r="BK378"/>
      <c r="BL378"/>
      <c r="BM378"/>
      <c r="BN378"/>
      <c r="BO378"/>
      <c r="BP378"/>
      <c r="BQ378"/>
      <c r="BR378"/>
      <c r="BS378"/>
      <c r="BT378"/>
      <c r="BU378"/>
      <c r="BV378"/>
      <c r="BW378"/>
      <c r="BX378"/>
      <c r="BY378"/>
      <c r="BZ378"/>
      <c r="CA378"/>
      <c r="CB378"/>
      <c r="CC378"/>
    </row>
    <row r="379" spans="1:81" x14ac:dyDescent="0.25">
      <c r="A379"/>
      <c r="B379"/>
      <c r="C379"/>
      <c r="D379"/>
      <c r="E379"/>
      <c r="F379"/>
      <c r="G379"/>
      <c r="H379"/>
      <c r="I379"/>
      <c r="J379"/>
      <c r="K379"/>
      <c r="L379"/>
      <c r="M379"/>
      <c r="N379"/>
      <c r="O379"/>
      <c r="P379"/>
      <c r="Q379"/>
      <c r="R379"/>
      <c r="S379"/>
      <c r="T379"/>
      <c r="U379"/>
      <c r="V379"/>
      <c r="W379"/>
      <c r="X379"/>
      <c r="Y379"/>
      <c r="Z379"/>
      <c r="AA379"/>
      <c r="AB379"/>
      <c r="AC379"/>
      <c r="AD379"/>
      <c r="AE379"/>
      <c r="AF379"/>
      <c r="AG379"/>
      <c r="AH379"/>
      <c r="AI379"/>
      <c r="AJ379"/>
      <c r="AK379"/>
      <c r="AL379"/>
      <c r="AM379"/>
      <c r="AN379"/>
      <c r="AO379"/>
      <c r="AP379"/>
      <c r="AQ379"/>
      <c r="AR379"/>
      <c r="AS379"/>
      <c r="AT379"/>
      <c r="AU379"/>
      <c r="AV379"/>
      <c r="AW379"/>
      <c r="AX379"/>
      <c r="AY379"/>
      <c r="AZ379"/>
      <c r="BA379"/>
      <c r="BB379"/>
      <c r="BC379"/>
      <c r="BD379"/>
      <c r="BE379"/>
      <c r="BF379"/>
      <c r="BG379"/>
      <c r="BH379"/>
      <c r="BI379"/>
      <c r="BJ379"/>
      <c r="BK379"/>
      <c r="BL379"/>
      <c r="BM379"/>
      <c r="BN379"/>
      <c r="BO379"/>
      <c r="BP379"/>
      <c r="BQ379"/>
      <c r="BR379"/>
      <c r="BS379"/>
      <c r="BT379"/>
      <c r="BU379"/>
      <c r="BV379"/>
      <c r="BW379"/>
      <c r="BX379"/>
      <c r="BY379"/>
      <c r="BZ379"/>
      <c r="CA379"/>
      <c r="CB379"/>
      <c r="CC379"/>
    </row>
    <row r="380" spans="1:81" x14ac:dyDescent="0.25">
      <c r="A380"/>
      <c r="B380"/>
      <c r="C380"/>
      <c r="D380"/>
      <c r="E380"/>
      <c r="F380"/>
      <c r="G380"/>
      <c r="H380"/>
      <c r="I380"/>
      <c r="J380"/>
      <c r="K380"/>
      <c r="L380"/>
      <c r="M380"/>
      <c r="N380"/>
      <c r="O380"/>
      <c r="P380"/>
      <c r="Q380"/>
      <c r="R380"/>
      <c r="S380"/>
      <c r="T380"/>
      <c r="U380"/>
      <c r="V380"/>
      <c r="W380"/>
      <c r="X380"/>
      <c r="Y380"/>
      <c r="Z380"/>
      <c r="AA380"/>
      <c r="AB380"/>
      <c r="AC380"/>
      <c r="AD380"/>
      <c r="AE380"/>
      <c r="AF380"/>
      <c r="AG380"/>
      <c r="AH380"/>
      <c r="AI380"/>
      <c r="AJ380"/>
      <c r="AK380"/>
      <c r="AL380"/>
      <c r="AM380"/>
      <c r="AN380"/>
      <c r="AO380"/>
      <c r="AP380"/>
      <c r="AQ380"/>
      <c r="AR380"/>
      <c r="AS380"/>
      <c r="AT380"/>
      <c r="AU380"/>
      <c r="AV380"/>
      <c r="AW380"/>
      <c r="AX380"/>
      <c r="AY380"/>
      <c r="AZ380"/>
      <c r="BA380"/>
      <c r="BB380"/>
      <c r="BC380"/>
      <c r="BD380"/>
      <c r="BE380"/>
      <c r="BF380"/>
      <c r="BG380"/>
      <c r="BH380"/>
      <c r="BI380"/>
      <c r="BJ380"/>
      <c r="BK380"/>
      <c r="BL380"/>
      <c r="BM380"/>
      <c r="BN380"/>
      <c r="BO380"/>
      <c r="BP380"/>
      <c r="BQ380"/>
      <c r="BR380"/>
      <c r="BS380"/>
      <c r="BT380"/>
      <c r="BU380"/>
      <c r="BV380"/>
      <c r="BW380"/>
      <c r="BX380"/>
      <c r="BY380"/>
      <c r="BZ380"/>
      <c r="CA380"/>
      <c r="CB380"/>
      <c r="CC380"/>
    </row>
    <row r="381" spans="1:81" x14ac:dyDescent="0.25">
      <c r="A381"/>
      <c r="B381"/>
      <c r="C381"/>
      <c r="D381"/>
      <c r="E381"/>
      <c r="F381"/>
      <c r="G381"/>
      <c r="H381"/>
      <c r="I381"/>
      <c r="J381"/>
      <c r="K381"/>
      <c r="L381"/>
      <c r="M381"/>
      <c r="N381"/>
      <c r="O381"/>
      <c r="P381"/>
      <c r="Q381"/>
      <c r="R381"/>
      <c r="S381"/>
      <c r="T381"/>
      <c r="U381"/>
      <c r="V381"/>
      <c r="W381"/>
      <c r="X381"/>
      <c r="Y381"/>
      <c r="Z381"/>
      <c r="AA381"/>
      <c r="AB381"/>
      <c r="AC381"/>
      <c r="AD381"/>
      <c r="AE381"/>
      <c r="AF381"/>
      <c r="AG381"/>
      <c r="AH381"/>
      <c r="AI381"/>
      <c r="AJ381"/>
      <c r="AK381"/>
      <c r="AL381"/>
      <c r="AM381"/>
      <c r="AN381"/>
      <c r="AO381"/>
      <c r="AP381"/>
      <c r="AQ381"/>
      <c r="AR381"/>
      <c r="AS381"/>
      <c r="AT381"/>
      <c r="AU381"/>
      <c r="AV381"/>
      <c r="AW381"/>
      <c r="AX381"/>
      <c r="AY381"/>
      <c r="AZ381"/>
      <c r="BA381"/>
      <c r="BB381"/>
      <c r="BC381"/>
      <c r="BD381"/>
      <c r="BE381"/>
      <c r="BF381"/>
      <c r="BG381"/>
      <c r="BH381"/>
      <c r="BI381"/>
      <c r="BJ381"/>
      <c r="BK381"/>
      <c r="BL381"/>
      <c r="BM381"/>
      <c r="BN381"/>
      <c r="BO381"/>
      <c r="BP381"/>
      <c r="BQ381"/>
      <c r="BR381"/>
      <c r="BS381"/>
      <c r="BT381"/>
      <c r="BU381"/>
      <c r="BV381"/>
      <c r="BW381"/>
      <c r="BX381"/>
      <c r="BY381"/>
      <c r="BZ381"/>
      <c r="CA381"/>
      <c r="CB381"/>
      <c r="CC381"/>
    </row>
    <row r="382" spans="1:81" x14ac:dyDescent="0.25">
      <c r="A382"/>
      <c r="B382"/>
      <c r="C382"/>
      <c r="D382"/>
      <c r="E382"/>
      <c r="F382"/>
      <c r="G382"/>
      <c r="H382"/>
      <c r="I382"/>
      <c r="J382"/>
      <c r="K382"/>
      <c r="L382"/>
      <c r="M382"/>
      <c r="N382"/>
      <c r="O382"/>
      <c r="P382"/>
      <c r="Q382"/>
      <c r="R382"/>
      <c r="S382"/>
      <c r="T382"/>
      <c r="U382"/>
      <c r="V382"/>
      <c r="W382"/>
      <c r="X382"/>
      <c r="Y382"/>
      <c r="Z382"/>
      <c r="AA382"/>
      <c r="AB382"/>
      <c r="AC382"/>
      <c r="AD382"/>
      <c r="AE382"/>
      <c r="AF382"/>
      <c r="AG382"/>
      <c r="AH382"/>
      <c r="AI382"/>
      <c r="AJ382"/>
      <c r="AK382"/>
      <c r="AL382"/>
      <c r="AM382"/>
      <c r="AN382"/>
      <c r="AO382"/>
      <c r="AP382"/>
      <c r="AQ382"/>
      <c r="AR382"/>
      <c r="AS382"/>
      <c r="AT382"/>
      <c r="AU382"/>
      <c r="AV382"/>
      <c r="AW382"/>
      <c r="AX382"/>
      <c r="AY382"/>
      <c r="AZ382"/>
      <c r="BA382"/>
      <c r="BB382"/>
      <c r="BC382"/>
      <c r="BD382"/>
      <c r="BE382"/>
      <c r="BF382"/>
      <c r="BG382"/>
      <c r="BH382"/>
      <c r="BI382"/>
      <c r="BJ382"/>
      <c r="BK382"/>
      <c r="BL382"/>
      <c r="BM382"/>
      <c r="BN382"/>
      <c r="BO382"/>
      <c r="BP382"/>
      <c r="BQ382"/>
      <c r="BR382"/>
      <c r="BS382"/>
      <c r="BT382"/>
      <c r="BU382"/>
      <c r="BV382"/>
      <c r="BW382"/>
      <c r="BX382"/>
      <c r="BY382"/>
      <c r="BZ382"/>
      <c r="CA382"/>
      <c r="CB382"/>
      <c r="CC382"/>
    </row>
    <row r="383" spans="1:81" x14ac:dyDescent="0.25">
      <c r="A383"/>
      <c r="B383"/>
      <c r="C383"/>
      <c r="D383"/>
      <c r="E383"/>
      <c r="F383"/>
      <c r="G383"/>
      <c r="H383"/>
      <c r="I383"/>
      <c r="J383"/>
      <c r="K383"/>
      <c r="L383"/>
      <c r="M383"/>
      <c r="N383"/>
      <c r="O383"/>
      <c r="P383"/>
      <c r="Q383"/>
      <c r="R383"/>
      <c r="S383"/>
      <c r="T383"/>
      <c r="U383"/>
      <c r="V383"/>
      <c r="W383"/>
      <c r="X383"/>
      <c r="Y383"/>
      <c r="Z383"/>
      <c r="AA383"/>
      <c r="AB383"/>
      <c r="AC383"/>
      <c r="AD383"/>
      <c r="AE383"/>
      <c r="AF383"/>
      <c r="AG383"/>
      <c r="AH383"/>
      <c r="AI383"/>
      <c r="AJ383"/>
      <c r="AK383"/>
      <c r="AL383"/>
      <c r="AM383"/>
      <c r="AN383"/>
      <c r="AO383"/>
      <c r="AP383"/>
      <c r="AQ383"/>
      <c r="AR383"/>
      <c r="AS383"/>
      <c r="AT383"/>
      <c r="AU383"/>
      <c r="AV383"/>
      <c r="AW383"/>
      <c r="AX383"/>
      <c r="AY383"/>
      <c r="AZ383"/>
      <c r="BA383"/>
      <c r="BB383"/>
      <c r="BC383"/>
      <c r="BD383"/>
      <c r="BE383"/>
      <c r="BF383"/>
      <c r="BG383"/>
      <c r="BH383"/>
      <c r="BI383"/>
      <c r="BJ383"/>
      <c r="BK383"/>
      <c r="BL383"/>
      <c r="BM383"/>
      <c r="BN383"/>
      <c r="BO383"/>
      <c r="BP383"/>
      <c r="BQ383"/>
      <c r="BR383"/>
      <c r="BS383"/>
      <c r="BT383"/>
      <c r="BU383"/>
      <c r="BV383"/>
      <c r="BW383"/>
      <c r="BX383"/>
      <c r="BY383"/>
      <c r="BZ383"/>
      <c r="CA383"/>
      <c r="CB383"/>
      <c r="CC383"/>
    </row>
    <row r="384" spans="1:81" x14ac:dyDescent="0.25">
      <c r="A384"/>
      <c r="B384"/>
      <c r="C384"/>
      <c r="D384"/>
      <c r="E384"/>
      <c r="F384"/>
      <c r="G384"/>
      <c r="H384"/>
      <c r="I384"/>
      <c r="J384"/>
      <c r="K384"/>
      <c r="L384"/>
      <c r="M384"/>
      <c r="N384"/>
      <c r="O384"/>
      <c r="P384"/>
      <c r="Q384"/>
      <c r="R384"/>
      <c r="S384"/>
      <c r="T384"/>
      <c r="U384"/>
      <c r="V384"/>
      <c r="W384"/>
      <c r="X384"/>
      <c r="Y384"/>
      <c r="Z384"/>
      <c r="AA384"/>
      <c r="AB384"/>
      <c r="AC384"/>
      <c r="AD384"/>
      <c r="AE384"/>
      <c r="AF384"/>
      <c r="AG384"/>
      <c r="AH384"/>
      <c r="AI384"/>
      <c r="AJ384"/>
      <c r="AK384"/>
      <c r="AL384"/>
      <c r="AM384"/>
      <c r="AN384"/>
      <c r="AO384"/>
      <c r="AP384"/>
      <c r="AQ384"/>
      <c r="AR384"/>
      <c r="AS384"/>
      <c r="AT384"/>
      <c r="AU384"/>
      <c r="AV384"/>
      <c r="AW384"/>
      <c r="AX384"/>
      <c r="AY384"/>
      <c r="AZ384"/>
      <c r="BA384"/>
      <c r="BB384"/>
      <c r="BC384"/>
      <c r="BD384"/>
      <c r="BE384"/>
      <c r="BF384"/>
      <c r="BG384"/>
      <c r="BH384"/>
      <c r="BI384"/>
      <c r="BJ384"/>
      <c r="BK384"/>
      <c r="BL384"/>
      <c r="BM384"/>
      <c r="BN384"/>
      <c r="BO384"/>
      <c r="BP384"/>
      <c r="BQ384"/>
      <c r="BR384"/>
      <c r="BS384"/>
      <c r="BT384"/>
      <c r="BU384"/>
      <c r="BV384"/>
      <c r="BW384"/>
      <c r="BX384"/>
      <c r="BY384"/>
      <c r="BZ384"/>
      <c r="CA384"/>
      <c r="CB384"/>
      <c r="CC384"/>
    </row>
    <row r="385" spans="1:81" x14ac:dyDescent="0.25">
      <c r="A385"/>
      <c r="B385"/>
      <c r="C385"/>
      <c r="D385"/>
      <c r="E385"/>
      <c r="F385"/>
      <c r="G385"/>
      <c r="H385"/>
      <c r="I385"/>
      <c r="J385"/>
      <c r="K385"/>
      <c r="L385"/>
      <c r="M385"/>
      <c r="N385"/>
      <c r="O385"/>
      <c r="P385"/>
      <c r="Q385"/>
      <c r="R385"/>
      <c r="S385"/>
      <c r="T385"/>
      <c r="U385"/>
      <c r="V385"/>
      <c r="W385"/>
      <c r="X385"/>
      <c r="Y385"/>
      <c r="Z385"/>
      <c r="AA385"/>
      <c r="AB385"/>
      <c r="AC385"/>
      <c r="AD385"/>
      <c r="AE385"/>
      <c r="AF385"/>
      <c r="AG385"/>
      <c r="AH385"/>
      <c r="AI385"/>
      <c r="AJ385"/>
      <c r="AK385"/>
      <c r="AL385"/>
      <c r="AM385"/>
      <c r="AN385"/>
      <c r="AO385"/>
      <c r="AP385"/>
      <c r="AQ385"/>
      <c r="AR385"/>
      <c r="AS385"/>
      <c r="AT385"/>
      <c r="AU385"/>
      <c r="AV385"/>
      <c r="AW385"/>
      <c r="AX385"/>
      <c r="AY385"/>
      <c r="AZ385"/>
      <c r="BA385"/>
      <c r="BB385"/>
      <c r="BC385"/>
      <c r="BD385"/>
      <c r="BE385"/>
      <c r="BF385"/>
      <c r="BG385"/>
      <c r="BH385"/>
      <c r="BI385"/>
      <c r="BJ385"/>
      <c r="BK385"/>
      <c r="BL385"/>
      <c r="BM385"/>
      <c r="BN385"/>
      <c r="BO385"/>
      <c r="BP385"/>
      <c r="BQ385"/>
      <c r="BR385"/>
      <c r="BS385"/>
      <c r="BT385"/>
      <c r="BU385"/>
      <c r="BV385"/>
      <c r="BW385"/>
      <c r="BX385"/>
      <c r="BY385"/>
      <c r="BZ385"/>
      <c r="CA385"/>
      <c r="CB385"/>
      <c r="CC385"/>
    </row>
    <row r="386" spans="1:81" x14ac:dyDescent="0.25">
      <c r="A386"/>
      <c r="B386"/>
      <c r="C386"/>
      <c r="D386"/>
      <c r="E386"/>
      <c r="F386"/>
      <c r="G386"/>
      <c r="H386"/>
      <c r="I386"/>
      <c r="J386"/>
      <c r="K386"/>
      <c r="L386"/>
      <c r="M386"/>
      <c r="N386"/>
      <c r="O386"/>
      <c r="P386"/>
      <c r="Q386"/>
      <c r="R386"/>
      <c r="S386"/>
      <c r="T386"/>
      <c r="U386"/>
      <c r="V386"/>
      <c r="W386"/>
      <c r="X386"/>
      <c r="Y386"/>
      <c r="Z386"/>
      <c r="AA386"/>
      <c r="AB386"/>
      <c r="AC386"/>
      <c r="AD386"/>
      <c r="AE386"/>
      <c r="AF386"/>
      <c r="AG386"/>
      <c r="AH386"/>
      <c r="AI386"/>
      <c r="AJ386"/>
      <c r="AK386"/>
      <c r="AL386"/>
      <c r="AM386"/>
      <c r="AN386"/>
      <c r="AO386"/>
      <c r="AP386"/>
      <c r="AQ386"/>
      <c r="AR386"/>
      <c r="AS386"/>
      <c r="AT386"/>
      <c r="AU386"/>
      <c r="AV386"/>
      <c r="AW386"/>
      <c r="AX386"/>
      <c r="AY386"/>
      <c r="AZ386"/>
      <c r="BA386"/>
      <c r="BB386"/>
      <c r="BC386"/>
      <c r="BD386"/>
      <c r="BE386"/>
      <c r="BF386"/>
      <c r="BG386"/>
      <c r="BH386"/>
      <c r="BI386"/>
      <c r="BJ386"/>
      <c r="BK386"/>
      <c r="BL386"/>
      <c r="BM386"/>
      <c r="BN386"/>
      <c r="BO386"/>
      <c r="BP386"/>
      <c r="BQ386"/>
      <c r="BR386"/>
      <c r="BS386"/>
      <c r="BT386"/>
      <c r="BU386"/>
      <c r="BV386"/>
      <c r="BW386"/>
      <c r="BX386"/>
      <c r="BY386"/>
      <c r="BZ386"/>
      <c r="CA386"/>
      <c r="CB386"/>
      <c r="CC386"/>
    </row>
    <row r="387" spans="1:81" x14ac:dyDescent="0.25">
      <c r="A387"/>
      <c r="B387"/>
      <c r="C387"/>
      <c r="D387"/>
      <c r="E387"/>
      <c r="F387"/>
      <c r="G387"/>
      <c r="H387"/>
      <c r="I387"/>
      <c r="J387"/>
      <c r="K387"/>
      <c r="L387"/>
      <c r="M387"/>
      <c r="N387"/>
      <c r="O387"/>
      <c r="P387"/>
      <c r="Q387"/>
      <c r="R387"/>
      <c r="S387"/>
      <c r="T387"/>
      <c r="U387"/>
      <c r="V387"/>
      <c r="W387"/>
      <c r="X387"/>
      <c r="Y387"/>
      <c r="Z387"/>
      <c r="AA387"/>
      <c r="AB387"/>
      <c r="AC387"/>
      <c r="AD387"/>
      <c r="AE387"/>
      <c r="AF387"/>
      <c r="AG387"/>
      <c r="AH387"/>
      <c r="AI387"/>
      <c r="AJ387"/>
      <c r="AK387"/>
      <c r="AL387"/>
      <c r="AM387"/>
      <c r="AN387"/>
      <c r="AO387"/>
      <c r="AP387"/>
      <c r="AQ387"/>
      <c r="AR387"/>
      <c r="AS387"/>
      <c r="AT387"/>
      <c r="AU387"/>
      <c r="AV387"/>
      <c r="AW387"/>
      <c r="AX387"/>
      <c r="AY387"/>
      <c r="AZ387"/>
      <c r="BA387"/>
      <c r="BB387"/>
      <c r="BC387"/>
      <c r="BD387"/>
      <c r="BE387"/>
      <c r="BF387"/>
      <c r="BG387"/>
      <c r="BH387"/>
      <c r="BI387"/>
      <c r="BJ387"/>
      <c r="BK387"/>
      <c r="BL387"/>
      <c r="BM387"/>
      <c r="BN387"/>
      <c r="BO387"/>
      <c r="BP387"/>
      <c r="BQ387"/>
      <c r="BR387"/>
      <c r="BS387"/>
      <c r="BT387"/>
      <c r="BU387"/>
      <c r="BV387"/>
      <c r="BW387"/>
      <c r="BX387"/>
      <c r="BY387"/>
      <c r="BZ387"/>
      <c r="CA387"/>
      <c r="CB387"/>
      <c r="CC387"/>
    </row>
    <row r="388" spans="1:81" x14ac:dyDescent="0.25">
      <c r="A388"/>
      <c r="B388"/>
      <c r="C388"/>
      <c r="D388"/>
      <c r="E388"/>
      <c r="F388"/>
      <c r="G388"/>
      <c r="H388"/>
      <c r="I388"/>
      <c r="J388"/>
      <c r="K388"/>
      <c r="L388"/>
      <c r="M388"/>
      <c r="N388"/>
      <c r="O388"/>
      <c r="P388"/>
      <c r="Q388"/>
      <c r="R388"/>
      <c r="S388"/>
      <c r="T388"/>
      <c r="U388"/>
      <c r="V388"/>
      <c r="W388"/>
      <c r="X388"/>
      <c r="Y388"/>
      <c r="Z388"/>
      <c r="AA388"/>
      <c r="AB388"/>
      <c r="AC388"/>
      <c r="AD388"/>
      <c r="AE388"/>
      <c r="AF388"/>
      <c r="AG388"/>
      <c r="AH388"/>
      <c r="AI388"/>
      <c r="AJ388"/>
      <c r="AK388"/>
      <c r="AL388"/>
      <c r="AM388"/>
      <c r="AN388"/>
      <c r="AO388"/>
      <c r="AP388"/>
      <c r="AQ388"/>
      <c r="AR388"/>
      <c r="AS388"/>
      <c r="AT388"/>
      <c r="AU388"/>
      <c r="AV388"/>
      <c r="AW388"/>
      <c r="AX388"/>
      <c r="AY388"/>
      <c r="AZ388"/>
      <c r="BA388"/>
      <c r="BB388"/>
      <c r="BC388"/>
      <c r="BD388"/>
      <c r="BE388"/>
      <c r="BF388"/>
      <c r="BG388"/>
      <c r="BH388"/>
      <c r="BI388"/>
      <c r="BJ388"/>
      <c r="BK388"/>
      <c r="BL388"/>
      <c r="BM388"/>
      <c r="BN388"/>
      <c r="BO388"/>
      <c r="BP388"/>
      <c r="BQ388"/>
      <c r="BR388"/>
      <c r="BS388"/>
      <c r="BT388"/>
      <c r="BU388"/>
      <c r="BV388"/>
      <c r="BW388"/>
      <c r="BX388"/>
      <c r="BY388"/>
      <c r="BZ388"/>
      <c r="CA388"/>
      <c r="CB388"/>
      <c r="CC388"/>
    </row>
    <row r="389" spans="1:81" x14ac:dyDescent="0.25">
      <c r="A389"/>
      <c r="B389"/>
      <c r="C389"/>
      <c r="D389"/>
      <c r="E389"/>
      <c r="F389"/>
      <c r="G389"/>
      <c r="H389"/>
      <c r="I389"/>
      <c r="J389"/>
      <c r="K389"/>
      <c r="L389"/>
      <c r="M389"/>
      <c r="N389"/>
      <c r="O389"/>
      <c r="P389"/>
      <c r="Q389"/>
      <c r="R389"/>
      <c r="S389"/>
      <c r="T389"/>
      <c r="U389"/>
      <c r="V389"/>
      <c r="W389"/>
      <c r="X389"/>
      <c r="Y389"/>
      <c r="Z389"/>
      <c r="AA389"/>
      <c r="AB389"/>
      <c r="AC389"/>
      <c r="AD389"/>
      <c r="AE389"/>
      <c r="AF389"/>
      <c r="AG389"/>
      <c r="AH389"/>
      <c r="AI389"/>
      <c r="AJ389"/>
      <c r="AK389"/>
      <c r="AL389"/>
      <c r="AM389"/>
      <c r="AN389"/>
      <c r="AO389"/>
      <c r="AP389"/>
      <c r="AQ389"/>
      <c r="AR389"/>
      <c r="AS389"/>
      <c r="AT389"/>
      <c r="AU389"/>
      <c r="AV389"/>
      <c r="AW389"/>
      <c r="AX389"/>
      <c r="AY389"/>
      <c r="AZ389"/>
      <c r="BA389"/>
      <c r="BB389"/>
      <c r="BC389"/>
      <c r="BD389"/>
      <c r="BE389"/>
      <c r="BF389"/>
      <c r="BG389"/>
      <c r="BH389"/>
      <c r="BI389"/>
      <c r="BJ389"/>
      <c r="BK389"/>
      <c r="BL389"/>
      <c r="BM389"/>
      <c r="BN389"/>
      <c r="BO389"/>
      <c r="BP389"/>
      <c r="BQ389"/>
      <c r="BR389"/>
      <c r="BS389"/>
      <c r="BT389"/>
      <c r="BU389"/>
      <c r="BV389"/>
      <c r="BW389"/>
      <c r="BX389"/>
      <c r="BY389"/>
      <c r="BZ389"/>
      <c r="CA389"/>
      <c r="CB389"/>
      <c r="CC389"/>
    </row>
    <row r="390" spans="1:81" x14ac:dyDescent="0.25">
      <c r="A390"/>
      <c r="B390"/>
      <c r="C390"/>
      <c r="D390"/>
      <c r="E390"/>
      <c r="F390"/>
      <c r="G390"/>
      <c r="H390"/>
      <c r="I390"/>
      <c r="J390"/>
      <c r="K390"/>
      <c r="L390"/>
      <c r="M390"/>
      <c r="N390"/>
      <c r="O390"/>
      <c r="P390"/>
      <c r="Q390"/>
      <c r="R390"/>
      <c r="S390"/>
      <c r="T390"/>
      <c r="U390"/>
      <c r="V390"/>
      <c r="W390"/>
      <c r="X390"/>
      <c r="Y390"/>
      <c r="Z390"/>
      <c r="AA390"/>
      <c r="AB390"/>
      <c r="AC390"/>
      <c r="AD390"/>
      <c r="AE390"/>
      <c r="AF390"/>
      <c r="AG390"/>
      <c r="AH390"/>
      <c r="AI390"/>
      <c r="AJ390"/>
      <c r="AK390"/>
      <c r="AL390"/>
      <c r="AM390"/>
      <c r="AN390"/>
      <c r="AO390"/>
      <c r="AP390"/>
      <c r="AQ390"/>
      <c r="AR390"/>
      <c r="AS390"/>
      <c r="AT390"/>
      <c r="AU390"/>
      <c r="AV390"/>
      <c r="AW390"/>
      <c r="AX390"/>
      <c r="AY390"/>
      <c r="AZ390"/>
      <c r="BA390"/>
      <c r="BB390"/>
      <c r="BC390"/>
      <c r="BD390"/>
      <c r="BE390"/>
      <c r="BF390"/>
      <c r="BG390"/>
      <c r="BH390"/>
      <c r="BI390"/>
      <c r="BJ390"/>
      <c r="BK390"/>
      <c r="BL390"/>
      <c r="BM390"/>
      <c r="BN390"/>
      <c r="BO390"/>
      <c r="BP390"/>
      <c r="BQ390"/>
      <c r="BR390"/>
      <c r="BS390"/>
      <c r="BT390"/>
      <c r="BU390"/>
      <c r="BV390"/>
      <c r="BW390"/>
      <c r="BX390"/>
      <c r="BY390"/>
      <c r="BZ390"/>
      <c r="CA390"/>
      <c r="CB390"/>
      <c r="CC390"/>
    </row>
    <row r="391" spans="1:81" x14ac:dyDescent="0.25">
      <c r="A391"/>
      <c r="B391"/>
      <c r="C391"/>
      <c r="D391"/>
      <c r="E391"/>
      <c r="F391"/>
      <c r="G391"/>
      <c r="H391"/>
      <c r="I391"/>
      <c r="J391"/>
      <c r="K391"/>
      <c r="L391"/>
      <c r="M391"/>
      <c r="N391"/>
      <c r="O391"/>
      <c r="P391"/>
      <c r="Q391"/>
      <c r="R391"/>
      <c r="S391"/>
      <c r="T391"/>
      <c r="U391"/>
      <c r="V391"/>
      <c r="W391"/>
      <c r="X391"/>
      <c r="Y391"/>
      <c r="Z391"/>
      <c r="AA391"/>
      <c r="AB391"/>
      <c r="AC391"/>
      <c r="AD391"/>
      <c r="AE391"/>
      <c r="AF391"/>
      <c r="AG391"/>
      <c r="AH391"/>
      <c r="AI391"/>
      <c r="AJ391"/>
      <c r="AK391"/>
      <c r="AL391"/>
      <c r="AM391"/>
      <c r="AN391"/>
      <c r="AO391"/>
      <c r="AP391"/>
      <c r="AQ391"/>
      <c r="AR391"/>
      <c r="AS391"/>
      <c r="AT391"/>
      <c r="AU391"/>
      <c r="AV391"/>
      <c r="AW391"/>
      <c r="AX391"/>
      <c r="AY391"/>
      <c r="AZ391"/>
      <c r="BA391"/>
      <c r="BB391"/>
      <c r="BC391"/>
      <c r="BD391"/>
      <c r="BE391"/>
      <c r="BF391"/>
      <c r="BG391"/>
      <c r="BH391"/>
      <c r="BI391"/>
      <c r="BJ391"/>
      <c r="BK391"/>
      <c r="BL391"/>
      <c r="BM391"/>
      <c r="BN391"/>
      <c r="BO391"/>
      <c r="BP391"/>
      <c r="BQ391"/>
      <c r="BR391"/>
      <c r="BS391"/>
      <c r="BT391"/>
      <c r="BU391"/>
      <c r="BV391"/>
      <c r="BW391"/>
      <c r="BX391"/>
      <c r="BY391"/>
      <c r="BZ391"/>
      <c r="CA391"/>
      <c r="CB391"/>
      <c r="CC391"/>
    </row>
    <row r="392" spans="1:81" x14ac:dyDescent="0.25">
      <c r="A392"/>
      <c r="B392"/>
      <c r="C392"/>
      <c r="D392"/>
      <c r="E392"/>
      <c r="F392"/>
      <c r="G392"/>
      <c r="H392"/>
      <c r="I392"/>
      <c r="J392"/>
      <c r="K392"/>
      <c r="L392"/>
      <c r="M392"/>
      <c r="N392"/>
      <c r="O392"/>
      <c r="P392"/>
      <c r="Q392"/>
      <c r="R392"/>
      <c r="S392"/>
      <c r="T392"/>
      <c r="U392"/>
      <c r="V392"/>
      <c r="W392"/>
      <c r="X392"/>
      <c r="Y392"/>
      <c r="Z392"/>
      <c r="AA392"/>
      <c r="AB392"/>
      <c r="AC392"/>
      <c r="AD392"/>
      <c r="AE392"/>
      <c r="AF392"/>
      <c r="AG392"/>
      <c r="AH392"/>
      <c r="AI392"/>
      <c r="AJ392"/>
      <c r="AK392"/>
      <c r="AL392"/>
      <c r="AM392"/>
      <c r="AN392"/>
      <c r="AO392"/>
      <c r="AP392"/>
      <c r="AQ392"/>
      <c r="AR392"/>
      <c r="AS392"/>
      <c r="AT392"/>
      <c r="AU392"/>
      <c r="AV392"/>
      <c r="AW392"/>
      <c r="AX392"/>
      <c r="AY392"/>
      <c r="AZ392"/>
      <c r="BA392"/>
      <c r="BB392"/>
      <c r="BC392"/>
      <c r="BD392"/>
      <c r="BE392"/>
      <c r="BF392"/>
      <c r="BG392"/>
      <c r="BH392"/>
      <c r="BI392"/>
      <c r="BJ392"/>
      <c r="BK392"/>
      <c r="BL392"/>
      <c r="BM392"/>
      <c r="BN392"/>
      <c r="BO392"/>
      <c r="BP392"/>
      <c r="BQ392"/>
      <c r="BR392"/>
      <c r="BS392"/>
      <c r="BT392"/>
      <c r="BU392"/>
      <c r="BV392"/>
      <c r="BW392"/>
      <c r="BX392"/>
      <c r="BY392"/>
      <c r="BZ392"/>
      <c r="CA392"/>
      <c r="CB392"/>
      <c r="CC392"/>
    </row>
    <row r="393" spans="1:81" x14ac:dyDescent="0.25">
      <c r="A393"/>
      <c r="B393"/>
      <c r="C393"/>
      <c r="D393"/>
      <c r="E393"/>
      <c r="F393"/>
      <c r="G393"/>
      <c r="H393"/>
      <c r="I393"/>
      <c r="J393"/>
      <c r="K393"/>
      <c r="L393"/>
      <c r="M393"/>
      <c r="N393"/>
      <c r="O393"/>
      <c r="P393"/>
      <c r="Q393"/>
      <c r="R393"/>
      <c r="S393"/>
      <c r="T393"/>
      <c r="U393"/>
      <c r="V393"/>
      <c r="W393"/>
      <c r="X393"/>
      <c r="Y393"/>
      <c r="Z393"/>
      <c r="AA393"/>
      <c r="AB393"/>
      <c r="AC393"/>
      <c r="AD393"/>
      <c r="AE393"/>
      <c r="AF393"/>
      <c r="AG393"/>
      <c r="AH393"/>
      <c r="AI393"/>
      <c r="AJ393"/>
      <c r="AK393"/>
      <c r="AL393"/>
      <c r="AM393"/>
      <c r="AN393"/>
      <c r="AO393"/>
      <c r="AP393"/>
      <c r="AQ393"/>
      <c r="AR393"/>
      <c r="AS393"/>
      <c r="AT393"/>
      <c r="AU393"/>
      <c r="AV393"/>
      <c r="AW393"/>
      <c r="AX393"/>
      <c r="AY393"/>
      <c r="AZ393"/>
      <c r="BA393"/>
      <c r="BB393"/>
      <c r="BC393"/>
      <c r="BD393"/>
      <c r="BE393"/>
      <c r="BF393"/>
      <c r="BG393"/>
      <c r="BH393"/>
      <c r="BI393"/>
      <c r="BJ393"/>
      <c r="BK393"/>
      <c r="BL393"/>
      <c r="BM393"/>
      <c r="BN393"/>
      <c r="BO393"/>
      <c r="BP393"/>
      <c r="BQ393"/>
      <c r="BR393"/>
      <c r="BS393"/>
      <c r="BT393"/>
      <c r="BU393"/>
      <c r="BV393"/>
      <c r="BW393"/>
      <c r="BX393"/>
      <c r="BY393"/>
      <c r="BZ393"/>
      <c r="CA393"/>
      <c r="CB393"/>
      <c r="CC393"/>
    </row>
    <row r="394" spans="1:81" x14ac:dyDescent="0.25">
      <c r="A394"/>
      <c r="B394"/>
      <c r="C394"/>
      <c r="D394"/>
      <c r="E394"/>
      <c r="F394"/>
      <c r="G394"/>
      <c r="H394"/>
      <c r="I394"/>
      <c r="J394"/>
      <c r="K394"/>
      <c r="L394"/>
      <c r="M394"/>
      <c r="N394"/>
      <c r="O394"/>
      <c r="P394"/>
      <c r="Q394"/>
      <c r="R394"/>
      <c r="S394"/>
      <c r="T394"/>
      <c r="U394"/>
      <c r="V394"/>
      <c r="W394"/>
      <c r="X394"/>
      <c r="Y394"/>
      <c r="Z394"/>
      <c r="AA394"/>
      <c r="AB394"/>
      <c r="AC394"/>
      <c r="AD394"/>
      <c r="AE394"/>
      <c r="AF394"/>
      <c r="AG394"/>
      <c r="AH394"/>
      <c r="AI394"/>
      <c r="AJ394"/>
      <c r="AK394"/>
      <c r="AL394"/>
      <c r="AM394"/>
      <c r="AN394"/>
      <c r="AO394"/>
      <c r="AP394"/>
      <c r="AQ394"/>
      <c r="AR394"/>
      <c r="AS394"/>
      <c r="AT394"/>
      <c r="AU394"/>
      <c r="AV394"/>
      <c r="AW394"/>
      <c r="AX394"/>
      <c r="AY394"/>
      <c r="AZ394"/>
      <c r="BA394"/>
      <c r="BB394"/>
      <c r="BC394"/>
      <c r="BD394"/>
      <c r="BE394"/>
      <c r="BF394"/>
      <c r="BG394"/>
      <c r="BH394"/>
      <c r="BI394"/>
      <c r="BJ394"/>
      <c r="BK394"/>
      <c r="BL394"/>
      <c r="BM394"/>
      <c r="BN394"/>
      <c r="BO394"/>
      <c r="BP394"/>
      <c r="BQ394"/>
      <c r="BR394"/>
      <c r="BS394"/>
      <c r="BT394"/>
      <c r="BU394"/>
      <c r="BV394"/>
      <c r="BW394"/>
      <c r="BX394"/>
      <c r="BY394"/>
      <c r="BZ394"/>
      <c r="CA394"/>
      <c r="CB394"/>
      <c r="CC394"/>
    </row>
    <row r="395" spans="1:81" x14ac:dyDescent="0.25">
      <c r="A395"/>
      <c r="B395"/>
      <c r="C395"/>
      <c r="D395"/>
      <c r="E395"/>
      <c r="F395"/>
      <c r="G395"/>
      <c r="H395"/>
      <c r="I395"/>
      <c r="J395"/>
      <c r="K395"/>
      <c r="L395"/>
      <c r="M395"/>
      <c r="N395"/>
      <c r="O395"/>
      <c r="P395"/>
      <c r="Q395"/>
      <c r="R395"/>
      <c r="S395"/>
      <c r="T395"/>
      <c r="U395"/>
      <c r="V395"/>
      <c r="W395"/>
      <c r="X395"/>
      <c r="Y395"/>
      <c r="Z395"/>
      <c r="AA395"/>
      <c r="AB395"/>
      <c r="AC395"/>
      <c r="AD395"/>
      <c r="AE395"/>
      <c r="AF395"/>
      <c r="AG395"/>
      <c r="AH395"/>
      <c r="AI395"/>
      <c r="AJ395"/>
      <c r="AK395"/>
      <c r="AL395"/>
      <c r="AM395"/>
      <c r="AN395"/>
      <c r="AO395"/>
      <c r="AP395"/>
      <c r="AQ395"/>
      <c r="AR395"/>
      <c r="AS395"/>
      <c r="AT395"/>
      <c r="AU395"/>
      <c r="AV395"/>
      <c r="AW395"/>
      <c r="AX395"/>
      <c r="AY395"/>
      <c r="AZ395"/>
      <c r="BA395"/>
      <c r="BB395"/>
      <c r="BC395"/>
      <c r="BD395"/>
      <c r="BE395"/>
      <c r="BF395"/>
      <c r="BG395"/>
      <c r="BH395"/>
      <c r="BI395"/>
      <c r="BJ395"/>
      <c r="BK395"/>
      <c r="BL395"/>
      <c r="BM395"/>
      <c r="BN395"/>
      <c r="BO395"/>
      <c r="BP395"/>
      <c r="BQ395"/>
      <c r="BR395"/>
      <c r="BS395"/>
      <c r="BT395"/>
      <c r="BU395"/>
      <c r="BV395"/>
      <c r="BW395"/>
      <c r="BX395"/>
      <c r="BY395"/>
      <c r="BZ395"/>
      <c r="CA395"/>
      <c r="CB395"/>
      <c r="CC395"/>
    </row>
    <row r="396" spans="1:81" x14ac:dyDescent="0.25">
      <c r="A396"/>
      <c r="B396"/>
      <c r="C396"/>
      <c r="D396"/>
      <c r="E396"/>
      <c r="F396"/>
      <c r="G396"/>
      <c r="H396"/>
      <c r="I396"/>
      <c r="J396"/>
      <c r="K396"/>
      <c r="L396"/>
      <c r="M396"/>
      <c r="N396"/>
      <c r="O396"/>
      <c r="P396"/>
      <c r="Q396"/>
      <c r="R396"/>
      <c r="S396"/>
      <c r="T396"/>
      <c r="U396"/>
      <c r="V396"/>
      <c r="W396"/>
      <c r="X396"/>
      <c r="Y396"/>
      <c r="Z396"/>
      <c r="AA396"/>
      <c r="AB396"/>
      <c r="AC396"/>
      <c r="AD396"/>
      <c r="AE396"/>
      <c r="AF396"/>
      <c r="AG396"/>
      <c r="AH396"/>
      <c r="AI396"/>
      <c r="AJ396"/>
      <c r="AK396"/>
      <c r="AL396"/>
      <c r="AM396"/>
      <c r="AN396"/>
      <c r="AO396"/>
      <c r="AP396"/>
      <c r="AQ396"/>
      <c r="AR396"/>
      <c r="AS396"/>
      <c r="AT396"/>
      <c r="AU396"/>
      <c r="AV396"/>
      <c r="AW396"/>
      <c r="AX396"/>
      <c r="AY396"/>
      <c r="AZ396"/>
      <c r="BA396"/>
      <c r="BB396"/>
      <c r="BC396"/>
      <c r="BD396"/>
      <c r="BE396"/>
      <c r="BF396"/>
      <c r="BG396"/>
      <c r="BH396"/>
      <c r="BI396"/>
      <c r="BJ396"/>
      <c r="BK396"/>
      <c r="BL396"/>
      <c r="BM396"/>
      <c r="BN396"/>
      <c r="BO396"/>
      <c r="BP396"/>
      <c r="BQ396"/>
      <c r="BR396"/>
      <c r="BS396"/>
      <c r="BT396"/>
      <c r="BU396"/>
      <c r="BV396"/>
      <c r="BW396"/>
      <c r="BX396"/>
      <c r="BY396"/>
      <c r="BZ396"/>
      <c r="CA396"/>
      <c r="CB396"/>
      <c r="CC396"/>
    </row>
    <row r="397" spans="1:81" x14ac:dyDescent="0.25">
      <c r="A397"/>
      <c r="B397"/>
      <c r="C397"/>
      <c r="D397"/>
      <c r="E397"/>
      <c r="F397"/>
      <c r="G397"/>
      <c r="H397"/>
      <c r="I397"/>
      <c r="J397"/>
      <c r="K397"/>
      <c r="L397"/>
      <c r="M397"/>
      <c r="N397"/>
      <c r="O397"/>
      <c r="P397"/>
      <c r="Q397"/>
      <c r="R397"/>
      <c r="S397"/>
      <c r="T397"/>
      <c r="U397"/>
      <c r="V397"/>
      <c r="W397"/>
      <c r="X397"/>
      <c r="Y397"/>
      <c r="Z397"/>
      <c r="AA397"/>
      <c r="AB397"/>
      <c r="AC397"/>
      <c r="AD397"/>
      <c r="AE397"/>
      <c r="AF397"/>
      <c r="AG397"/>
      <c r="AH397"/>
      <c r="AI397"/>
      <c r="AJ397"/>
      <c r="AK397"/>
      <c r="AL397"/>
      <c r="AM397"/>
      <c r="AN397"/>
      <c r="AO397"/>
      <c r="AP397"/>
      <c r="AQ397"/>
      <c r="AR397"/>
      <c r="AS397"/>
      <c r="AT397"/>
      <c r="AU397"/>
      <c r="AV397"/>
      <c r="AW397"/>
      <c r="AX397"/>
      <c r="AY397"/>
      <c r="AZ397"/>
      <c r="BA397"/>
      <c r="BB397"/>
      <c r="BC397"/>
      <c r="BD397"/>
      <c r="BE397"/>
      <c r="BF397"/>
      <c r="BG397"/>
      <c r="BH397"/>
      <c r="BI397"/>
      <c r="BJ397"/>
      <c r="BK397"/>
      <c r="BL397"/>
      <c r="BM397"/>
      <c r="BN397"/>
      <c r="BO397"/>
      <c r="BP397"/>
      <c r="BQ397"/>
      <c r="BR397"/>
      <c r="BS397"/>
      <c r="BT397"/>
      <c r="BU397"/>
      <c r="BV397"/>
      <c r="BW397"/>
      <c r="BX397"/>
      <c r="BY397"/>
      <c r="BZ397"/>
      <c r="CA397"/>
      <c r="CB397"/>
      <c r="CC397"/>
    </row>
    <row r="398" spans="1:81" x14ac:dyDescent="0.25">
      <c r="A398"/>
      <c r="B398"/>
      <c r="C398"/>
      <c r="D398"/>
      <c r="E398"/>
      <c r="F398"/>
      <c r="G398"/>
      <c r="H398"/>
      <c r="I398"/>
      <c r="J398"/>
      <c r="K398"/>
      <c r="L398"/>
      <c r="M398"/>
      <c r="N398"/>
      <c r="O398"/>
      <c r="P398"/>
      <c r="Q398"/>
      <c r="R398"/>
      <c r="S398"/>
      <c r="T398"/>
      <c r="U398"/>
      <c r="V398"/>
      <c r="W398"/>
      <c r="X398"/>
      <c r="Y398"/>
      <c r="Z398"/>
      <c r="AA398"/>
      <c r="AB398"/>
      <c r="AC398"/>
      <c r="AD398"/>
      <c r="AE398"/>
      <c r="AF398"/>
      <c r="AG398"/>
      <c r="AH398"/>
      <c r="AI398"/>
      <c r="AJ398"/>
      <c r="AK398"/>
      <c r="AL398"/>
      <c r="AM398"/>
      <c r="AN398"/>
      <c r="AO398"/>
      <c r="AP398"/>
      <c r="AQ398"/>
      <c r="AR398"/>
      <c r="AS398"/>
      <c r="AT398"/>
      <c r="AU398"/>
      <c r="AV398"/>
      <c r="AW398"/>
      <c r="AX398"/>
      <c r="AY398"/>
      <c r="AZ398"/>
      <c r="BA398"/>
      <c r="BB398"/>
      <c r="BC398"/>
      <c r="BD398"/>
      <c r="BE398"/>
      <c r="BF398"/>
      <c r="BG398"/>
      <c r="BH398"/>
      <c r="BI398"/>
      <c r="BJ398"/>
      <c r="BK398"/>
      <c r="BL398"/>
      <c r="BM398"/>
      <c r="BN398"/>
      <c r="BO398"/>
      <c r="BP398"/>
      <c r="BQ398"/>
      <c r="BR398"/>
      <c r="BS398"/>
      <c r="BT398"/>
      <c r="BU398"/>
      <c r="BV398"/>
      <c r="BW398"/>
      <c r="BX398"/>
      <c r="BY398"/>
      <c r="BZ398"/>
      <c r="CA398"/>
      <c r="CB398"/>
      <c r="CC398"/>
    </row>
    <row r="399" spans="1:81" x14ac:dyDescent="0.25">
      <c r="A399"/>
      <c r="B399"/>
      <c r="C399"/>
      <c r="D399"/>
      <c r="E399"/>
      <c r="F399"/>
      <c r="G399"/>
      <c r="H399"/>
      <c r="I399"/>
      <c r="J399"/>
      <c r="K399"/>
      <c r="L399"/>
      <c r="M399"/>
      <c r="N399"/>
      <c r="O399"/>
      <c r="P399"/>
      <c r="Q399"/>
      <c r="R399"/>
      <c r="S399"/>
      <c r="T399"/>
      <c r="U399"/>
      <c r="V399"/>
      <c r="W399"/>
      <c r="X399"/>
      <c r="Y399"/>
      <c r="Z399"/>
      <c r="AA399"/>
      <c r="AB399"/>
      <c r="AC399"/>
      <c r="AD399"/>
      <c r="AE399"/>
      <c r="AF399"/>
      <c r="AG399"/>
      <c r="AH399"/>
      <c r="AI399"/>
      <c r="AJ399"/>
      <c r="AK399"/>
      <c r="AL399"/>
      <c r="AM399"/>
      <c r="AN399"/>
      <c r="AO399"/>
      <c r="AP399"/>
      <c r="AQ399"/>
      <c r="AR399"/>
      <c r="AS399"/>
      <c r="AT399"/>
      <c r="AU399"/>
      <c r="AV399"/>
      <c r="AW399"/>
      <c r="AX399"/>
      <c r="AY399"/>
      <c r="AZ399"/>
      <c r="BA399"/>
      <c r="BB399"/>
      <c r="BC399"/>
      <c r="BD399"/>
      <c r="BE399"/>
      <c r="BF399"/>
      <c r="BG399"/>
      <c r="BH399"/>
      <c r="BI399"/>
      <c r="BJ399"/>
      <c r="BK399"/>
      <c r="BL399"/>
      <c r="BM399"/>
      <c r="BN399"/>
      <c r="BO399"/>
      <c r="BP399"/>
      <c r="BQ399"/>
      <c r="BR399"/>
      <c r="BS399"/>
      <c r="BT399"/>
      <c r="BU399"/>
      <c r="BV399"/>
      <c r="BW399"/>
      <c r="BX399"/>
      <c r="BY399"/>
      <c r="BZ399"/>
      <c r="CA399"/>
      <c r="CB399"/>
      <c r="CC399"/>
    </row>
    <row r="400" spans="1:81" x14ac:dyDescent="0.25">
      <c r="A400"/>
      <c r="B400"/>
      <c r="C400"/>
      <c r="D400"/>
      <c r="E400"/>
      <c r="F400"/>
      <c r="G400"/>
      <c r="H400"/>
      <c r="I400"/>
      <c r="J400"/>
      <c r="K400"/>
      <c r="L400"/>
      <c r="M400"/>
      <c r="N400"/>
      <c r="O400"/>
      <c r="P400"/>
      <c r="Q400"/>
      <c r="R400"/>
      <c r="S400"/>
      <c r="T400"/>
      <c r="U400"/>
      <c r="V400"/>
      <c r="W400"/>
      <c r="X400"/>
      <c r="Y400"/>
      <c r="Z400"/>
      <c r="AA400"/>
      <c r="AB400"/>
      <c r="AC400"/>
      <c r="AD400"/>
      <c r="AE400"/>
      <c r="AF400"/>
      <c r="AG400"/>
      <c r="AH400"/>
      <c r="AI400"/>
      <c r="AJ400"/>
      <c r="AK400"/>
      <c r="AL400"/>
      <c r="AM400"/>
      <c r="AN400"/>
      <c r="AO400"/>
      <c r="AP400"/>
      <c r="AQ400"/>
      <c r="AR400"/>
      <c r="AS400"/>
      <c r="AT400"/>
      <c r="AU400"/>
      <c r="AV400"/>
      <c r="AW400"/>
      <c r="AX400"/>
      <c r="AY400"/>
      <c r="AZ400"/>
      <c r="BA400"/>
      <c r="BB400"/>
      <c r="BC400"/>
      <c r="BD400"/>
      <c r="BE400"/>
      <c r="BF400"/>
      <c r="BG400"/>
      <c r="BH400"/>
      <c r="BI400"/>
      <c r="BJ400"/>
      <c r="BK400"/>
      <c r="BL400"/>
      <c r="BM400"/>
      <c r="BN400"/>
      <c r="BO400"/>
      <c r="BP400"/>
      <c r="BQ400"/>
      <c r="BR400"/>
      <c r="BS400"/>
      <c r="BT400"/>
      <c r="BU400"/>
      <c r="BV400"/>
      <c r="BW400"/>
      <c r="BX400"/>
      <c r="BY400"/>
      <c r="BZ400"/>
      <c r="CA400"/>
      <c r="CB400"/>
      <c r="CC400"/>
    </row>
    <row r="401" spans="1:81" x14ac:dyDescent="0.25">
      <c r="A401"/>
      <c r="B401"/>
      <c r="C401"/>
      <c r="D401"/>
      <c r="E401"/>
      <c r="F401"/>
      <c r="G401"/>
      <c r="H401"/>
      <c r="I401"/>
      <c r="J401"/>
      <c r="K401"/>
      <c r="L401"/>
      <c r="M401"/>
      <c r="N401"/>
      <c r="O401"/>
      <c r="P401"/>
      <c r="Q401"/>
      <c r="R401"/>
      <c r="S401"/>
      <c r="T401"/>
      <c r="U401"/>
      <c r="V401"/>
      <c r="W401"/>
      <c r="X401"/>
      <c r="Y401"/>
      <c r="Z401"/>
      <c r="AA401"/>
      <c r="AB401"/>
      <c r="AC401"/>
      <c r="AD401"/>
      <c r="AE401"/>
      <c r="AF401"/>
      <c r="AG401"/>
      <c r="AH401"/>
      <c r="AI401"/>
      <c r="AJ401"/>
      <c r="AK401"/>
      <c r="AL401"/>
      <c r="AM401"/>
      <c r="AN401"/>
      <c r="AO401"/>
      <c r="AP401"/>
      <c r="AQ401"/>
      <c r="AR401"/>
      <c r="AS401"/>
      <c r="AT401"/>
      <c r="AU401"/>
      <c r="AV401"/>
      <c r="AW401"/>
      <c r="AX401"/>
      <c r="AY401"/>
      <c r="AZ401"/>
      <c r="BA401"/>
      <c r="BB401"/>
      <c r="BC401"/>
      <c r="BD401"/>
      <c r="BE401"/>
      <c r="BF401"/>
      <c r="BG401"/>
      <c r="BH401"/>
      <c r="BI401"/>
      <c r="BJ401"/>
      <c r="BK401"/>
      <c r="BL401"/>
      <c r="BM401"/>
      <c r="BN401"/>
      <c r="BO401"/>
      <c r="BP401"/>
      <c r="BQ401"/>
      <c r="BR401"/>
      <c r="BS401"/>
      <c r="BT401"/>
      <c r="BU401"/>
      <c r="BV401"/>
      <c r="BW401"/>
      <c r="BX401"/>
      <c r="BY401"/>
      <c r="BZ401"/>
      <c r="CA401"/>
      <c r="CB401"/>
      <c r="CC401"/>
    </row>
    <row r="402" spans="1:81" x14ac:dyDescent="0.25">
      <c r="A402"/>
      <c r="B402"/>
      <c r="C402"/>
      <c r="D402"/>
      <c r="E402"/>
      <c r="F402"/>
      <c r="G402"/>
      <c r="H402"/>
      <c r="I402"/>
      <c r="J402"/>
      <c r="K402"/>
      <c r="L402"/>
      <c r="M402"/>
      <c r="N402"/>
      <c r="O402"/>
      <c r="P402"/>
      <c r="Q402"/>
      <c r="R402"/>
      <c r="S402"/>
      <c r="T402"/>
      <c r="U402"/>
      <c r="V402"/>
      <c r="W402"/>
      <c r="X402"/>
      <c r="Y402"/>
      <c r="Z402"/>
      <c r="AA402"/>
      <c r="AB402"/>
      <c r="AC402"/>
      <c r="AD402"/>
      <c r="AE402"/>
      <c r="AF402"/>
      <c r="AG402"/>
      <c r="AH402"/>
      <c r="AI402"/>
      <c r="AJ402"/>
      <c r="AK402"/>
      <c r="AL402"/>
      <c r="AM402"/>
      <c r="AN402"/>
      <c r="AO402"/>
      <c r="AP402"/>
      <c r="AQ402"/>
      <c r="AR402"/>
      <c r="AS402"/>
      <c r="AT402"/>
      <c r="AU402"/>
      <c r="AV402"/>
      <c r="AW402"/>
      <c r="AX402"/>
      <c r="AY402"/>
      <c r="AZ402"/>
      <c r="BA402"/>
      <c r="BB402"/>
      <c r="BC402"/>
      <c r="BD402"/>
      <c r="BE402"/>
      <c r="BF402"/>
      <c r="BG402"/>
      <c r="BH402"/>
      <c r="BI402"/>
      <c r="BJ402"/>
      <c r="BK402"/>
      <c r="BL402"/>
      <c r="BM402"/>
      <c r="BN402"/>
      <c r="BO402"/>
      <c r="BP402"/>
      <c r="BQ402"/>
      <c r="BR402"/>
      <c r="BS402"/>
      <c r="BT402"/>
      <c r="BU402"/>
      <c r="BV402"/>
      <c r="BW402"/>
      <c r="BX402"/>
      <c r="BY402"/>
      <c r="BZ402"/>
      <c r="CA402"/>
      <c r="CB402"/>
      <c r="CC402"/>
    </row>
    <row r="403" spans="1:81" x14ac:dyDescent="0.25">
      <c r="A403"/>
      <c r="B403"/>
      <c r="C403"/>
      <c r="D403"/>
      <c r="E403"/>
      <c r="F403"/>
      <c r="G403"/>
      <c r="H403"/>
      <c r="I403"/>
      <c r="J403"/>
      <c r="K403"/>
      <c r="L403"/>
      <c r="M403"/>
      <c r="N403"/>
      <c r="O403"/>
      <c r="P403"/>
      <c r="Q403"/>
      <c r="R403"/>
      <c r="S403"/>
      <c r="T403"/>
      <c r="U403"/>
      <c r="V403"/>
      <c r="W403"/>
      <c r="X403"/>
      <c r="Y403"/>
      <c r="Z403"/>
      <c r="AA403"/>
      <c r="AB403"/>
      <c r="AC403"/>
      <c r="AD403"/>
      <c r="AE403"/>
      <c r="AF403"/>
      <c r="AG403"/>
      <c r="AH403"/>
      <c r="AI403"/>
      <c r="AJ403"/>
      <c r="AK403"/>
      <c r="AL403"/>
      <c r="AM403"/>
      <c r="AN403"/>
      <c r="AO403"/>
      <c r="AP403"/>
      <c r="AQ403"/>
      <c r="AR403"/>
      <c r="AS403"/>
      <c r="AT403"/>
      <c r="AU403"/>
      <c r="AV403"/>
      <c r="AW403"/>
      <c r="AX403"/>
      <c r="AY403"/>
      <c r="AZ403"/>
      <c r="BA403"/>
      <c r="BB403"/>
      <c r="BC403"/>
      <c r="BD403"/>
      <c r="BE403"/>
      <c r="BF403"/>
      <c r="BG403"/>
      <c r="BH403"/>
      <c r="BI403"/>
      <c r="BJ403"/>
      <c r="BK403"/>
      <c r="BL403"/>
      <c r="BM403"/>
      <c r="BN403"/>
      <c r="BO403"/>
      <c r="BP403"/>
      <c r="BQ403"/>
      <c r="BR403"/>
      <c r="BS403"/>
      <c r="BT403"/>
      <c r="BU403"/>
      <c r="BV403"/>
      <c r="BW403"/>
      <c r="BX403"/>
      <c r="BY403"/>
      <c r="BZ403"/>
      <c r="CA403"/>
      <c r="CB403"/>
      <c r="CC403"/>
    </row>
    <row r="404" spans="1:81" x14ac:dyDescent="0.25">
      <c r="A404"/>
      <c r="B404"/>
      <c r="C404"/>
      <c r="D404"/>
      <c r="E404"/>
      <c r="F404"/>
      <c r="G404"/>
      <c r="H404"/>
      <c r="I404"/>
      <c r="J404"/>
      <c r="K404"/>
      <c r="L404"/>
      <c r="M404"/>
      <c r="N404"/>
      <c r="O404"/>
      <c r="P404"/>
      <c r="Q404"/>
      <c r="R404"/>
      <c r="S404"/>
      <c r="T404"/>
      <c r="U404"/>
      <c r="V404"/>
      <c r="W404"/>
      <c r="X404"/>
      <c r="Y404"/>
      <c r="Z404"/>
      <c r="AA404"/>
      <c r="AB404"/>
      <c r="AC404"/>
      <c r="AD404"/>
      <c r="AE404"/>
      <c r="AF404"/>
      <c r="AG404"/>
      <c r="AH404"/>
      <c r="AI404"/>
      <c r="AJ404"/>
      <c r="AK404"/>
      <c r="AL404"/>
      <c r="AM404"/>
      <c r="AN404"/>
      <c r="AO404"/>
      <c r="AP404"/>
      <c r="AQ404"/>
      <c r="AR404"/>
      <c r="AS404"/>
      <c r="AT404"/>
      <c r="AU404"/>
      <c r="AV404"/>
      <c r="AW404"/>
      <c r="AX404"/>
      <c r="AY404"/>
      <c r="AZ404"/>
      <c r="BA404"/>
      <c r="BB404"/>
      <c r="BC404"/>
      <c r="BD404"/>
      <c r="BE404"/>
      <c r="BF404"/>
      <c r="BG404"/>
      <c r="BH404"/>
      <c r="BI404"/>
      <c r="BJ404"/>
      <c r="BK404"/>
      <c r="BL404"/>
      <c r="BM404"/>
      <c r="BN404"/>
      <c r="BO404"/>
      <c r="BP404"/>
      <c r="BQ404"/>
      <c r="BR404"/>
      <c r="BS404"/>
      <c r="BT404"/>
      <c r="BU404"/>
      <c r="BV404"/>
      <c r="BW404"/>
      <c r="BX404"/>
      <c r="BY404"/>
      <c r="BZ404"/>
      <c r="CA404"/>
      <c r="CB404"/>
      <c r="CC404"/>
    </row>
    <row r="405" spans="1:81" x14ac:dyDescent="0.25">
      <c r="A405"/>
      <c r="B405"/>
      <c r="C405"/>
      <c r="D405"/>
      <c r="E405"/>
      <c r="F405"/>
      <c r="G405"/>
      <c r="H405"/>
      <c r="I405"/>
      <c r="J405"/>
      <c r="K405"/>
      <c r="L405"/>
      <c r="M405"/>
      <c r="N405"/>
      <c r="O405"/>
      <c r="P405"/>
      <c r="Q405"/>
      <c r="R405"/>
      <c r="S405"/>
      <c r="T405"/>
      <c r="U405"/>
      <c r="V405"/>
      <c r="W405"/>
      <c r="X405"/>
      <c r="Y405"/>
      <c r="Z405"/>
      <c r="AA405"/>
      <c r="AB405"/>
      <c r="AC405"/>
      <c r="AD405"/>
      <c r="AE405"/>
      <c r="AF405"/>
      <c r="AG405"/>
      <c r="AH405"/>
      <c r="AI405"/>
      <c r="AJ405"/>
      <c r="AK405"/>
      <c r="AL405"/>
      <c r="AM405"/>
      <c r="AN405"/>
      <c r="AO405"/>
      <c r="AP405"/>
      <c r="AQ405"/>
      <c r="AR405"/>
      <c r="AS405"/>
      <c r="AT405"/>
      <c r="AU405"/>
      <c r="AV405"/>
      <c r="AW405"/>
      <c r="AX405"/>
      <c r="AY405"/>
      <c r="AZ405"/>
      <c r="BA405"/>
      <c r="BB405"/>
      <c r="BC405"/>
      <c r="BD405"/>
      <c r="BE405"/>
      <c r="BF405"/>
      <c r="BG405"/>
      <c r="BH405"/>
      <c r="BI405"/>
      <c r="BJ405"/>
      <c r="BK405"/>
      <c r="BL405"/>
      <c r="BM405"/>
      <c r="BN405"/>
      <c r="BO405"/>
      <c r="BP405"/>
      <c r="BQ405"/>
      <c r="BR405"/>
      <c r="BS405"/>
      <c r="BT405"/>
      <c r="BU405"/>
      <c r="BV405"/>
      <c r="BW405"/>
      <c r="BX405"/>
      <c r="BY405"/>
      <c r="BZ405"/>
      <c r="CA405"/>
      <c r="CB405"/>
      <c r="CC405"/>
    </row>
    <row r="406" spans="1:81" x14ac:dyDescent="0.25">
      <c r="A406"/>
      <c r="B406"/>
      <c r="C406"/>
      <c r="D406"/>
      <c r="E406"/>
      <c r="F406"/>
      <c r="G406"/>
      <c r="H406"/>
      <c r="I406"/>
      <c r="J406"/>
      <c r="K406"/>
      <c r="L406"/>
      <c r="M406"/>
      <c r="N406"/>
      <c r="O406"/>
      <c r="P406"/>
      <c r="Q406"/>
      <c r="R406"/>
      <c r="S406"/>
      <c r="T406"/>
      <c r="U406"/>
      <c r="V406"/>
      <c r="W406"/>
      <c r="X406"/>
      <c r="Y406"/>
      <c r="Z406"/>
      <c r="AA406"/>
      <c r="AB406"/>
      <c r="AC406"/>
      <c r="AD406"/>
      <c r="AE406"/>
      <c r="AF406"/>
      <c r="AG406"/>
      <c r="AH406"/>
      <c r="AI406"/>
      <c r="AJ406"/>
      <c r="AK406"/>
      <c r="AL406"/>
      <c r="AM406"/>
      <c r="AN406"/>
      <c r="AO406"/>
      <c r="AP406"/>
      <c r="AQ406"/>
      <c r="AR406"/>
      <c r="AS406"/>
      <c r="AT406"/>
      <c r="AU406"/>
      <c r="AV406"/>
      <c r="AW406"/>
      <c r="AX406"/>
      <c r="AY406"/>
      <c r="AZ406"/>
      <c r="BA406"/>
      <c r="BB406"/>
      <c r="BC406"/>
      <c r="BD406"/>
      <c r="BE406"/>
      <c r="BF406"/>
      <c r="BG406"/>
      <c r="BH406"/>
      <c r="BI406"/>
      <c r="BJ406"/>
      <c r="BK406"/>
      <c r="BL406"/>
      <c r="BM406"/>
      <c r="BN406"/>
      <c r="BO406"/>
      <c r="BP406"/>
      <c r="BQ406"/>
      <c r="BR406"/>
      <c r="BS406"/>
      <c r="BT406"/>
      <c r="BU406"/>
      <c r="BV406"/>
      <c r="BW406"/>
      <c r="BX406"/>
      <c r="BY406"/>
      <c r="BZ406"/>
      <c r="CA406"/>
      <c r="CB406"/>
      <c r="CC406"/>
    </row>
    <row r="407" spans="1:81" x14ac:dyDescent="0.25">
      <c r="A407"/>
      <c r="B407"/>
      <c r="C407"/>
      <c r="D407"/>
      <c r="E407"/>
      <c r="F407"/>
      <c r="G407"/>
      <c r="H407"/>
      <c r="I407"/>
      <c r="J407"/>
      <c r="K407"/>
      <c r="L407"/>
      <c r="M407"/>
      <c r="N407"/>
      <c r="O407"/>
      <c r="P407"/>
      <c r="Q407"/>
      <c r="R407"/>
      <c r="S407"/>
      <c r="T407"/>
      <c r="U407"/>
      <c r="V407"/>
      <c r="W407"/>
      <c r="X407"/>
      <c r="Y407"/>
      <c r="Z407"/>
      <c r="AA407"/>
      <c r="AB407"/>
      <c r="AC407"/>
      <c r="AD407"/>
      <c r="AE407"/>
      <c r="AF407"/>
      <c r="AG407"/>
      <c r="AH407"/>
      <c r="AI407"/>
      <c r="AJ407"/>
      <c r="AK407"/>
      <c r="AL407"/>
      <c r="AM407"/>
      <c r="AN407"/>
      <c r="AO407"/>
      <c r="AP407"/>
      <c r="AQ407"/>
      <c r="AR407"/>
      <c r="AS407"/>
      <c r="AT407"/>
      <c r="AU407"/>
      <c r="AV407"/>
      <c r="AW407"/>
      <c r="AX407"/>
      <c r="AY407"/>
      <c r="AZ407"/>
      <c r="BA407"/>
      <c r="BB407"/>
      <c r="BC407"/>
      <c r="BD407"/>
      <c r="BE407"/>
      <c r="BF407"/>
      <c r="BG407"/>
      <c r="BH407"/>
      <c r="BI407"/>
      <c r="BJ407"/>
      <c r="BK407"/>
      <c r="BL407"/>
      <c r="BM407"/>
      <c r="BN407"/>
      <c r="BO407"/>
      <c r="BP407"/>
      <c r="BQ407"/>
      <c r="BR407"/>
      <c r="BS407"/>
      <c r="BT407"/>
      <c r="BU407"/>
      <c r="BV407"/>
      <c r="BW407"/>
      <c r="BX407"/>
      <c r="BY407"/>
      <c r="BZ407"/>
      <c r="CA407"/>
      <c r="CB407"/>
      <c r="CC407"/>
    </row>
    <row r="408" spans="1:81" x14ac:dyDescent="0.25">
      <c r="A408"/>
      <c r="B408"/>
      <c r="C408"/>
      <c r="D408"/>
      <c r="E408"/>
      <c r="F408"/>
      <c r="G408"/>
      <c r="H408"/>
      <c r="I408"/>
      <c r="J408"/>
      <c r="K408"/>
      <c r="L408"/>
      <c r="M408"/>
      <c r="N408"/>
      <c r="O408"/>
      <c r="P408"/>
      <c r="Q408"/>
      <c r="R408"/>
      <c r="S408"/>
      <c r="T408"/>
      <c r="U408"/>
      <c r="V408"/>
      <c r="W408"/>
      <c r="X408"/>
      <c r="Y408"/>
      <c r="Z408"/>
      <c r="AA408"/>
      <c r="AB408"/>
      <c r="AC408"/>
      <c r="AD408"/>
      <c r="AE408"/>
      <c r="AF408"/>
      <c r="AG408"/>
      <c r="AH408"/>
      <c r="AI408"/>
      <c r="AJ408"/>
      <c r="AK408"/>
      <c r="AL408"/>
      <c r="AM408"/>
      <c r="AN408"/>
      <c r="AO408"/>
      <c r="AP408"/>
      <c r="AQ408"/>
      <c r="AR408"/>
      <c r="AS408"/>
      <c r="AT408"/>
      <c r="AU408"/>
      <c r="AV408"/>
      <c r="AW408"/>
      <c r="AX408"/>
      <c r="AY408"/>
      <c r="AZ408"/>
      <c r="BA408"/>
      <c r="BB408"/>
      <c r="BC408"/>
      <c r="BD408"/>
      <c r="BE408"/>
      <c r="BF408"/>
      <c r="BG408"/>
      <c r="BH408"/>
      <c r="BI408"/>
      <c r="BJ408"/>
      <c r="BK408"/>
      <c r="BL408"/>
      <c r="BM408"/>
      <c r="BN408"/>
      <c r="BO408"/>
      <c r="BP408"/>
      <c r="BQ408"/>
      <c r="BR408"/>
      <c r="BS408"/>
      <c r="BT408"/>
      <c r="BU408"/>
      <c r="BV408"/>
      <c r="BW408"/>
      <c r="BX408"/>
      <c r="BY408"/>
      <c r="BZ408"/>
      <c r="CA408"/>
      <c r="CB408"/>
      <c r="CC408"/>
    </row>
    <row r="409" spans="1:81" x14ac:dyDescent="0.25">
      <c r="A409"/>
      <c r="B409"/>
      <c r="C409"/>
      <c r="D409"/>
      <c r="E409"/>
      <c r="F409"/>
      <c r="G409"/>
      <c r="H409"/>
      <c r="I409"/>
      <c r="J409"/>
      <c r="K409"/>
      <c r="L409"/>
      <c r="M409"/>
      <c r="N409"/>
      <c r="O409"/>
      <c r="P409"/>
      <c r="Q409"/>
      <c r="R409"/>
      <c r="S409"/>
      <c r="T409"/>
      <c r="U409"/>
      <c r="V409"/>
      <c r="W409"/>
      <c r="X409"/>
      <c r="Y409"/>
      <c r="Z409"/>
      <c r="AA409"/>
      <c r="AB409"/>
      <c r="AC409"/>
      <c r="AD409"/>
      <c r="AE409"/>
      <c r="AF409"/>
      <c r="AG409"/>
      <c r="AH409"/>
      <c r="AI409"/>
      <c r="AJ409"/>
      <c r="AK409"/>
      <c r="AL409"/>
      <c r="AM409"/>
      <c r="AN409"/>
      <c r="AO409"/>
      <c r="AP409"/>
      <c r="AQ409"/>
      <c r="AR409"/>
      <c r="AS409"/>
      <c r="AT409"/>
      <c r="AU409"/>
      <c r="AV409"/>
      <c r="AW409"/>
      <c r="AX409"/>
      <c r="AY409"/>
      <c r="AZ409"/>
      <c r="BA409"/>
      <c r="BB409"/>
      <c r="BC409"/>
      <c r="BD409"/>
      <c r="BE409"/>
      <c r="BF409"/>
      <c r="BG409"/>
      <c r="BH409"/>
      <c r="BI409"/>
      <c r="BJ409"/>
      <c r="BK409"/>
      <c r="BL409"/>
      <c r="BM409"/>
      <c r="BN409"/>
      <c r="BO409"/>
      <c r="BP409"/>
      <c r="BQ409"/>
      <c r="BR409"/>
      <c r="BS409"/>
      <c r="BT409"/>
      <c r="BU409"/>
      <c r="BV409"/>
      <c r="BW409"/>
      <c r="BX409"/>
      <c r="BY409"/>
      <c r="BZ409"/>
      <c r="CA409"/>
      <c r="CB409"/>
      <c r="CC409"/>
    </row>
    <row r="410" spans="1:81" x14ac:dyDescent="0.25">
      <c r="A410"/>
      <c r="B410"/>
      <c r="C410"/>
      <c r="D410"/>
      <c r="E410"/>
      <c r="F410"/>
      <c r="G410"/>
      <c r="H410"/>
      <c r="I410"/>
      <c r="J410"/>
      <c r="K410"/>
      <c r="L410"/>
      <c r="M410"/>
      <c r="N410"/>
      <c r="O410"/>
      <c r="P410"/>
      <c r="Q410"/>
      <c r="R410"/>
      <c r="S410"/>
      <c r="T410"/>
      <c r="U410"/>
      <c r="V410"/>
      <c r="W410"/>
      <c r="X410"/>
      <c r="Y410"/>
      <c r="Z410"/>
      <c r="AA410"/>
      <c r="AB410"/>
      <c r="AC410"/>
      <c r="AD410"/>
      <c r="AE410"/>
      <c r="AF410"/>
      <c r="AG410"/>
      <c r="AH410"/>
      <c r="AI410"/>
      <c r="AJ410"/>
      <c r="AK410"/>
      <c r="AL410"/>
      <c r="AM410"/>
      <c r="AN410"/>
      <c r="AO410"/>
      <c r="AP410"/>
      <c r="AQ410"/>
      <c r="AR410"/>
      <c r="AS410"/>
      <c r="AT410"/>
      <c r="AU410"/>
      <c r="AV410"/>
      <c r="AW410"/>
      <c r="AX410"/>
      <c r="AY410"/>
      <c r="AZ410"/>
      <c r="BA410"/>
      <c r="BB410"/>
      <c r="BC410"/>
      <c r="BD410"/>
      <c r="BE410"/>
      <c r="BF410"/>
      <c r="BG410"/>
      <c r="BH410"/>
      <c r="BI410"/>
      <c r="BJ410"/>
      <c r="BK410"/>
      <c r="BL410"/>
      <c r="BM410"/>
      <c r="BN410"/>
      <c r="BO410"/>
      <c r="BP410"/>
      <c r="BQ410"/>
      <c r="BR410"/>
      <c r="BS410"/>
      <c r="BT410"/>
      <c r="BU410"/>
      <c r="BV410"/>
      <c r="BW410"/>
      <c r="BX410"/>
      <c r="BY410"/>
      <c r="BZ410"/>
      <c r="CA410"/>
      <c r="CB410"/>
      <c r="CC410"/>
    </row>
    <row r="411" spans="1:81" x14ac:dyDescent="0.25">
      <c r="A411"/>
      <c r="B411"/>
      <c r="C411"/>
      <c r="D411"/>
      <c r="E411"/>
      <c r="F411"/>
      <c r="G411"/>
      <c r="H411"/>
      <c r="I411"/>
      <c r="J411"/>
      <c r="K411"/>
      <c r="L411"/>
      <c r="M411"/>
      <c r="N411"/>
      <c r="O411"/>
      <c r="P411"/>
      <c r="Q411"/>
      <c r="R411"/>
      <c r="S411"/>
      <c r="T411"/>
      <c r="U411"/>
      <c r="V411"/>
      <c r="W411"/>
      <c r="X411"/>
      <c r="Y411"/>
      <c r="Z411"/>
      <c r="AA411"/>
      <c r="AB411"/>
      <c r="AC411"/>
      <c r="AD411"/>
      <c r="AE411"/>
      <c r="AF411"/>
      <c r="AG411"/>
      <c r="AH411"/>
      <c r="AI411"/>
      <c r="AJ411"/>
      <c r="AK411"/>
      <c r="AL411"/>
      <c r="AM411"/>
      <c r="AN411"/>
      <c r="AO411"/>
      <c r="AP411"/>
      <c r="AQ411"/>
      <c r="AR411"/>
      <c r="AS411"/>
      <c r="AT411"/>
      <c r="AU411"/>
      <c r="AV411"/>
      <c r="AW411"/>
      <c r="AX411"/>
      <c r="AY411"/>
      <c r="AZ411"/>
      <c r="BA411"/>
      <c r="BB411"/>
      <c r="BC411"/>
      <c r="BD411"/>
      <c r="BE411"/>
      <c r="BF411"/>
      <c r="BG411"/>
      <c r="BH411"/>
      <c r="BI411"/>
      <c r="BJ411"/>
      <c r="BK411"/>
      <c r="BL411"/>
      <c r="BM411"/>
      <c r="BN411"/>
      <c r="BO411"/>
      <c r="BP411"/>
      <c r="BQ411"/>
      <c r="BR411"/>
      <c r="BS411"/>
      <c r="BT411"/>
      <c r="BU411"/>
      <c r="BV411"/>
      <c r="BW411"/>
      <c r="BX411"/>
      <c r="BY411"/>
      <c r="BZ411"/>
      <c r="CA411"/>
      <c r="CB411"/>
      <c r="CC411"/>
    </row>
    <row r="412" spans="1:81" x14ac:dyDescent="0.25">
      <c r="A412"/>
      <c r="B412"/>
      <c r="C412"/>
      <c r="D412"/>
      <c r="E412"/>
      <c r="F412"/>
      <c r="G412"/>
      <c r="H412"/>
      <c r="I412"/>
      <c r="J412"/>
      <c r="K412"/>
      <c r="L412"/>
      <c r="M412"/>
      <c r="N412"/>
      <c r="O412"/>
      <c r="P412"/>
      <c r="Q412"/>
      <c r="R412"/>
      <c r="S412"/>
      <c r="T412"/>
      <c r="U412"/>
      <c r="V412"/>
      <c r="W412"/>
      <c r="X412"/>
      <c r="Y412"/>
      <c r="Z412"/>
      <c r="AA412"/>
      <c r="AB412"/>
      <c r="AC412"/>
      <c r="AD412"/>
      <c r="AE412"/>
      <c r="AF412"/>
      <c r="AG412"/>
      <c r="AH412"/>
      <c r="AI412"/>
      <c r="AJ412"/>
      <c r="AK412"/>
      <c r="AL412"/>
      <c r="AM412"/>
      <c r="AN412"/>
      <c r="AO412"/>
      <c r="AP412"/>
      <c r="AQ412"/>
      <c r="AR412"/>
      <c r="AS412"/>
      <c r="AT412"/>
      <c r="AU412"/>
      <c r="AV412"/>
      <c r="AW412"/>
      <c r="AX412"/>
      <c r="AY412"/>
      <c r="AZ412"/>
      <c r="BA412"/>
      <c r="BB412"/>
      <c r="BC412"/>
      <c r="BD412"/>
      <c r="BE412"/>
      <c r="BF412"/>
      <c r="BG412"/>
      <c r="BH412"/>
      <c r="BI412"/>
      <c r="BJ412"/>
      <c r="BK412"/>
      <c r="BL412"/>
      <c r="BM412"/>
      <c r="BN412"/>
      <c r="BO412"/>
      <c r="BP412"/>
      <c r="BQ412"/>
      <c r="BR412"/>
      <c r="BS412"/>
      <c r="BT412"/>
      <c r="BU412"/>
      <c r="BV412"/>
      <c r="BW412"/>
      <c r="BX412"/>
      <c r="BY412"/>
      <c r="BZ412"/>
      <c r="CA412"/>
      <c r="CB412"/>
      <c r="CC412"/>
    </row>
    <row r="413" spans="1:81" x14ac:dyDescent="0.25">
      <c r="A413"/>
      <c r="B413"/>
      <c r="C413"/>
      <c r="D413"/>
      <c r="E413"/>
      <c r="F413"/>
      <c r="G413"/>
      <c r="H413"/>
      <c r="I413"/>
      <c r="J413"/>
      <c r="K413"/>
      <c r="L413"/>
      <c r="M413"/>
      <c r="N413"/>
      <c r="O413"/>
      <c r="P413"/>
      <c r="Q413"/>
      <c r="R413"/>
      <c r="S413"/>
      <c r="T413"/>
      <c r="U413"/>
      <c r="V413"/>
      <c r="W413"/>
      <c r="X413"/>
      <c r="Y413"/>
      <c r="Z413"/>
      <c r="AA413"/>
      <c r="AB413"/>
      <c r="AC413"/>
      <c r="AD413"/>
      <c r="AE413"/>
      <c r="AF413"/>
      <c r="AG413"/>
      <c r="AH413"/>
      <c r="AI413"/>
      <c r="AJ413"/>
      <c r="AK413"/>
      <c r="AL413"/>
      <c r="AM413"/>
      <c r="AN413"/>
      <c r="AO413"/>
      <c r="AP413"/>
      <c r="AQ413"/>
      <c r="AR413"/>
      <c r="AS413"/>
      <c r="AT413"/>
      <c r="AU413"/>
      <c r="AV413"/>
      <c r="AW413"/>
      <c r="AX413"/>
      <c r="AY413"/>
      <c r="AZ413"/>
      <c r="BA413"/>
      <c r="BB413"/>
      <c r="BC413"/>
      <c r="BD413"/>
      <c r="BE413"/>
      <c r="BF413"/>
      <c r="BG413"/>
      <c r="BH413"/>
      <c r="BI413"/>
      <c r="BJ413"/>
      <c r="BK413"/>
      <c r="BL413"/>
      <c r="BM413"/>
      <c r="BN413"/>
      <c r="BO413"/>
      <c r="BP413"/>
      <c r="BQ413"/>
      <c r="BR413"/>
      <c r="BS413"/>
      <c r="BT413"/>
      <c r="BU413"/>
      <c r="BV413"/>
      <c r="BW413"/>
      <c r="BX413"/>
      <c r="BY413"/>
      <c r="BZ413"/>
      <c r="CA413"/>
      <c r="CB413"/>
      <c r="CC413"/>
    </row>
    <row r="414" spans="1:81" x14ac:dyDescent="0.25">
      <c r="A414"/>
      <c r="B414"/>
      <c r="C414"/>
      <c r="D414"/>
      <c r="E414"/>
      <c r="F414"/>
      <c r="G414"/>
      <c r="H414"/>
      <c r="I414"/>
      <c r="J414"/>
      <c r="K414"/>
      <c r="L414"/>
      <c r="M414"/>
      <c r="N414"/>
      <c r="O414"/>
      <c r="P414"/>
      <c r="Q414"/>
      <c r="R414"/>
      <c r="S414"/>
      <c r="T414"/>
      <c r="U414"/>
      <c r="V414"/>
      <c r="W414"/>
      <c r="X414"/>
      <c r="Y414"/>
      <c r="Z414"/>
      <c r="AA414"/>
      <c r="AB414"/>
      <c r="AC414"/>
      <c r="AD414"/>
      <c r="AE414"/>
      <c r="AF414"/>
      <c r="AG414"/>
      <c r="AH414"/>
      <c r="AI414"/>
      <c r="AJ414"/>
      <c r="AK414"/>
      <c r="AL414"/>
      <c r="AM414"/>
      <c r="AN414"/>
      <c r="AO414"/>
      <c r="AP414"/>
      <c r="AQ414"/>
      <c r="AR414"/>
      <c r="AS414"/>
      <c r="AT414"/>
      <c r="AU414"/>
      <c r="AV414"/>
      <c r="AW414"/>
      <c r="AX414"/>
      <c r="AY414"/>
      <c r="AZ414"/>
      <c r="BA414"/>
      <c r="BB414"/>
      <c r="BC414"/>
      <c r="BD414"/>
      <c r="BE414"/>
      <c r="BF414"/>
      <c r="BG414"/>
      <c r="BH414"/>
      <c r="BI414"/>
      <c r="BJ414"/>
      <c r="BK414"/>
      <c r="BL414"/>
      <c r="BM414"/>
      <c r="BN414"/>
      <c r="BO414"/>
      <c r="BP414"/>
      <c r="BQ414"/>
      <c r="BR414"/>
      <c r="BS414"/>
      <c r="BT414"/>
      <c r="BU414"/>
      <c r="BV414"/>
      <c r="BW414"/>
      <c r="BX414"/>
      <c r="BY414"/>
      <c r="BZ414"/>
      <c r="CA414"/>
      <c r="CB414"/>
      <c r="CC414"/>
    </row>
    <row r="415" spans="1:81" x14ac:dyDescent="0.25">
      <c r="A415"/>
      <c r="B415"/>
      <c r="C415"/>
      <c r="D415"/>
      <c r="E415"/>
      <c r="F415"/>
      <c r="G415"/>
      <c r="H415"/>
      <c r="I415"/>
      <c r="J415"/>
      <c r="K415"/>
      <c r="L415"/>
      <c r="M415"/>
      <c r="N415"/>
      <c r="O415"/>
      <c r="P415"/>
      <c r="Q415"/>
      <c r="R415"/>
      <c r="S415"/>
      <c r="T415"/>
      <c r="U415"/>
      <c r="V415"/>
      <c r="W415"/>
      <c r="X415"/>
      <c r="Y415"/>
      <c r="Z415"/>
      <c r="AA415"/>
      <c r="AB415"/>
      <c r="AC415"/>
      <c r="AD415"/>
      <c r="AE415"/>
      <c r="AF415"/>
      <c r="AG415"/>
      <c r="AH415"/>
      <c r="AI415"/>
      <c r="AJ415"/>
      <c r="AK415"/>
      <c r="AL415"/>
      <c r="AM415"/>
      <c r="AN415"/>
      <c r="AO415"/>
      <c r="AP415"/>
      <c r="AQ415"/>
      <c r="AR415"/>
      <c r="AS415"/>
      <c r="AT415"/>
      <c r="AU415"/>
      <c r="AV415"/>
      <c r="AW415"/>
      <c r="AX415"/>
      <c r="AY415"/>
      <c r="AZ415"/>
      <c r="BA415"/>
      <c r="BB415"/>
      <c r="BC415"/>
      <c r="BD415"/>
      <c r="BE415"/>
      <c r="BF415"/>
      <c r="BG415"/>
      <c r="BH415"/>
      <c r="BI415"/>
      <c r="BJ415"/>
      <c r="BK415"/>
      <c r="BL415"/>
      <c r="BM415"/>
      <c r="BN415"/>
      <c r="BO415"/>
      <c r="BP415"/>
      <c r="BQ415"/>
      <c r="BR415"/>
      <c r="BS415"/>
      <c r="BT415"/>
      <c r="BU415"/>
      <c r="BV415"/>
      <c r="BW415"/>
      <c r="BX415"/>
      <c r="BY415"/>
      <c r="BZ415"/>
      <c r="CA415"/>
      <c r="CB415"/>
      <c r="CC415"/>
    </row>
    <row r="416" spans="1:81" x14ac:dyDescent="0.25">
      <c r="A416"/>
      <c r="B416"/>
      <c r="C416"/>
      <c r="D416"/>
      <c r="E416"/>
      <c r="F416"/>
      <c r="G416"/>
      <c r="H416"/>
      <c r="I416"/>
      <c r="J416"/>
      <c r="K416"/>
      <c r="L416"/>
      <c r="M416"/>
      <c r="N416"/>
      <c r="O416"/>
      <c r="P416"/>
      <c r="Q416"/>
      <c r="R416"/>
      <c r="S416"/>
      <c r="T416"/>
      <c r="U416"/>
      <c r="V416"/>
      <c r="W416"/>
      <c r="X416"/>
      <c r="Y416"/>
      <c r="Z416"/>
      <c r="AA416"/>
      <c r="AB416"/>
      <c r="AC416"/>
      <c r="AD416"/>
      <c r="AE416"/>
      <c r="AF416"/>
      <c r="AG416"/>
      <c r="AH416"/>
      <c r="AI416"/>
      <c r="AJ416"/>
      <c r="AK416"/>
      <c r="AL416"/>
      <c r="AM416"/>
      <c r="AN416"/>
      <c r="AO416"/>
      <c r="AP416"/>
      <c r="AQ416"/>
      <c r="AR416"/>
      <c r="AS416"/>
      <c r="AT416"/>
      <c r="AU416"/>
      <c r="AV416"/>
      <c r="AW416"/>
      <c r="AX416"/>
      <c r="AY416"/>
      <c r="AZ416"/>
      <c r="BA416"/>
      <c r="BB416"/>
      <c r="BC416"/>
      <c r="BD416"/>
      <c r="BE416"/>
      <c r="BF416"/>
      <c r="BG416"/>
      <c r="BH416"/>
      <c r="BI416"/>
      <c r="BJ416"/>
      <c r="BK416"/>
      <c r="BL416"/>
      <c r="BM416"/>
      <c r="BN416"/>
      <c r="BO416"/>
      <c r="BP416"/>
      <c r="BQ416"/>
      <c r="BR416"/>
      <c r="BS416"/>
      <c r="BT416"/>
      <c r="BU416"/>
      <c r="BV416"/>
      <c r="BW416"/>
      <c r="BX416"/>
      <c r="BY416"/>
      <c r="BZ416"/>
      <c r="CA416"/>
      <c r="CB416"/>
      <c r="CC416"/>
    </row>
    <row r="417" spans="1:81" x14ac:dyDescent="0.25">
      <c r="A417"/>
      <c r="B417"/>
      <c r="C417"/>
      <c r="D417"/>
      <c r="E417"/>
      <c r="F417"/>
      <c r="G417"/>
      <c r="H417"/>
      <c r="I417"/>
      <c r="J417"/>
      <c r="K417"/>
      <c r="L417"/>
      <c r="M417"/>
      <c r="N417"/>
      <c r="O417"/>
      <c r="P417"/>
      <c r="Q417"/>
      <c r="R417"/>
      <c r="S417"/>
      <c r="T417"/>
      <c r="U417"/>
      <c r="V417"/>
      <c r="W417"/>
      <c r="X417"/>
      <c r="Y417"/>
      <c r="Z417"/>
      <c r="AA417"/>
      <c r="AB417"/>
      <c r="AC417"/>
      <c r="AD417"/>
      <c r="AE417"/>
      <c r="AF417"/>
      <c r="AG417"/>
      <c r="AH417"/>
      <c r="AI417"/>
      <c r="AJ417"/>
      <c r="AK417"/>
      <c r="AL417"/>
      <c r="AM417"/>
      <c r="AN417"/>
      <c r="AO417"/>
      <c r="AP417"/>
      <c r="AQ417"/>
      <c r="AR417"/>
      <c r="AS417"/>
      <c r="AT417"/>
      <c r="AU417"/>
      <c r="AV417"/>
      <c r="AW417"/>
      <c r="AX417"/>
      <c r="AY417"/>
      <c r="AZ417"/>
      <c r="BA417"/>
      <c r="BB417"/>
      <c r="BC417"/>
      <c r="BD417"/>
      <c r="BE417"/>
      <c r="BF417"/>
      <c r="BG417"/>
      <c r="BH417"/>
      <c r="BI417"/>
      <c r="BJ417"/>
      <c r="BK417"/>
      <c r="BL417"/>
      <c r="BM417"/>
      <c r="BN417"/>
      <c r="BO417"/>
      <c r="BP417"/>
      <c r="BQ417"/>
      <c r="BR417"/>
      <c r="BS417"/>
      <c r="BT417"/>
      <c r="BU417"/>
      <c r="BV417"/>
      <c r="BW417"/>
      <c r="BX417"/>
      <c r="BY417"/>
      <c r="BZ417"/>
      <c r="CA417"/>
      <c r="CB417"/>
      <c r="CC417"/>
    </row>
    <row r="418" spans="1:81" x14ac:dyDescent="0.25">
      <c r="A418"/>
      <c r="B418"/>
      <c r="C418"/>
      <c r="D418"/>
      <c r="E418"/>
      <c r="F418"/>
      <c r="G418"/>
      <c r="H418"/>
      <c r="I418"/>
      <c r="J418"/>
      <c r="K418"/>
      <c r="L418"/>
      <c r="M418"/>
      <c r="N418"/>
      <c r="O418"/>
      <c r="P418"/>
      <c r="Q418"/>
      <c r="R418"/>
      <c r="S418"/>
      <c r="T418"/>
      <c r="U418"/>
      <c r="V418"/>
      <c r="W418"/>
      <c r="X418"/>
      <c r="Y418"/>
      <c r="Z418"/>
      <c r="AA418"/>
      <c r="AB418"/>
      <c r="AC418"/>
      <c r="AD418"/>
      <c r="AE418"/>
      <c r="AF418"/>
      <c r="AG418"/>
      <c r="AH418"/>
      <c r="AI418"/>
      <c r="AJ418"/>
      <c r="AK418"/>
      <c r="AL418"/>
      <c r="AM418"/>
      <c r="AN418"/>
      <c r="AO418"/>
      <c r="AP418"/>
      <c r="AQ418"/>
      <c r="AR418"/>
      <c r="AS418"/>
      <c r="AT418"/>
      <c r="AU418"/>
      <c r="AV418"/>
      <c r="AW418"/>
      <c r="AX418"/>
      <c r="AY418"/>
      <c r="AZ418"/>
      <c r="BA418"/>
      <c r="BB418"/>
      <c r="BC418"/>
      <c r="BD418"/>
      <c r="BE418"/>
      <c r="BF418"/>
      <c r="BG418"/>
      <c r="BH418"/>
      <c r="BI418"/>
      <c r="BJ418"/>
      <c r="BK418"/>
      <c r="BL418"/>
      <c r="BM418"/>
      <c r="BN418"/>
      <c r="BO418"/>
      <c r="BP418"/>
      <c r="BQ418"/>
      <c r="BR418"/>
      <c r="BS418"/>
      <c r="BT418"/>
      <c r="BU418"/>
      <c r="BV418"/>
      <c r="BW418"/>
      <c r="BX418"/>
      <c r="BY418"/>
      <c r="BZ418"/>
      <c r="CA418"/>
      <c r="CB418"/>
      <c r="CC418"/>
    </row>
    <row r="419" spans="1:81" x14ac:dyDescent="0.25">
      <c r="A419"/>
      <c r="B419"/>
      <c r="C419"/>
      <c r="D419"/>
      <c r="E419"/>
      <c r="F419"/>
      <c r="G419"/>
      <c r="H419"/>
      <c r="I419"/>
      <c r="J419"/>
      <c r="K419"/>
      <c r="L419"/>
      <c r="M419"/>
      <c r="N419"/>
      <c r="O419"/>
      <c r="P419"/>
      <c r="Q419"/>
      <c r="R419"/>
      <c r="S419"/>
      <c r="T419"/>
      <c r="U419"/>
      <c r="V419"/>
      <c r="W419"/>
      <c r="X419"/>
      <c r="Y419"/>
      <c r="Z419"/>
      <c r="AA419"/>
      <c r="AB419"/>
      <c r="AC419"/>
      <c r="AD419"/>
      <c r="AE419"/>
      <c r="AF419"/>
      <c r="AG419"/>
      <c r="AH419"/>
      <c r="AI419"/>
      <c r="AJ419"/>
      <c r="AK419"/>
      <c r="AL419"/>
      <c r="AM419"/>
      <c r="AN419"/>
      <c r="AO419"/>
      <c r="AP419"/>
      <c r="AQ419"/>
      <c r="AR419"/>
      <c r="AS419"/>
      <c r="AT419"/>
      <c r="AU419"/>
      <c r="AV419"/>
      <c r="AW419"/>
      <c r="AX419"/>
      <c r="AY419"/>
      <c r="AZ419"/>
      <c r="BA419"/>
      <c r="BB419"/>
      <c r="BC419"/>
      <c r="BD419"/>
      <c r="BE419"/>
      <c r="BF419"/>
      <c r="BG419"/>
      <c r="BH419"/>
      <c r="BI419"/>
      <c r="BJ419"/>
      <c r="BK419"/>
      <c r="BL419"/>
      <c r="BM419"/>
      <c r="BN419"/>
      <c r="BO419"/>
      <c r="BP419"/>
      <c r="BQ419"/>
      <c r="BR419"/>
      <c r="BS419"/>
      <c r="BT419"/>
      <c r="BU419"/>
      <c r="BV419"/>
      <c r="BW419"/>
      <c r="BX419"/>
      <c r="BY419"/>
      <c r="BZ419"/>
      <c r="CA419"/>
      <c r="CB419"/>
      <c r="CC419"/>
    </row>
    <row r="420" spans="1:81" x14ac:dyDescent="0.25">
      <c r="A420"/>
      <c r="B420"/>
      <c r="C420"/>
      <c r="D420"/>
      <c r="E420"/>
      <c r="F420"/>
      <c r="G420"/>
      <c r="H420"/>
      <c r="I420"/>
      <c r="J420"/>
      <c r="K420"/>
      <c r="L420"/>
      <c r="M420"/>
      <c r="N420"/>
      <c r="O420"/>
      <c r="P420"/>
      <c r="Q420"/>
      <c r="R420"/>
      <c r="S420"/>
      <c r="T420"/>
      <c r="U420"/>
      <c r="V420"/>
      <c r="W420"/>
      <c r="X420"/>
      <c r="Y420"/>
      <c r="Z420"/>
      <c r="AA420"/>
      <c r="AB420"/>
      <c r="AC420"/>
      <c r="AD420"/>
      <c r="AE420"/>
      <c r="AF420"/>
      <c r="AG420"/>
      <c r="AH420"/>
      <c r="AI420"/>
      <c r="AJ420"/>
      <c r="AK420"/>
      <c r="AL420"/>
      <c r="AM420"/>
      <c r="AN420"/>
      <c r="AO420"/>
      <c r="AP420"/>
      <c r="AQ420"/>
      <c r="AR420"/>
      <c r="AS420"/>
      <c r="AT420"/>
      <c r="AU420"/>
      <c r="AV420"/>
      <c r="AW420"/>
      <c r="AX420"/>
      <c r="AY420"/>
      <c r="AZ420"/>
      <c r="BA420"/>
      <c r="BB420"/>
      <c r="BC420"/>
      <c r="BD420"/>
      <c r="BE420"/>
      <c r="BF420"/>
      <c r="BG420"/>
      <c r="BH420"/>
      <c r="BI420"/>
      <c r="BJ420"/>
      <c r="BK420"/>
      <c r="BL420"/>
      <c r="BM420"/>
      <c r="BN420"/>
      <c r="BO420"/>
      <c r="BP420"/>
      <c r="BQ420"/>
      <c r="BR420"/>
      <c r="BS420"/>
      <c r="BT420"/>
      <c r="BU420"/>
      <c r="BV420"/>
      <c r="BW420"/>
      <c r="BX420"/>
      <c r="BY420"/>
      <c r="BZ420"/>
      <c r="CA420"/>
      <c r="CB420"/>
      <c r="CC420"/>
    </row>
    <row r="421" spans="1:81" x14ac:dyDescent="0.25">
      <c r="A421"/>
      <c r="B421"/>
      <c r="C421"/>
      <c r="D421"/>
      <c r="E421"/>
      <c r="F421"/>
      <c r="G421"/>
      <c r="H421"/>
      <c r="I421"/>
      <c r="J421"/>
      <c r="K421"/>
      <c r="L421"/>
      <c r="M421"/>
      <c r="N421"/>
      <c r="O421"/>
      <c r="P421"/>
      <c r="Q421"/>
      <c r="R421"/>
      <c r="S421"/>
      <c r="T421"/>
      <c r="U421"/>
      <c r="V421"/>
      <c r="W421"/>
      <c r="X421"/>
      <c r="Y421"/>
      <c r="Z421"/>
      <c r="AA421"/>
      <c r="AB421"/>
      <c r="AC421"/>
      <c r="AD421"/>
      <c r="AE421"/>
      <c r="AF421"/>
      <c r="AG421"/>
      <c r="AH421"/>
      <c r="AI421"/>
      <c r="AJ421"/>
      <c r="AK421"/>
      <c r="AL421"/>
      <c r="AM421"/>
      <c r="AN421"/>
      <c r="AO421"/>
      <c r="AP421"/>
      <c r="AQ421"/>
      <c r="AR421"/>
      <c r="AS421"/>
      <c r="AT421"/>
      <c r="AU421"/>
      <c r="AV421"/>
      <c r="AW421"/>
      <c r="AX421"/>
      <c r="AY421"/>
      <c r="AZ421"/>
      <c r="BA421"/>
      <c r="BB421"/>
      <c r="BC421"/>
      <c r="BD421"/>
      <c r="BE421"/>
      <c r="BF421"/>
      <c r="BG421"/>
      <c r="BH421"/>
      <c r="BI421"/>
      <c r="BJ421"/>
      <c r="BK421"/>
      <c r="BL421"/>
      <c r="BM421"/>
      <c r="BN421"/>
      <c r="BO421"/>
      <c r="BP421"/>
      <c r="BQ421"/>
      <c r="BR421"/>
      <c r="BS421"/>
      <c r="BT421"/>
      <c r="BU421"/>
      <c r="BV421"/>
      <c r="BW421"/>
      <c r="BX421"/>
      <c r="BY421"/>
      <c r="BZ421"/>
      <c r="CA421"/>
      <c r="CB421"/>
      <c r="CC421"/>
    </row>
    <row r="422" spans="1:81" x14ac:dyDescent="0.25">
      <c r="A422"/>
      <c r="B422"/>
      <c r="C422"/>
      <c r="D422"/>
      <c r="E422"/>
      <c r="F422"/>
      <c r="G422"/>
      <c r="H422"/>
      <c r="I422"/>
      <c r="J422"/>
      <c r="K422"/>
      <c r="L422"/>
      <c r="M422"/>
      <c r="N422"/>
      <c r="O422"/>
      <c r="P422"/>
      <c r="Q422"/>
      <c r="R422"/>
      <c r="S422"/>
      <c r="T422"/>
      <c r="U422"/>
      <c r="V422"/>
      <c r="W422"/>
      <c r="X422"/>
      <c r="Y422"/>
      <c r="Z422"/>
      <c r="AA422"/>
      <c r="AB422"/>
      <c r="AC422"/>
      <c r="AD422"/>
      <c r="AE422"/>
      <c r="AF422"/>
      <c r="AG422"/>
      <c r="AH422"/>
      <c r="AI422"/>
      <c r="AJ422"/>
      <c r="AK422"/>
      <c r="AL422"/>
      <c r="AM422"/>
      <c r="AN422"/>
      <c r="AO422"/>
      <c r="AP422"/>
      <c r="AQ422"/>
      <c r="AR422"/>
      <c r="AS422"/>
      <c r="AT422"/>
      <c r="AU422"/>
      <c r="AV422"/>
      <c r="AW422"/>
      <c r="AX422"/>
      <c r="AY422"/>
      <c r="AZ422"/>
      <c r="BA422"/>
      <c r="BB422"/>
      <c r="BC422"/>
      <c r="BD422"/>
      <c r="BE422"/>
      <c r="BF422"/>
      <c r="BG422"/>
      <c r="BH422"/>
      <c r="BI422"/>
      <c r="BJ422"/>
      <c r="BK422"/>
      <c r="BL422"/>
      <c r="BM422"/>
      <c r="BN422"/>
      <c r="BO422"/>
      <c r="BP422"/>
      <c r="BQ422"/>
      <c r="BR422"/>
      <c r="BS422"/>
      <c r="BT422"/>
      <c r="BU422"/>
      <c r="BV422"/>
      <c r="BW422"/>
      <c r="BX422"/>
      <c r="BY422"/>
      <c r="BZ422"/>
      <c r="CA422"/>
      <c r="CB422"/>
      <c r="CC422"/>
    </row>
    <row r="423" spans="1:81" x14ac:dyDescent="0.25">
      <c r="A423"/>
      <c r="B423"/>
      <c r="C423"/>
      <c r="D423"/>
      <c r="E423"/>
      <c r="F423"/>
      <c r="G423"/>
      <c r="H423"/>
      <c r="I423"/>
      <c r="J423"/>
      <c r="K423"/>
      <c r="L423"/>
      <c r="M423"/>
      <c r="N423"/>
      <c r="O423"/>
      <c r="P423"/>
      <c r="Q423"/>
      <c r="R423"/>
      <c r="S423"/>
      <c r="T423"/>
      <c r="U423"/>
      <c r="V423"/>
      <c r="W423"/>
      <c r="X423"/>
      <c r="Y423"/>
      <c r="Z423"/>
      <c r="AA423"/>
      <c r="AB423"/>
      <c r="AC423"/>
      <c r="AD423"/>
      <c r="AE423"/>
      <c r="AF423"/>
      <c r="AG423"/>
      <c r="AH423"/>
      <c r="AI423"/>
      <c r="AJ423"/>
      <c r="AK423"/>
      <c r="AL423"/>
      <c r="AM423"/>
      <c r="AN423"/>
      <c r="AO423"/>
      <c r="AP423"/>
      <c r="AQ423"/>
      <c r="AR423"/>
      <c r="AS423"/>
      <c r="AT423"/>
      <c r="AU423"/>
      <c r="AV423"/>
      <c r="AW423"/>
      <c r="AX423"/>
      <c r="AY423"/>
      <c r="AZ423"/>
      <c r="BA423"/>
      <c r="BB423"/>
      <c r="BC423"/>
      <c r="BD423"/>
      <c r="BE423"/>
      <c r="BF423"/>
      <c r="BG423"/>
      <c r="BH423"/>
      <c r="BI423"/>
      <c r="BJ423"/>
      <c r="BK423"/>
      <c r="BL423"/>
      <c r="BM423"/>
      <c r="BN423"/>
      <c r="BO423"/>
      <c r="BP423"/>
      <c r="BQ423"/>
      <c r="BR423"/>
      <c r="BS423"/>
      <c r="BT423"/>
      <c r="BU423"/>
      <c r="BV423"/>
      <c r="BW423"/>
      <c r="BX423"/>
      <c r="BY423"/>
      <c r="BZ423"/>
      <c r="CA423"/>
      <c r="CB423"/>
      <c r="CC423"/>
    </row>
    <row r="424" spans="1:81" x14ac:dyDescent="0.25">
      <c r="A424"/>
      <c r="B424"/>
      <c r="C424"/>
      <c r="D424"/>
      <c r="E424"/>
      <c r="F424"/>
      <c r="G424"/>
      <c r="H424"/>
      <c r="I424"/>
      <c r="J424"/>
      <c r="K424"/>
      <c r="L424"/>
      <c r="M424"/>
      <c r="N424"/>
      <c r="O424"/>
      <c r="P424"/>
      <c r="Q424"/>
      <c r="R424"/>
      <c r="S424"/>
      <c r="T424"/>
      <c r="U424"/>
      <c r="V424"/>
      <c r="W424"/>
      <c r="X424"/>
      <c r="Y424"/>
      <c r="Z424"/>
      <c r="AA424"/>
      <c r="AB424"/>
      <c r="AC424"/>
      <c r="AD424"/>
      <c r="AE424"/>
      <c r="AF424"/>
      <c r="AG424"/>
      <c r="AH424"/>
      <c r="AI424"/>
      <c r="AJ424"/>
      <c r="AK424"/>
      <c r="AL424"/>
      <c r="AM424"/>
      <c r="AN424"/>
      <c r="AO424"/>
      <c r="AP424"/>
      <c r="AQ424"/>
      <c r="AR424"/>
      <c r="AS424"/>
      <c r="AT424"/>
      <c r="AU424"/>
      <c r="AV424"/>
      <c r="AW424"/>
      <c r="AX424"/>
      <c r="AY424"/>
      <c r="AZ424"/>
      <c r="BA424"/>
      <c r="BB424"/>
      <c r="BC424"/>
      <c r="BD424"/>
      <c r="BE424"/>
      <c r="BF424"/>
      <c r="BG424"/>
      <c r="BH424"/>
      <c r="BI424"/>
      <c r="BJ424"/>
      <c r="BK424"/>
      <c r="BL424"/>
      <c r="BM424"/>
      <c r="BN424"/>
      <c r="BO424"/>
      <c r="BP424"/>
      <c r="BQ424"/>
      <c r="BR424"/>
      <c r="BS424"/>
      <c r="BT424"/>
      <c r="BU424"/>
      <c r="BV424"/>
      <c r="BW424"/>
      <c r="BX424"/>
      <c r="BY424"/>
      <c r="BZ424"/>
      <c r="CA424"/>
      <c r="CB424"/>
      <c r="CC424"/>
    </row>
    <row r="425" spans="1:81" x14ac:dyDescent="0.25">
      <c r="A425"/>
      <c r="B425"/>
      <c r="C425"/>
      <c r="D425"/>
      <c r="E425"/>
      <c r="F425"/>
      <c r="G425"/>
      <c r="H425"/>
      <c r="I425"/>
      <c r="J425"/>
      <c r="K425"/>
      <c r="L425"/>
      <c r="M425"/>
      <c r="N425"/>
      <c r="O425"/>
      <c r="P425"/>
      <c r="Q425"/>
      <c r="R425"/>
      <c r="S425"/>
      <c r="T425"/>
      <c r="U425"/>
      <c r="V425"/>
      <c r="W425"/>
      <c r="X425"/>
      <c r="Y425"/>
      <c r="Z425"/>
      <c r="AA425"/>
      <c r="AB425"/>
      <c r="AC425"/>
      <c r="AD425"/>
      <c r="AE425"/>
      <c r="AF425"/>
      <c r="AG425"/>
      <c r="AH425"/>
      <c r="AI425"/>
      <c r="AJ425"/>
      <c r="AK425"/>
      <c r="AL425"/>
      <c r="AM425"/>
      <c r="AN425"/>
      <c r="AO425"/>
      <c r="AP425"/>
      <c r="AQ425"/>
      <c r="AR425"/>
      <c r="AS425"/>
      <c r="AT425"/>
      <c r="AU425"/>
      <c r="AV425"/>
      <c r="AW425"/>
      <c r="AX425"/>
      <c r="AY425"/>
      <c r="AZ425"/>
      <c r="BA425"/>
      <c r="BB425"/>
      <c r="BC425"/>
      <c r="BD425"/>
      <c r="BE425"/>
      <c r="BF425"/>
      <c r="BG425"/>
      <c r="BH425"/>
      <c r="BI425"/>
      <c r="BJ425"/>
      <c r="BK425"/>
      <c r="BL425"/>
      <c r="BM425"/>
      <c r="BN425"/>
      <c r="BO425"/>
      <c r="BP425"/>
      <c r="BQ425"/>
      <c r="BR425"/>
      <c r="BS425"/>
      <c r="BT425"/>
      <c r="BU425"/>
      <c r="BV425"/>
      <c r="BW425"/>
      <c r="BX425"/>
      <c r="BY425"/>
      <c r="BZ425"/>
      <c r="CA425"/>
      <c r="CB425"/>
      <c r="CC425"/>
    </row>
    <row r="426" spans="1:81" x14ac:dyDescent="0.25">
      <c r="A426"/>
      <c r="B426"/>
      <c r="C426"/>
      <c r="D426"/>
      <c r="E426"/>
      <c r="F426"/>
      <c r="G426"/>
      <c r="H426"/>
      <c r="I426"/>
      <c r="J426"/>
      <c r="K426"/>
      <c r="L426"/>
      <c r="M426"/>
      <c r="N426"/>
      <c r="O426"/>
      <c r="P426"/>
      <c r="Q426"/>
      <c r="R426"/>
      <c r="S426"/>
      <c r="T426"/>
      <c r="U426"/>
      <c r="V426"/>
      <c r="W426"/>
      <c r="X426"/>
      <c r="Y426"/>
      <c r="Z426"/>
      <c r="AA426"/>
      <c r="AB426"/>
      <c r="AC426"/>
      <c r="AD426"/>
      <c r="AE426"/>
      <c r="AF426"/>
      <c r="AG426"/>
      <c r="AH426"/>
      <c r="AI426"/>
      <c r="AJ426"/>
      <c r="AK426"/>
      <c r="AL426"/>
      <c r="AM426"/>
      <c r="AN426"/>
      <c r="AO426"/>
      <c r="AP426"/>
      <c r="AQ426"/>
      <c r="AR426"/>
      <c r="AS426"/>
      <c r="AT426"/>
      <c r="AU426"/>
      <c r="AV426"/>
      <c r="AW426"/>
      <c r="AX426"/>
      <c r="AY426"/>
      <c r="AZ426"/>
      <c r="BA426"/>
      <c r="BB426"/>
      <c r="BC426"/>
      <c r="BD426"/>
      <c r="BE426"/>
      <c r="BF426"/>
      <c r="BG426"/>
      <c r="BH426"/>
      <c r="BI426"/>
      <c r="BJ426"/>
      <c r="BK426"/>
      <c r="BL426"/>
      <c r="BM426"/>
      <c r="BN426"/>
      <c r="BO426"/>
      <c r="BP426"/>
      <c r="BQ426"/>
      <c r="BR426"/>
      <c r="BS426"/>
      <c r="BT426"/>
      <c r="BU426"/>
      <c r="BV426"/>
      <c r="BW426"/>
      <c r="BX426"/>
      <c r="BY426"/>
      <c r="BZ426"/>
      <c r="CA426"/>
      <c r="CB426"/>
      <c r="CC426"/>
    </row>
    <row r="427" spans="1:81" x14ac:dyDescent="0.25">
      <c r="A427"/>
      <c r="B427"/>
      <c r="C427"/>
      <c r="D427"/>
      <c r="E427"/>
      <c r="F427"/>
      <c r="G427"/>
      <c r="H427"/>
      <c r="I427"/>
      <c r="J427"/>
      <c r="K427"/>
      <c r="L427"/>
      <c r="M427"/>
      <c r="N427"/>
      <c r="O427"/>
      <c r="P427"/>
      <c r="Q427"/>
      <c r="R427"/>
      <c r="S427"/>
      <c r="T427"/>
      <c r="U427"/>
      <c r="V427"/>
      <c r="W427"/>
      <c r="X427"/>
      <c r="Y427"/>
      <c r="Z427"/>
      <c r="AA427"/>
      <c r="AB427"/>
      <c r="AC427"/>
      <c r="AD427"/>
      <c r="AE427"/>
      <c r="AF427"/>
      <c r="AG427"/>
      <c r="AH427"/>
      <c r="AI427"/>
      <c r="AJ427"/>
      <c r="AK427"/>
      <c r="AL427"/>
      <c r="AM427"/>
      <c r="AN427"/>
      <c r="AO427"/>
      <c r="AP427"/>
      <c r="AQ427"/>
      <c r="AR427"/>
      <c r="AS427"/>
      <c r="AT427"/>
      <c r="AU427"/>
      <c r="AV427"/>
      <c r="AW427"/>
      <c r="AX427"/>
      <c r="AY427"/>
      <c r="AZ427"/>
      <c r="BA427"/>
      <c r="BB427"/>
      <c r="BC427"/>
      <c r="BD427"/>
      <c r="BE427"/>
      <c r="BF427"/>
      <c r="BG427"/>
      <c r="BH427"/>
      <c r="BI427"/>
      <c r="BJ427"/>
      <c r="BK427"/>
      <c r="BL427"/>
      <c r="BM427"/>
      <c r="BN427"/>
      <c r="BO427"/>
      <c r="BP427"/>
      <c r="BQ427"/>
      <c r="BR427"/>
      <c r="BS427"/>
      <c r="BT427"/>
      <c r="BU427"/>
      <c r="BV427"/>
      <c r="BW427"/>
      <c r="BX427"/>
      <c r="BY427"/>
      <c r="BZ427"/>
      <c r="CA427"/>
      <c r="CB427"/>
      <c r="CC427"/>
    </row>
  </sheetData>
  <sortState xmlns:xlrd2="http://schemas.microsoft.com/office/spreadsheetml/2017/richdata2" ref="A4:AC13">
    <sortCondition ref="Q4:Q13"/>
    <sortCondition ref="X4:X13"/>
    <sortCondition ref="P4:P13"/>
  </sortState>
  <phoneticPr fontId="10" type="noConversion"/>
  <conditionalFormatting sqref="C48">
    <cfRule type="expression" dxfId="199" priority="20594" stopIfTrue="1">
      <formula>AND(NOT(ISBLANK(C48)),NOT(_xlfn.ISFORMULA(C48)))</formula>
    </cfRule>
  </conditionalFormatting>
  <conditionalFormatting sqref="D48">
    <cfRule type="expression" dxfId="198" priority="20593" stopIfTrue="1">
      <formula>AND(NOT(ISBLANK(D48)),NOT(_xlfn.ISFORMULA(D48)))</formula>
    </cfRule>
  </conditionalFormatting>
  <conditionalFormatting sqref="G48">
    <cfRule type="expression" dxfId="197" priority="20592" stopIfTrue="1">
      <formula>AND(NOT(ISBLANK(G48)),NOT(_xlfn.ISFORMULA(G48)))</formula>
    </cfRule>
  </conditionalFormatting>
  <conditionalFormatting sqref="H48">
    <cfRule type="expression" dxfId="196" priority="20591" stopIfTrue="1">
      <formula>AND(NOT(ISBLANK(H48)),NOT(_xlfn.ISFORMULA(H48)))</formula>
    </cfRule>
  </conditionalFormatting>
  <conditionalFormatting sqref="D39">
    <cfRule type="expression" dxfId="195" priority="20709" stopIfTrue="1">
      <formula>AND(NOT(ISBLANK(D39)),NOT(_xlfn.ISFORMULA(D39)))</formula>
    </cfRule>
  </conditionalFormatting>
  <conditionalFormatting sqref="G39">
    <cfRule type="expression" dxfId="194" priority="20708" stopIfTrue="1">
      <formula>AND(NOT(ISBLANK(G39)),NOT(_xlfn.ISFORMULA(G39)))</formula>
    </cfRule>
  </conditionalFormatting>
  <conditionalFormatting sqref="H39">
    <cfRule type="expression" dxfId="193" priority="20707" stopIfTrue="1">
      <formula>AND(NOT(ISBLANK(H39)),NOT(_xlfn.ISFORMULA(H39)))</formula>
    </cfRule>
  </conditionalFormatting>
  <conditionalFormatting sqref="E28">
    <cfRule type="expression" dxfId="192" priority="20705">
      <formula>AND(AND(NOT(ISBLANK(D28)),NOT(D28=$O$1)),AND(NOT(ISBLANK(C28)),NOT(C28=$O$1)))</formula>
    </cfRule>
    <cfRule type="expression" dxfId="191" priority="20706">
      <formula>OR(AND(NOT(ISBLANK(D28)),NOT(D28=$O$1)),AND(NOT(ISBLANK(C28)),NOT(C28=$O$1)))</formula>
    </cfRule>
  </conditionalFormatting>
  <conditionalFormatting sqref="F28">
    <cfRule type="expression" dxfId="190" priority="20703">
      <formula>AND(AND(NOT(ISBLANK(G28)),NOT(G28=$O$1)),AND(NOT(ISBLANK(H28)),NOT(H28=$O$1)))</formula>
    </cfRule>
    <cfRule type="expression" dxfId="189" priority="20704">
      <formula>OR(AND(NOT(ISBLANK(G28)),NOT(G28=$O$1)),AND(NOT(ISBLANK(H28)),NOT(H28=$O$1)))</formula>
    </cfRule>
  </conditionalFormatting>
  <conditionalFormatting sqref="C28">
    <cfRule type="expression" dxfId="188" priority="20702" stopIfTrue="1">
      <formula>AND(NOT(ISBLANK(C28)),NOT(_xlfn.ISFORMULA(C28)))</formula>
    </cfRule>
  </conditionalFormatting>
  <conditionalFormatting sqref="D28">
    <cfRule type="expression" dxfId="187" priority="20701" stopIfTrue="1">
      <formula>AND(NOT(ISBLANK(D28)),NOT(_xlfn.ISFORMULA(D28)))</formula>
    </cfRule>
  </conditionalFormatting>
  <conditionalFormatting sqref="G28">
    <cfRule type="expression" dxfId="186" priority="20700" stopIfTrue="1">
      <formula>AND(NOT(ISBLANK(G28)),NOT(_xlfn.ISFORMULA(G28)))</formula>
    </cfRule>
  </conditionalFormatting>
  <conditionalFormatting sqref="H28">
    <cfRule type="expression" dxfId="185" priority="20699" stopIfTrue="1">
      <formula>AND(NOT(ISBLANK(H28)),NOT(_xlfn.ISFORMULA(H28)))</formula>
    </cfRule>
  </conditionalFormatting>
  <conditionalFormatting sqref="E39">
    <cfRule type="expression" dxfId="184" priority="20713">
      <formula>AND(AND(NOT(ISBLANK(D39)),NOT(D39=$O$1)),AND(NOT(ISBLANK(C39)),NOT(C39=$O$1)))</formula>
    </cfRule>
    <cfRule type="expression" dxfId="183" priority="20714">
      <formula>OR(AND(NOT(ISBLANK(D39)),NOT(D39=$O$1)),AND(NOT(ISBLANK(C39)),NOT(C39=$O$1)))</formula>
    </cfRule>
  </conditionalFormatting>
  <conditionalFormatting sqref="F39">
    <cfRule type="expression" dxfId="182" priority="20711">
      <formula>AND(AND(NOT(ISBLANK(G39)),NOT(G39=$O$1)),AND(NOT(ISBLANK(H39)),NOT(H39=$O$1)))</formula>
    </cfRule>
    <cfRule type="expression" dxfId="181" priority="20712">
      <formula>OR(AND(NOT(ISBLANK(G39)),NOT(G39=$O$1)),AND(NOT(ISBLANK(H39)),NOT(H39=$O$1)))</formula>
    </cfRule>
  </conditionalFormatting>
  <conditionalFormatting sqref="C39">
    <cfRule type="expression" dxfId="180" priority="20710" stopIfTrue="1">
      <formula>AND(NOT(ISBLANK(C39)),NOT(_xlfn.ISFORMULA(C39)))</formula>
    </cfRule>
  </conditionalFormatting>
  <conditionalFormatting sqref="E40">
    <cfRule type="expression" dxfId="179" priority="20697">
      <formula>AND(AND(NOT(ISBLANK(D40)),NOT(D40=$O$1)),AND(NOT(ISBLANK(C40)),NOT(C40=$O$1)))</formula>
    </cfRule>
    <cfRule type="expression" dxfId="178" priority="20698">
      <formula>OR(AND(NOT(ISBLANK(D40)),NOT(D40=$O$1)),AND(NOT(ISBLANK(C40)),NOT(C40=$O$1)))</formula>
    </cfRule>
  </conditionalFormatting>
  <conditionalFormatting sqref="F40">
    <cfRule type="expression" dxfId="177" priority="20695">
      <formula>AND(AND(NOT(ISBLANK(G40)),NOT(G40=$O$1)),AND(NOT(ISBLANK(H40)),NOT(H40=$O$1)))</formula>
    </cfRule>
    <cfRule type="expression" dxfId="176" priority="20696">
      <formula>OR(AND(NOT(ISBLANK(G40)),NOT(G40=$O$1)),AND(NOT(ISBLANK(H40)),NOT(H40=$O$1)))</formula>
    </cfRule>
  </conditionalFormatting>
  <conditionalFormatting sqref="C40">
    <cfRule type="expression" dxfId="175" priority="20694" stopIfTrue="1">
      <formula>AND(NOT(ISBLANK(C40)),NOT(_xlfn.ISFORMULA(C40)))</formula>
    </cfRule>
  </conditionalFormatting>
  <conditionalFormatting sqref="D40">
    <cfRule type="expression" dxfId="174" priority="20693" stopIfTrue="1">
      <formula>AND(NOT(ISBLANK(D40)),NOT(_xlfn.ISFORMULA(D40)))</formula>
    </cfRule>
  </conditionalFormatting>
  <conditionalFormatting sqref="G40">
    <cfRule type="expression" dxfId="173" priority="20692" stopIfTrue="1">
      <formula>AND(NOT(ISBLANK(G40)),NOT(_xlfn.ISFORMULA(G40)))</formula>
    </cfRule>
  </conditionalFormatting>
  <conditionalFormatting sqref="H40">
    <cfRule type="expression" dxfId="172" priority="20691" stopIfTrue="1">
      <formula>AND(NOT(ISBLANK(H40)),NOT(_xlfn.ISFORMULA(H40)))</formula>
    </cfRule>
  </conditionalFormatting>
  <conditionalFormatting sqref="C41">
    <cfRule type="expression" dxfId="171" priority="20686" stopIfTrue="1">
      <formula>AND(NOT(ISBLANK(C41)),NOT(_xlfn.ISFORMULA(C41)))</formula>
    </cfRule>
  </conditionalFormatting>
  <conditionalFormatting sqref="D41">
    <cfRule type="expression" dxfId="170" priority="20685" stopIfTrue="1">
      <formula>AND(NOT(ISBLANK(D41)),NOT(_xlfn.ISFORMULA(D41)))</formula>
    </cfRule>
  </conditionalFormatting>
  <conditionalFormatting sqref="G41">
    <cfRule type="expression" dxfId="169" priority="20684" stopIfTrue="1">
      <formula>AND(NOT(ISBLANK(G41)),NOT(_xlfn.ISFORMULA(G41)))</formula>
    </cfRule>
  </conditionalFormatting>
  <conditionalFormatting sqref="E41">
    <cfRule type="expression" dxfId="168" priority="20689">
      <formula>AND(AND(NOT(ISBLANK(D41)),NOT(D41=$O$1)),AND(NOT(ISBLANK(C41)),NOT(C41=$O$1)))</formula>
    </cfRule>
    <cfRule type="expression" dxfId="167" priority="20690">
      <formula>OR(AND(NOT(ISBLANK(D41)),NOT(D41=$O$1)),AND(NOT(ISBLANK(C41)),NOT(C41=$O$1)))</formula>
    </cfRule>
  </conditionalFormatting>
  <conditionalFormatting sqref="F41">
    <cfRule type="expression" dxfId="166" priority="20687">
      <formula>AND(AND(NOT(ISBLANK(G41)),NOT(G41=$O$1)),AND(NOT(ISBLANK(H41)),NOT(H41=$O$1)))</formula>
    </cfRule>
    <cfRule type="expression" dxfId="165" priority="20688">
      <formula>OR(AND(NOT(ISBLANK(G41)),NOT(G41=$O$1)),AND(NOT(ISBLANK(H41)),NOT(H41=$O$1)))</formula>
    </cfRule>
  </conditionalFormatting>
  <conditionalFormatting sqref="C29">
    <cfRule type="expression" dxfId="164" priority="20678" stopIfTrue="1">
      <formula>AND(NOT(ISBLANK(C29)),NOT(_xlfn.ISFORMULA(C29)))</formula>
    </cfRule>
  </conditionalFormatting>
  <conditionalFormatting sqref="D29">
    <cfRule type="expression" dxfId="163" priority="20677" stopIfTrue="1">
      <formula>AND(NOT(ISBLANK(D29)),NOT(_xlfn.ISFORMULA(D29)))</formula>
    </cfRule>
  </conditionalFormatting>
  <conditionalFormatting sqref="G29">
    <cfRule type="expression" dxfId="162" priority="20676" stopIfTrue="1">
      <formula>AND(NOT(ISBLANK(G29)),NOT(_xlfn.ISFORMULA(G29)))</formula>
    </cfRule>
  </conditionalFormatting>
  <conditionalFormatting sqref="H41">
    <cfRule type="expression" dxfId="161" priority="20683" stopIfTrue="1">
      <formula>AND(NOT(ISBLANK(H41)),NOT(_xlfn.ISFORMULA(H41)))</formula>
    </cfRule>
  </conditionalFormatting>
  <conditionalFormatting sqref="E29">
    <cfRule type="expression" dxfId="160" priority="20681">
      <formula>AND(AND(NOT(ISBLANK(D29)),NOT(D29=$O$1)),AND(NOT(ISBLANK(C29)),NOT(C29=$O$1)))</formula>
    </cfRule>
    <cfRule type="expression" dxfId="159" priority="20682">
      <formula>OR(AND(NOT(ISBLANK(D29)),NOT(D29=$O$1)),AND(NOT(ISBLANK(C29)),NOT(C29=$O$1)))</formula>
    </cfRule>
  </conditionalFormatting>
  <conditionalFormatting sqref="F29">
    <cfRule type="expression" dxfId="158" priority="20679">
      <formula>AND(AND(NOT(ISBLANK(G29)),NOT(G29=$O$1)),AND(NOT(ISBLANK(H29)),NOT(H29=$O$1)))</formula>
    </cfRule>
    <cfRule type="expression" dxfId="157" priority="20680">
      <formula>OR(AND(NOT(ISBLANK(G29)),NOT(G29=$O$1)),AND(NOT(ISBLANK(H29)),NOT(H29=$O$1)))</formula>
    </cfRule>
  </conditionalFormatting>
  <conditionalFormatting sqref="C42">
    <cfRule type="expression" dxfId="156" priority="20670" stopIfTrue="1">
      <formula>AND(NOT(ISBLANK(C42)),NOT(_xlfn.ISFORMULA(C42)))</formula>
    </cfRule>
  </conditionalFormatting>
  <conditionalFormatting sqref="D42">
    <cfRule type="expression" dxfId="155" priority="20669" stopIfTrue="1">
      <formula>AND(NOT(ISBLANK(D42)),NOT(_xlfn.ISFORMULA(D42)))</formula>
    </cfRule>
  </conditionalFormatting>
  <conditionalFormatting sqref="G42">
    <cfRule type="expression" dxfId="154" priority="20668" stopIfTrue="1">
      <formula>AND(NOT(ISBLANK(G42)),NOT(_xlfn.ISFORMULA(G42)))</formula>
    </cfRule>
  </conditionalFormatting>
  <conditionalFormatting sqref="H29">
    <cfRule type="expression" dxfId="153" priority="20675" stopIfTrue="1">
      <formula>AND(NOT(ISBLANK(H29)),NOT(_xlfn.ISFORMULA(H29)))</formula>
    </cfRule>
  </conditionalFormatting>
  <conditionalFormatting sqref="E42">
    <cfRule type="expression" dxfId="152" priority="20673">
      <formula>AND(AND(NOT(ISBLANK(D42)),NOT(D42=$O$1)),AND(NOT(ISBLANK(C42)),NOT(C42=$O$1)))</formula>
    </cfRule>
    <cfRule type="expression" dxfId="151" priority="20674">
      <formula>OR(AND(NOT(ISBLANK(D42)),NOT(D42=$O$1)),AND(NOT(ISBLANK(C42)),NOT(C42=$O$1)))</formula>
    </cfRule>
  </conditionalFormatting>
  <conditionalFormatting sqref="F42">
    <cfRule type="expression" dxfId="150" priority="20671">
      <formula>AND(AND(NOT(ISBLANK(G42)),NOT(G42=$O$1)),AND(NOT(ISBLANK(H42)),NOT(H42=$O$1)))</formula>
    </cfRule>
    <cfRule type="expression" dxfId="149" priority="20672">
      <formula>OR(AND(NOT(ISBLANK(G42)),NOT(G42=$O$1)),AND(NOT(ISBLANK(H42)),NOT(H42=$O$1)))</formula>
    </cfRule>
  </conditionalFormatting>
  <conditionalFormatting sqref="H42">
    <cfRule type="expression" dxfId="148" priority="20667" stopIfTrue="1">
      <formula>AND(NOT(ISBLANK(H42)),NOT(_xlfn.ISFORMULA(H42)))</formula>
    </cfRule>
  </conditionalFormatting>
  <conditionalFormatting sqref="H43">
    <cfRule type="expression" dxfId="147" priority="20659" stopIfTrue="1">
      <formula>AND(NOT(ISBLANK(H43)),NOT(_xlfn.ISFORMULA(H43)))</formula>
    </cfRule>
  </conditionalFormatting>
  <conditionalFormatting sqref="E43">
    <cfRule type="expression" dxfId="146" priority="20665">
      <formula>AND(AND(NOT(ISBLANK(D43)),NOT(D43=$O$1)),AND(NOT(ISBLANK(C43)),NOT(C43=$O$1)))</formula>
    </cfRule>
    <cfRule type="expression" dxfId="145" priority="20666">
      <formula>OR(AND(NOT(ISBLANK(D43)),NOT(D43=$O$1)),AND(NOT(ISBLANK(C43)),NOT(C43=$O$1)))</formula>
    </cfRule>
  </conditionalFormatting>
  <conditionalFormatting sqref="F43">
    <cfRule type="expression" dxfId="144" priority="20663">
      <formula>AND(AND(NOT(ISBLANK(G43)),NOT(G43=$O$1)),AND(NOT(ISBLANK(H43)),NOT(H43=$O$1)))</formula>
    </cfRule>
    <cfRule type="expression" dxfId="143" priority="20664">
      <formula>OR(AND(NOT(ISBLANK(G43)),NOT(G43=$O$1)),AND(NOT(ISBLANK(H43)),NOT(H43=$O$1)))</formula>
    </cfRule>
  </conditionalFormatting>
  <conditionalFormatting sqref="C43">
    <cfRule type="expression" dxfId="142" priority="20662" stopIfTrue="1">
      <formula>AND(NOT(ISBLANK(C43)),NOT(_xlfn.ISFORMULA(C43)))</formula>
    </cfRule>
  </conditionalFormatting>
  <conditionalFormatting sqref="D43">
    <cfRule type="expression" dxfId="141" priority="20661" stopIfTrue="1">
      <formula>AND(NOT(ISBLANK(D43)),NOT(_xlfn.ISFORMULA(D43)))</formula>
    </cfRule>
  </conditionalFormatting>
  <conditionalFormatting sqref="G43">
    <cfRule type="expression" dxfId="140" priority="20660" stopIfTrue="1">
      <formula>AND(NOT(ISBLANK(G43)),NOT(_xlfn.ISFORMULA(G43)))</formula>
    </cfRule>
  </conditionalFormatting>
  <conditionalFormatting sqref="E30">
    <cfRule type="expression" dxfId="139" priority="20657">
      <formula>AND(AND(NOT(ISBLANK(D30)),NOT(D30=$O$1)),AND(NOT(ISBLANK(C30)),NOT(C30=$O$1)))</formula>
    </cfRule>
    <cfRule type="expression" dxfId="138" priority="20658">
      <formula>OR(AND(NOT(ISBLANK(D30)),NOT(D30=$O$1)),AND(NOT(ISBLANK(C30)),NOT(C30=$O$1)))</formula>
    </cfRule>
  </conditionalFormatting>
  <conditionalFormatting sqref="F30">
    <cfRule type="expression" dxfId="137" priority="20655">
      <formula>AND(AND(NOT(ISBLANK(G30)),NOT(G30=$O$1)),AND(NOT(ISBLANK(H30)),NOT(H30=$O$1)))</formula>
    </cfRule>
    <cfRule type="expression" dxfId="136" priority="20656">
      <formula>OR(AND(NOT(ISBLANK(G30)),NOT(G30=$O$1)),AND(NOT(ISBLANK(H30)),NOT(H30=$O$1)))</formula>
    </cfRule>
  </conditionalFormatting>
  <conditionalFormatting sqref="C30">
    <cfRule type="expression" dxfId="135" priority="20654" stopIfTrue="1">
      <formula>AND(NOT(ISBLANK(C30)),NOT(_xlfn.ISFORMULA(C30)))</formula>
    </cfRule>
  </conditionalFormatting>
  <conditionalFormatting sqref="D30">
    <cfRule type="expression" dxfId="134" priority="20653" stopIfTrue="1">
      <formula>AND(NOT(ISBLANK(D30)),NOT(_xlfn.ISFORMULA(D30)))</formula>
    </cfRule>
  </conditionalFormatting>
  <conditionalFormatting sqref="G30">
    <cfRule type="expression" dxfId="133" priority="20652" stopIfTrue="1">
      <formula>AND(NOT(ISBLANK(G30)),NOT(_xlfn.ISFORMULA(G30)))</formula>
    </cfRule>
  </conditionalFormatting>
  <conditionalFormatting sqref="H30">
    <cfRule type="expression" dxfId="132" priority="20651" stopIfTrue="1">
      <formula>AND(NOT(ISBLANK(H30)),NOT(_xlfn.ISFORMULA(H30)))</formula>
    </cfRule>
  </conditionalFormatting>
  <conditionalFormatting sqref="E44">
    <cfRule type="expression" dxfId="131" priority="20649">
      <formula>AND(AND(NOT(ISBLANK(D44)),NOT(D44=$O$1)),AND(NOT(ISBLANK(C44)),NOT(C44=$O$1)))</formula>
    </cfRule>
    <cfRule type="expression" dxfId="130" priority="20650">
      <formula>OR(AND(NOT(ISBLANK(D44)),NOT(D44=$O$1)),AND(NOT(ISBLANK(C44)),NOT(C44=$O$1)))</formula>
    </cfRule>
  </conditionalFormatting>
  <conditionalFormatting sqref="F44">
    <cfRule type="expression" dxfId="129" priority="20647">
      <formula>AND(AND(NOT(ISBLANK(G44)),NOT(G44=$O$1)),AND(NOT(ISBLANK(H44)),NOT(H44=$O$1)))</formula>
    </cfRule>
    <cfRule type="expression" dxfId="128" priority="20648">
      <formula>OR(AND(NOT(ISBLANK(G44)),NOT(G44=$O$1)),AND(NOT(ISBLANK(H44)),NOT(H44=$O$1)))</formula>
    </cfRule>
  </conditionalFormatting>
  <conditionalFormatting sqref="C44">
    <cfRule type="expression" dxfId="127" priority="20646" stopIfTrue="1">
      <formula>AND(NOT(ISBLANK(C44)),NOT(_xlfn.ISFORMULA(C44)))</formula>
    </cfRule>
  </conditionalFormatting>
  <conditionalFormatting sqref="D44">
    <cfRule type="expression" dxfId="126" priority="20645" stopIfTrue="1">
      <formula>AND(NOT(ISBLANK(D44)),NOT(_xlfn.ISFORMULA(D44)))</formula>
    </cfRule>
  </conditionalFormatting>
  <conditionalFormatting sqref="G44">
    <cfRule type="expression" dxfId="125" priority="20644" stopIfTrue="1">
      <formula>AND(NOT(ISBLANK(G44)),NOT(_xlfn.ISFORMULA(G44)))</formula>
    </cfRule>
  </conditionalFormatting>
  <conditionalFormatting sqref="H44">
    <cfRule type="expression" dxfId="124" priority="20643" stopIfTrue="1">
      <formula>AND(NOT(ISBLANK(H44)),NOT(_xlfn.ISFORMULA(H44)))</formula>
    </cfRule>
  </conditionalFormatting>
  <conditionalFormatting sqref="H45">
    <cfRule type="expression" dxfId="123" priority="20631" stopIfTrue="1">
      <formula>AND(NOT(ISBLANK(H45)),NOT(_xlfn.ISFORMULA(H45)))</formula>
    </cfRule>
  </conditionalFormatting>
  <conditionalFormatting sqref="E45">
    <cfRule type="expression" dxfId="122" priority="20637">
      <formula>AND(AND(NOT(ISBLANK(D45)),NOT(D45=$O$1)),AND(NOT(ISBLANK(C45)),NOT(C45=$O$1)))</formula>
    </cfRule>
    <cfRule type="expression" dxfId="121" priority="20638">
      <formula>OR(AND(NOT(ISBLANK(D45)),NOT(D45=$O$1)),AND(NOT(ISBLANK(C45)),NOT(C45=$O$1)))</formula>
    </cfRule>
  </conditionalFormatting>
  <conditionalFormatting sqref="F45">
    <cfRule type="expression" dxfId="120" priority="20635">
      <formula>AND(AND(NOT(ISBLANK(G45)),NOT(G45=$O$1)),AND(NOT(ISBLANK(H45)),NOT(H45=$O$1)))</formula>
    </cfRule>
    <cfRule type="expression" dxfId="119" priority="20636">
      <formula>OR(AND(NOT(ISBLANK(G45)),NOT(G45=$O$1)),AND(NOT(ISBLANK(H45)),NOT(H45=$O$1)))</formula>
    </cfRule>
  </conditionalFormatting>
  <conditionalFormatting sqref="C45">
    <cfRule type="expression" dxfId="118" priority="20634" stopIfTrue="1">
      <formula>AND(NOT(ISBLANK(C45)),NOT(_xlfn.ISFORMULA(C45)))</formula>
    </cfRule>
  </conditionalFormatting>
  <conditionalFormatting sqref="D45">
    <cfRule type="expression" dxfId="117" priority="20633" stopIfTrue="1">
      <formula>AND(NOT(ISBLANK(D45)),NOT(_xlfn.ISFORMULA(D45)))</formula>
    </cfRule>
  </conditionalFormatting>
  <conditionalFormatting sqref="G45">
    <cfRule type="expression" dxfId="116" priority="20632" stopIfTrue="1">
      <formula>AND(NOT(ISBLANK(G45)),NOT(_xlfn.ISFORMULA(G45)))</formula>
    </cfRule>
  </conditionalFormatting>
  <conditionalFormatting sqref="E31">
    <cfRule type="expression" dxfId="115" priority="20629">
      <formula>AND(AND(NOT(ISBLANK(D31)),NOT(D31=$O$1)),AND(NOT(ISBLANK(C31)),NOT(C31=$O$1)))</formula>
    </cfRule>
    <cfRule type="expression" dxfId="114" priority="20630">
      <formula>OR(AND(NOT(ISBLANK(D31)),NOT(D31=$O$1)),AND(NOT(ISBLANK(C31)),NOT(C31=$O$1)))</formula>
    </cfRule>
  </conditionalFormatting>
  <conditionalFormatting sqref="F31">
    <cfRule type="expression" dxfId="113" priority="20627">
      <formula>AND(AND(NOT(ISBLANK(G31)),NOT(G31=$O$1)),AND(NOT(ISBLANK(H31)),NOT(H31=$O$1)))</formula>
    </cfRule>
    <cfRule type="expression" dxfId="112" priority="20628">
      <formula>OR(AND(NOT(ISBLANK(G31)),NOT(G31=$O$1)),AND(NOT(ISBLANK(H31)),NOT(H31=$O$1)))</formula>
    </cfRule>
  </conditionalFormatting>
  <conditionalFormatting sqref="C31">
    <cfRule type="expression" dxfId="111" priority="20626" stopIfTrue="1">
      <formula>AND(NOT(ISBLANK(C31)),NOT(_xlfn.ISFORMULA(C31)))</formula>
    </cfRule>
  </conditionalFormatting>
  <conditionalFormatting sqref="D31">
    <cfRule type="expression" dxfId="110" priority="20625" stopIfTrue="1">
      <formula>AND(NOT(ISBLANK(D31)),NOT(_xlfn.ISFORMULA(D31)))</formula>
    </cfRule>
  </conditionalFormatting>
  <conditionalFormatting sqref="G31">
    <cfRule type="expression" dxfId="109" priority="20624" stopIfTrue="1">
      <formula>AND(NOT(ISBLANK(G31)),NOT(_xlfn.ISFORMULA(G31)))</formula>
    </cfRule>
  </conditionalFormatting>
  <conditionalFormatting sqref="H31">
    <cfRule type="expression" dxfId="108" priority="20623" stopIfTrue="1">
      <formula>AND(NOT(ISBLANK(H31)),NOT(_xlfn.ISFORMULA(H31)))</formula>
    </cfRule>
  </conditionalFormatting>
  <conditionalFormatting sqref="E46">
    <cfRule type="expression" dxfId="107" priority="20621">
      <formula>AND(AND(NOT(ISBLANK(D46)),NOT(D46=$O$1)),AND(NOT(ISBLANK(C46)),NOT(C46=$O$1)))</formula>
    </cfRule>
    <cfRule type="expression" dxfId="106" priority="20622">
      <formula>OR(AND(NOT(ISBLANK(D46)),NOT(D46=$O$1)),AND(NOT(ISBLANK(C46)),NOT(C46=$O$1)))</formula>
    </cfRule>
  </conditionalFormatting>
  <conditionalFormatting sqref="F46">
    <cfRule type="expression" dxfId="105" priority="20619">
      <formula>AND(AND(NOT(ISBLANK(G46)),NOT(G46=$O$1)),AND(NOT(ISBLANK(H46)),NOT(H46=$O$1)))</formula>
    </cfRule>
    <cfRule type="expression" dxfId="104" priority="20620">
      <formula>OR(AND(NOT(ISBLANK(G46)),NOT(G46=$O$1)),AND(NOT(ISBLANK(H46)),NOT(H46=$O$1)))</formula>
    </cfRule>
  </conditionalFormatting>
  <conditionalFormatting sqref="C46">
    <cfRule type="expression" dxfId="103" priority="20618" stopIfTrue="1">
      <formula>AND(NOT(ISBLANK(C46)),NOT(_xlfn.ISFORMULA(C46)))</formula>
    </cfRule>
  </conditionalFormatting>
  <conditionalFormatting sqref="D46">
    <cfRule type="expression" dxfId="102" priority="20617" stopIfTrue="1">
      <formula>AND(NOT(ISBLANK(D46)),NOT(_xlfn.ISFORMULA(D46)))</formula>
    </cfRule>
  </conditionalFormatting>
  <conditionalFormatting sqref="G46">
    <cfRule type="expression" dxfId="101" priority="20616" stopIfTrue="1">
      <formula>AND(NOT(ISBLANK(G46)),NOT(_xlfn.ISFORMULA(G46)))</formula>
    </cfRule>
  </conditionalFormatting>
  <conditionalFormatting sqref="H46">
    <cfRule type="expression" dxfId="100" priority="20615" stopIfTrue="1">
      <formula>AND(NOT(ISBLANK(H46)),NOT(_xlfn.ISFORMULA(H46)))</formula>
    </cfRule>
  </conditionalFormatting>
  <conditionalFormatting sqref="E47">
    <cfRule type="expression" dxfId="99" priority="20613">
      <formula>AND(AND(NOT(ISBLANK(D47)),NOT(D47=$O$1)),AND(NOT(ISBLANK(C47)),NOT(C47=$O$1)))</formula>
    </cfRule>
    <cfRule type="expression" dxfId="98" priority="20614">
      <formula>OR(AND(NOT(ISBLANK(D47)),NOT(D47=$O$1)),AND(NOT(ISBLANK(C47)),NOT(C47=$O$1)))</formula>
    </cfRule>
  </conditionalFormatting>
  <conditionalFormatting sqref="F47">
    <cfRule type="expression" dxfId="97" priority="20611">
      <formula>AND(AND(NOT(ISBLANK(G47)),NOT(G47=$O$1)),AND(NOT(ISBLANK(H47)),NOT(H47=$O$1)))</formula>
    </cfRule>
    <cfRule type="expression" dxfId="96" priority="20612">
      <formula>OR(AND(NOT(ISBLANK(G47)),NOT(G47=$O$1)),AND(NOT(ISBLANK(H47)),NOT(H47=$O$1)))</formula>
    </cfRule>
  </conditionalFormatting>
  <conditionalFormatting sqref="E32">
    <cfRule type="expression" dxfId="95" priority="20605">
      <formula>AND(AND(NOT(ISBLANK(D32)),NOT(D32=$O$1)),AND(NOT(ISBLANK(C32)),NOT(C32=$O$1)))</formula>
    </cfRule>
    <cfRule type="expression" dxfId="94" priority="20606">
      <formula>OR(AND(NOT(ISBLANK(D32)),NOT(D32=$O$1)),AND(NOT(ISBLANK(C32)),NOT(C32=$O$1)))</formula>
    </cfRule>
  </conditionalFormatting>
  <conditionalFormatting sqref="F32">
    <cfRule type="expression" dxfId="93" priority="20603">
      <formula>AND(AND(NOT(ISBLANK(G32)),NOT(G32=$O$1)),AND(NOT(ISBLANK(H32)),NOT(H32=$O$1)))</formula>
    </cfRule>
    <cfRule type="expression" dxfId="92" priority="20604">
      <formula>OR(AND(NOT(ISBLANK(G32)),NOT(G32=$O$1)),AND(NOT(ISBLANK(H32)),NOT(H32=$O$1)))</formula>
    </cfRule>
  </conditionalFormatting>
  <conditionalFormatting sqref="C47">
    <cfRule type="expression" dxfId="91" priority="20610" stopIfTrue="1">
      <formula>AND(NOT(ISBLANK(C47)),NOT(_xlfn.ISFORMULA(C47)))</formula>
    </cfRule>
  </conditionalFormatting>
  <conditionalFormatting sqref="D47">
    <cfRule type="expression" dxfId="90" priority="20609" stopIfTrue="1">
      <formula>AND(NOT(ISBLANK(D47)),NOT(_xlfn.ISFORMULA(D47)))</formula>
    </cfRule>
  </conditionalFormatting>
  <conditionalFormatting sqref="G47">
    <cfRule type="expression" dxfId="89" priority="20608" stopIfTrue="1">
      <formula>AND(NOT(ISBLANK(G47)),NOT(_xlfn.ISFORMULA(G47)))</formula>
    </cfRule>
  </conditionalFormatting>
  <conditionalFormatting sqref="H47">
    <cfRule type="expression" dxfId="88" priority="20607" stopIfTrue="1">
      <formula>AND(NOT(ISBLANK(H47)),NOT(_xlfn.ISFORMULA(H47)))</formula>
    </cfRule>
  </conditionalFormatting>
  <conditionalFormatting sqref="C32">
    <cfRule type="expression" dxfId="87" priority="20602" stopIfTrue="1">
      <formula>AND(NOT(ISBLANK(C32)),NOT(_xlfn.ISFORMULA(C32)))</formula>
    </cfRule>
  </conditionalFormatting>
  <conditionalFormatting sqref="D32">
    <cfRule type="expression" dxfId="86" priority="20601" stopIfTrue="1">
      <formula>AND(NOT(ISBLANK(D32)),NOT(_xlfn.ISFORMULA(D32)))</formula>
    </cfRule>
  </conditionalFormatting>
  <conditionalFormatting sqref="G32">
    <cfRule type="expression" dxfId="85" priority="20600" stopIfTrue="1">
      <formula>AND(NOT(ISBLANK(G32)),NOT(_xlfn.ISFORMULA(G32)))</formula>
    </cfRule>
  </conditionalFormatting>
  <conditionalFormatting sqref="H32">
    <cfRule type="expression" dxfId="84" priority="20599" stopIfTrue="1">
      <formula>AND(NOT(ISBLANK(H32)),NOT(_xlfn.ISFORMULA(H32)))</formula>
    </cfRule>
  </conditionalFormatting>
  <conditionalFormatting sqref="E48">
    <cfRule type="expression" dxfId="83" priority="20597">
      <formula>AND(AND(NOT(ISBLANK(D48)),NOT(D48=$O$1)),AND(NOT(ISBLANK(C48)),NOT(C48=$O$1)))</formula>
    </cfRule>
    <cfRule type="expression" dxfId="82" priority="20598">
      <formula>OR(AND(NOT(ISBLANK(D48)),NOT(D48=$O$1)),AND(NOT(ISBLANK(C48)),NOT(C48=$O$1)))</formula>
    </cfRule>
  </conditionalFormatting>
  <conditionalFormatting sqref="F48">
    <cfRule type="expression" dxfId="81" priority="20595">
      <formula>AND(AND(NOT(ISBLANK(G48)),NOT(G48=$O$1)),AND(NOT(ISBLANK(H48)),NOT(H48=$O$1)))</formula>
    </cfRule>
    <cfRule type="expression" dxfId="80" priority="20596">
      <formula>OR(AND(NOT(ISBLANK(G48)),NOT(G48=$O$1)),AND(NOT(ISBLANK(H48)),NOT(H48=$O$1)))</formula>
    </cfRule>
  </conditionalFormatting>
  <conditionalFormatting sqref="E4">
    <cfRule type="expression" dxfId="79" priority="19937">
      <formula>AND(AND(NOT(ISBLANK(D4)),NOT(D4=$O$1)),AND(NOT(ISBLANK(C4)),NOT(C4=$O$1)))</formula>
    </cfRule>
    <cfRule type="expression" dxfId="78" priority="19938">
      <formula>OR(AND(NOT(ISBLANK(D4)),NOT(D4=$O$1)),AND(NOT(ISBLANK(C4)),NOT(C4=$O$1)))</formula>
    </cfRule>
  </conditionalFormatting>
  <conditionalFormatting sqref="F4">
    <cfRule type="expression" dxfId="77" priority="19935">
      <formula>AND(AND(NOT(ISBLANK(G4)),NOT(G4=$O$1)),AND(NOT(ISBLANK(H4)),NOT(H4=$O$1)))</formula>
    </cfRule>
    <cfRule type="expression" dxfId="76" priority="19936">
      <formula>OR(AND(NOT(ISBLANK(G4)),NOT(G4=$O$1)),AND(NOT(ISBLANK(H4)),NOT(H4=$O$1)))</formula>
    </cfRule>
  </conditionalFormatting>
  <conditionalFormatting sqref="E5">
    <cfRule type="expression" dxfId="75" priority="19933">
      <formula>AND(AND(NOT(ISBLANK(D5)),NOT(D5=$O$1)),AND(NOT(ISBLANK(C5)),NOT(C5=$O$1)))</formula>
    </cfRule>
    <cfRule type="expression" dxfId="74" priority="19934">
      <formula>OR(AND(NOT(ISBLANK(D5)),NOT(D5=$O$1)),AND(NOT(ISBLANK(C5)),NOT(C5=$O$1)))</formula>
    </cfRule>
  </conditionalFormatting>
  <conditionalFormatting sqref="F5">
    <cfRule type="expression" dxfId="73" priority="19931">
      <formula>AND(AND(NOT(ISBLANK(G5)),NOT(G5=$O$1)),AND(NOT(ISBLANK(H5)),NOT(H5=$O$1)))</formula>
    </cfRule>
    <cfRule type="expression" dxfId="72" priority="19932">
      <formula>OR(AND(NOT(ISBLANK(G5)),NOT(G5=$O$1)),AND(NOT(ISBLANK(H5)),NOT(H5=$O$1)))</formula>
    </cfRule>
  </conditionalFormatting>
  <conditionalFormatting sqref="E6">
    <cfRule type="expression" dxfId="71" priority="19929">
      <formula>AND(AND(NOT(ISBLANK(D6)),NOT(D6=$O$1)),AND(NOT(ISBLANK(C6)),NOT(C6=$O$1)))</formula>
    </cfRule>
    <cfRule type="expression" dxfId="70" priority="19930">
      <formula>OR(AND(NOT(ISBLANK(D6)),NOT(D6=$O$1)),AND(NOT(ISBLANK(C6)),NOT(C6=$O$1)))</formula>
    </cfRule>
  </conditionalFormatting>
  <conditionalFormatting sqref="F6">
    <cfRule type="expression" dxfId="69" priority="19927">
      <formula>AND(AND(NOT(ISBLANK(G6)),NOT(G6=$O$1)),AND(NOT(ISBLANK(H6)),NOT(H6=$O$1)))</formula>
    </cfRule>
    <cfRule type="expression" dxfId="68" priority="19928">
      <formula>OR(AND(NOT(ISBLANK(G6)),NOT(G6=$O$1)),AND(NOT(ISBLANK(H6)),NOT(H6=$O$1)))</formula>
    </cfRule>
  </conditionalFormatting>
  <conditionalFormatting sqref="E7">
    <cfRule type="expression" dxfId="67" priority="13713">
      <formula>AND(AND(NOT(ISBLANK(D7)),NOT(D7=$O$1)),AND(NOT(ISBLANK(C7)),NOT(C7=$O$1)))</formula>
    </cfRule>
    <cfRule type="expression" dxfId="66" priority="13714">
      <formula>OR(AND(NOT(ISBLANK(D7)),NOT(D7=$O$1)),AND(NOT(ISBLANK(C7)),NOT(C7=$O$1)))</formula>
    </cfRule>
  </conditionalFormatting>
  <conditionalFormatting sqref="F7">
    <cfRule type="expression" dxfId="65" priority="13711">
      <formula>AND(AND(NOT(ISBLANK(G7)),NOT(G7=$O$1)),AND(NOT(ISBLANK(H7)),NOT(H7=$O$1)))</formula>
    </cfRule>
    <cfRule type="expression" dxfId="64" priority="13712">
      <formula>OR(AND(NOT(ISBLANK(G7)),NOT(G7=$O$1)),AND(NOT(ISBLANK(H7)),NOT(H7=$O$1)))</formula>
    </cfRule>
  </conditionalFormatting>
  <conditionalFormatting sqref="E8">
    <cfRule type="expression" dxfId="63" priority="2743">
      <formula>AND(AND(NOT(ISBLANK(D8)),NOT(D8=$O$1)),AND(NOT(ISBLANK(C8)),NOT(C8=$O$1)))</formula>
    </cfRule>
    <cfRule type="expression" dxfId="62" priority="2744">
      <formula>OR(AND(NOT(ISBLANK(D8)),NOT(D8=$O$1)),AND(NOT(ISBLANK(C8)),NOT(C8=$O$1)))</formula>
    </cfRule>
  </conditionalFormatting>
  <conditionalFormatting sqref="F8">
    <cfRule type="expression" dxfId="61" priority="2741">
      <formula>AND(AND(NOT(ISBLANK(G8)),NOT(G8=$O$1)),AND(NOT(ISBLANK(H8)),NOT(H8=$O$1)))</formula>
    </cfRule>
    <cfRule type="expression" dxfId="60" priority="2742">
      <formula>OR(AND(NOT(ISBLANK(G8)),NOT(G8=$O$1)),AND(NOT(ISBLANK(H8)),NOT(H8=$O$1)))</formula>
    </cfRule>
  </conditionalFormatting>
  <conditionalFormatting sqref="E9">
    <cfRule type="expression" dxfId="59" priority="2739">
      <formula>AND(AND(NOT(ISBLANK(D9)),NOT(D9=$O$1)),AND(NOT(ISBLANK(C9)),NOT(C9=$O$1)))</formula>
    </cfRule>
    <cfRule type="expression" dxfId="58" priority="2740">
      <formula>OR(AND(NOT(ISBLANK(D9)),NOT(D9=$O$1)),AND(NOT(ISBLANK(C9)),NOT(C9=$O$1)))</formula>
    </cfRule>
  </conditionalFormatting>
  <conditionalFormatting sqref="F9">
    <cfRule type="expression" dxfId="57" priority="2737">
      <formula>AND(AND(NOT(ISBLANK(G9)),NOT(G9=$O$1)),AND(NOT(ISBLANK(H9)),NOT(H9=$O$1)))</formula>
    </cfRule>
    <cfRule type="expression" dxfId="56" priority="2738">
      <formula>OR(AND(NOT(ISBLANK(G9)),NOT(G9=$O$1)),AND(NOT(ISBLANK(H9)),NOT(H9=$O$1)))</formula>
    </cfRule>
  </conditionalFormatting>
  <conditionalFormatting sqref="E10">
    <cfRule type="expression" dxfId="55" priority="2735">
      <formula>AND(AND(NOT(ISBLANK(D10)),NOT(D10=$O$1)),AND(NOT(ISBLANK(C10)),NOT(C10=$O$1)))</formula>
    </cfRule>
    <cfRule type="expression" dxfId="54" priority="2736">
      <formula>OR(AND(NOT(ISBLANK(D10)),NOT(D10=$O$1)),AND(NOT(ISBLANK(C10)),NOT(C10=$O$1)))</formula>
    </cfRule>
  </conditionalFormatting>
  <conditionalFormatting sqref="F10">
    <cfRule type="expression" dxfId="53" priority="2733">
      <formula>AND(AND(NOT(ISBLANK(G10)),NOT(G10=$O$1)),AND(NOT(ISBLANK(H10)),NOT(H10=$O$1)))</formula>
    </cfRule>
    <cfRule type="expression" dxfId="52" priority="2734">
      <formula>OR(AND(NOT(ISBLANK(G10)),NOT(G10=$O$1)),AND(NOT(ISBLANK(H10)),NOT(H10=$O$1)))</formula>
    </cfRule>
  </conditionalFormatting>
  <conditionalFormatting sqref="E11">
    <cfRule type="expression" dxfId="51" priority="2731">
      <formula>AND(AND(NOT(ISBLANK(D11)),NOT(D11=$O$1)),AND(NOT(ISBLANK(C11)),NOT(C11=$O$1)))</formula>
    </cfRule>
    <cfRule type="expression" dxfId="50" priority="2732">
      <formula>OR(AND(NOT(ISBLANK(D11)),NOT(D11=$O$1)),AND(NOT(ISBLANK(C11)),NOT(C11=$O$1)))</formula>
    </cfRule>
  </conditionalFormatting>
  <conditionalFormatting sqref="F11">
    <cfRule type="expression" dxfId="49" priority="2729">
      <formula>AND(AND(NOT(ISBLANK(G11)),NOT(G11=$O$1)),AND(NOT(ISBLANK(H11)),NOT(H11=$O$1)))</formula>
    </cfRule>
    <cfRule type="expression" dxfId="48" priority="2730">
      <formula>OR(AND(NOT(ISBLANK(G11)),NOT(G11=$O$1)),AND(NOT(ISBLANK(H11)),NOT(H11=$O$1)))</formula>
    </cfRule>
  </conditionalFormatting>
  <conditionalFormatting sqref="E12">
    <cfRule type="expression" dxfId="47" priority="1659">
      <formula>AND(AND(NOT(ISBLANK(D12)),NOT(D12=$O$1)),AND(NOT(ISBLANK(C12)),NOT(C12=$O$1)))</formula>
    </cfRule>
    <cfRule type="expression" dxfId="46" priority="1660">
      <formula>OR(AND(NOT(ISBLANK(D12)),NOT(D12=$O$1)),AND(NOT(ISBLANK(C12)),NOT(C12=$O$1)))</formula>
    </cfRule>
  </conditionalFormatting>
  <conditionalFormatting sqref="F12">
    <cfRule type="expression" dxfId="45" priority="1657">
      <formula>AND(AND(NOT(ISBLANK(G12)),NOT(G12=$O$1)),AND(NOT(ISBLANK(H12)),NOT(H12=$O$1)))</formula>
    </cfRule>
    <cfRule type="expression" dxfId="44" priority="1658">
      <formula>OR(AND(NOT(ISBLANK(G12)),NOT(G12=$O$1)),AND(NOT(ISBLANK(H12)),NOT(H12=$O$1)))</formula>
    </cfRule>
  </conditionalFormatting>
  <conditionalFormatting sqref="E13">
    <cfRule type="expression" dxfId="43" priority="1655">
      <formula>AND(AND(NOT(ISBLANK(D13)),NOT(D13=$O$1)),AND(NOT(ISBLANK(C13)),NOT(C13=$O$1)))</formula>
    </cfRule>
    <cfRule type="expression" dxfId="42" priority="1656">
      <formula>OR(AND(NOT(ISBLANK(D13)),NOT(D13=$O$1)),AND(NOT(ISBLANK(C13)),NOT(C13=$O$1)))</formula>
    </cfRule>
  </conditionalFormatting>
  <conditionalFormatting sqref="F13">
    <cfRule type="expression" dxfId="41" priority="1653">
      <formula>AND(AND(NOT(ISBLANK(G13)),NOT(G13=$O$1)),AND(NOT(ISBLANK(H13)),NOT(H13=$O$1)))</formula>
    </cfRule>
    <cfRule type="expression" dxfId="40" priority="1654">
      <formula>OR(AND(NOT(ISBLANK(G13)),NOT(G13=$O$1)),AND(NOT(ISBLANK(H13)),NOT(H13=$O$1)))</formula>
    </cfRule>
  </conditionalFormatting>
  <conditionalFormatting sqref="G4">
    <cfRule type="expression" dxfId="39" priority="306" stopIfTrue="1">
      <formula>AND(NOT(ISBLANK(G4)),NOT(_xlfn.ISFORMULA(G4)))</formula>
    </cfRule>
  </conditionalFormatting>
  <conditionalFormatting sqref="G5">
    <cfRule type="expression" dxfId="38" priority="305" stopIfTrue="1">
      <formula>AND(NOT(ISBLANK(G5)),NOT(_xlfn.ISFORMULA(G5)))</formula>
    </cfRule>
  </conditionalFormatting>
  <conditionalFormatting sqref="G6">
    <cfRule type="expression" dxfId="37" priority="304" stopIfTrue="1">
      <formula>AND(NOT(ISBLANK(G6)),NOT(_xlfn.ISFORMULA(G6)))</formula>
    </cfRule>
  </conditionalFormatting>
  <conditionalFormatting sqref="G7">
    <cfRule type="expression" dxfId="36" priority="303" stopIfTrue="1">
      <formula>AND(NOT(ISBLANK(G7)),NOT(_xlfn.ISFORMULA(G7)))</formula>
    </cfRule>
  </conditionalFormatting>
  <conditionalFormatting sqref="G8">
    <cfRule type="expression" dxfId="35" priority="302" stopIfTrue="1">
      <formula>AND(NOT(ISBLANK(G8)),NOT(_xlfn.ISFORMULA(G8)))</formula>
    </cfRule>
  </conditionalFormatting>
  <conditionalFormatting sqref="G9">
    <cfRule type="expression" dxfId="34" priority="301" stopIfTrue="1">
      <formula>AND(NOT(ISBLANK(G9)),NOT(_xlfn.ISFORMULA(G9)))</formula>
    </cfRule>
  </conditionalFormatting>
  <conditionalFormatting sqref="G10">
    <cfRule type="expression" dxfId="33" priority="300" stopIfTrue="1">
      <formula>AND(NOT(ISBLANK(G10)),NOT(_xlfn.ISFORMULA(G10)))</formula>
    </cfRule>
  </conditionalFormatting>
  <conditionalFormatting sqref="G11">
    <cfRule type="expression" dxfId="32" priority="299" stopIfTrue="1">
      <formula>AND(NOT(ISBLANK(G11)),NOT(_xlfn.ISFORMULA(G11)))</formula>
    </cfRule>
  </conditionalFormatting>
  <conditionalFormatting sqref="G12">
    <cfRule type="expression" dxfId="31" priority="298" stopIfTrue="1">
      <formula>AND(NOT(ISBLANK(G12)),NOT(_xlfn.ISFORMULA(G12)))</formula>
    </cfRule>
  </conditionalFormatting>
  <conditionalFormatting sqref="G13">
    <cfRule type="expression" dxfId="30" priority="297" stopIfTrue="1">
      <formula>AND(NOT(ISBLANK(G13)),NOT(_xlfn.ISFORMULA(G13)))</formula>
    </cfRule>
  </conditionalFormatting>
  <conditionalFormatting sqref="H4">
    <cfRule type="expression" dxfId="29" priority="153" stopIfTrue="1">
      <formula>AND(NOT(ISBLANK(H4)),NOT(_xlfn.ISFORMULA(H4)))</formula>
    </cfRule>
  </conditionalFormatting>
  <conditionalFormatting sqref="H5">
    <cfRule type="expression" dxfId="28" priority="152" stopIfTrue="1">
      <formula>AND(NOT(ISBLANK(H5)),NOT(_xlfn.ISFORMULA(H5)))</formula>
    </cfRule>
  </conditionalFormatting>
  <conditionalFormatting sqref="H6">
    <cfRule type="expression" dxfId="27" priority="151" stopIfTrue="1">
      <formula>AND(NOT(ISBLANK(H6)),NOT(_xlfn.ISFORMULA(H6)))</formula>
    </cfRule>
  </conditionalFormatting>
  <conditionalFormatting sqref="H7">
    <cfRule type="expression" dxfId="26" priority="150" stopIfTrue="1">
      <formula>AND(NOT(ISBLANK(H7)),NOT(_xlfn.ISFORMULA(H7)))</formula>
    </cfRule>
  </conditionalFormatting>
  <conditionalFormatting sqref="H8">
    <cfRule type="expression" dxfId="25" priority="149" stopIfTrue="1">
      <formula>AND(NOT(ISBLANK(H8)),NOT(_xlfn.ISFORMULA(H8)))</formula>
    </cfRule>
  </conditionalFormatting>
  <conditionalFormatting sqref="H9">
    <cfRule type="expression" dxfId="24" priority="148" stopIfTrue="1">
      <formula>AND(NOT(ISBLANK(H9)),NOT(_xlfn.ISFORMULA(H9)))</formula>
    </cfRule>
  </conditionalFormatting>
  <conditionalFormatting sqref="H10">
    <cfRule type="expression" dxfId="23" priority="147" stopIfTrue="1">
      <formula>AND(NOT(ISBLANK(H10)),NOT(_xlfn.ISFORMULA(H10)))</formula>
    </cfRule>
  </conditionalFormatting>
  <conditionalFormatting sqref="H11">
    <cfRule type="expression" dxfId="22" priority="146" stopIfTrue="1">
      <formula>AND(NOT(ISBLANK(H11)),NOT(_xlfn.ISFORMULA(H11)))</formula>
    </cfRule>
  </conditionalFormatting>
  <conditionalFormatting sqref="H12">
    <cfRule type="expression" dxfId="21" priority="145" stopIfTrue="1">
      <formula>AND(NOT(ISBLANK(H12)),NOT(_xlfn.ISFORMULA(H12)))</formula>
    </cfRule>
  </conditionalFormatting>
  <conditionalFormatting sqref="H13">
    <cfRule type="expression" dxfId="20" priority="144" stopIfTrue="1">
      <formula>AND(NOT(ISBLANK(H13)),NOT(_xlfn.ISFORMULA(H13)))</formula>
    </cfRule>
  </conditionalFormatting>
  <conditionalFormatting sqref="D4">
    <cfRule type="expression" dxfId="19" priority="459" stopIfTrue="1">
      <formula>AND(NOT(ISBLANK(D4)),NOT(_xlfn.ISFORMULA(D4)))</formula>
    </cfRule>
  </conditionalFormatting>
  <conditionalFormatting sqref="D5">
    <cfRule type="expression" dxfId="18" priority="458" stopIfTrue="1">
      <formula>AND(NOT(ISBLANK(D5)),NOT(_xlfn.ISFORMULA(D5)))</formula>
    </cfRule>
  </conditionalFormatting>
  <conditionalFormatting sqref="D6">
    <cfRule type="expression" dxfId="17" priority="457" stopIfTrue="1">
      <formula>AND(NOT(ISBLANK(D6)),NOT(_xlfn.ISFORMULA(D6)))</formula>
    </cfRule>
  </conditionalFormatting>
  <conditionalFormatting sqref="D7">
    <cfRule type="expression" dxfId="16" priority="456" stopIfTrue="1">
      <formula>AND(NOT(ISBLANK(D7)),NOT(_xlfn.ISFORMULA(D7)))</formula>
    </cfRule>
  </conditionalFormatting>
  <conditionalFormatting sqref="D8">
    <cfRule type="expression" dxfId="15" priority="455" stopIfTrue="1">
      <formula>AND(NOT(ISBLANK(D8)),NOT(_xlfn.ISFORMULA(D8)))</formula>
    </cfRule>
  </conditionalFormatting>
  <conditionalFormatting sqref="D9">
    <cfRule type="expression" dxfId="14" priority="454" stopIfTrue="1">
      <formula>AND(NOT(ISBLANK(D9)),NOT(_xlfn.ISFORMULA(D9)))</formula>
    </cfRule>
  </conditionalFormatting>
  <conditionalFormatting sqref="D10">
    <cfRule type="expression" dxfId="13" priority="453" stopIfTrue="1">
      <formula>AND(NOT(ISBLANK(D10)),NOT(_xlfn.ISFORMULA(D10)))</formula>
    </cfRule>
  </conditionalFormatting>
  <conditionalFormatting sqref="D11">
    <cfRule type="expression" dxfId="12" priority="452" stopIfTrue="1">
      <formula>AND(NOT(ISBLANK(D11)),NOT(_xlfn.ISFORMULA(D11)))</formula>
    </cfRule>
  </conditionalFormatting>
  <conditionalFormatting sqref="D12">
    <cfRule type="expression" dxfId="11" priority="451" stopIfTrue="1">
      <formula>AND(NOT(ISBLANK(D12)),NOT(_xlfn.ISFORMULA(D12)))</formula>
    </cfRule>
  </conditionalFormatting>
  <conditionalFormatting sqref="D13">
    <cfRule type="expression" dxfId="10" priority="450" stopIfTrue="1">
      <formula>AND(NOT(ISBLANK(D13)),NOT(_xlfn.ISFORMULA(D13)))</formula>
    </cfRule>
  </conditionalFormatting>
  <conditionalFormatting sqref="C4">
    <cfRule type="expression" dxfId="9" priority="612" stopIfTrue="1">
      <formula>AND(NOT(ISBLANK(C4)),NOT(_xlfn.ISFORMULA(C4)))</formula>
    </cfRule>
  </conditionalFormatting>
  <conditionalFormatting sqref="C5">
    <cfRule type="expression" dxfId="8" priority="611" stopIfTrue="1">
      <formula>AND(NOT(ISBLANK(C5)),NOT(_xlfn.ISFORMULA(C5)))</formula>
    </cfRule>
  </conditionalFormatting>
  <conditionalFormatting sqref="C6">
    <cfRule type="expression" dxfId="7" priority="610" stopIfTrue="1">
      <formula>AND(NOT(ISBLANK(C6)),NOT(_xlfn.ISFORMULA(C6)))</formula>
    </cfRule>
  </conditionalFormatting>
  <conditionalFormatting sqref="C7">
    <cfRule type="expression" dxfId="6" priority="609" stopIfTrue="1">
      <formula>AND(NOT(ISBLANK(C7)),NOT(_xlfn.ISFORMULA(C7)))</formula>
    </cfRule>
  </conditionalFormatting>
  <conditionalFormatting sqref="C8">
    <cfRule type="expression" dxfId="5" priority="608" stopIfTrue="1">
      <formula>AND(NOT(ISBLANK(C8)),NOT(_xlfn.ISFORMULA(C8)))</formula>
    </cfRule>
  </conditionalFormatting>
  <conditionalFormatting sqref="C9">
    <cfRule type="expression" dxfId="4" priority="607" stopIfTrue="1">
      <formula>AND(NOT(ISBLANK(C9)),NOT(_xlfn.ISFORMULA(C9)))</formula>
    </cfRule>
  </conditionalFormatting>
  <conditionalFormatting sqref="C10">
    <cfRule type="expression" dxfId="3" priority="606" stopIfTrue="1">
      <formula>AND(NOT(ISBLANK(C10)),NOT(_xlfn.ISFORMULA(C10)))</formula>
    </cfRule>
  </conditionalFormatting>
  <conditionalFormatting sqref="C11">
    <cfRule type="expression" dxfId="2" priority="605" stopIfTrue="1">
      <formula>AND(NOT(ISBLANK(C11)),NOT(_xlfn.ISFORMULA(C11)))</formula>
    </cfRule>
  </conditionalFormatting>
  <conditionalFormatting sqref="C12">
    <cfRule type="expression" dxfId="1" priority="604" stopIfTrue="1">
      <formula>AND(NOT(ISBLANK(C12)),NOT(_xlfn.ISFORMULA(C12)))</formula>
    </cfRule>
  </conditionalFormatting>
  <conditionalFormatting sqref="C13">
    <cfRule type="expression" dxfId="0" priority="603" stopIfTrue="1">
      <formula>AND(NOT(ISBLANK(C13)),NOT(_xlfn.ISFORMULA(C13)))</formula>
    </cfRule>
  </conditionalFormatting>
  <dataValidations count="2">
    <dataValidation type="custom" allowBlank="1" showInputMessage="1" showErrorMessage="1" sqref="E39:F48 E28:F32 J39:L40 A28:B32 I28:L32 J41:J48 A39:B48 I39:I48 I4:J13 E4:F13 A4:B13" xr:uid="{68445343-EC2C-4D0C-B534-EE6EB5234710}">
      <formula1>_xlfn.ISFORMULA(A4)</formula1>
    </dataValidation>
    <dataValidation type="custom" allowBlank="1" showInputMessage="1" showErrorMessage="1" errorTitle="Знак &quot;*&quot; недопустим" error="Знак &quot;*&quot; зарезервирован для обозначения отсутствия кромки и не может быть здесь использован" sqref="E24:E25" xr:uid="{34147AE8-EB12-45CD-BCD0-18F32DD61C54}">
      <formula1>E24&lt;&gt;"*"</formula1>
    </dataValidation>
  </dataValidations>
  <printOptions horizontalCentered="1"/>
  <pageMargins left="0.43307086614173229" right="0.31496062992125984" top="0.47244094488188981" bottom="0.35433070866141736" header="0.19685039370078741" footer="0.31496062992125984"/>
  <pageSetup paperSize="9" scale="90" fitToWidth="0" fitToHeight="0" orientation="landscape" r:id="rId1"/>
  <headerFooter>
    <oddHeader>&amp;R&amp;D. &amp;T. Страница &amp;P/&amp;N&amp;LbCad-teh2</oddHeader>
  </headerFooter>
  <drawing r:id="rId2"/>
  <legacyDrawing r:id="rId3"/>
  <mc:AlternateContent xmlns:mc="http://schemas.openxmlformats.org/markup-compatibility/2006">
    <mc:Choice Requires="x14">
      <controls>
        <mc:AlternateContent xmlns:mc="http://schemas.openxmlformats.org/markup-compatibility/2006">
          <mc:Choice Requires="x14">
            <control shapeId="44020" r:id="rId4" name="Button 1012">
              <controlPr defaultSize="0" print="0" autoFill="0" autoPict="0" macro="[0]!ПоказатьПанельИнструментов">
                <anchor moveWithCells="1">
                  <from>
                    <xdr:col>14</xdr:col>
                    <xdr:colOff>0</xdr:colOff>
                    <xdr:row>0</xdr:row>
                    <xdr:rowOff>180975</xdr:rowOff>
                  </from>
                  <to>
                    <xdr:col>15</xdr:col>
                    <xdr:colOff>1666875</xdr:colOff>
                    <xdr:row>1</xdr:row>
                    <xdr:rowOff>228600</xdr:rowOff>
                  </to>
                </anchor>
              </controlPr>
            </control>
          </mc:Choice>
        </mc:AlternateContent>
        <mc:AlternateContent xmlns:mc="http://schemas.openxmlformats.org/markup-compatibility/2006">
          <mc:Choice Requires="x14">
            <control shapeId="44033" r:id="rId5" name="Button 1025">
              <controlPr defaultSize="0" print="0" autoFill="0" autoPict="0" macro="[0]!Ended">
                <anchor moveWithCells="1">
                  <from>
                    <xdr:col>16</xdr:col>
                    <xdr:colOff>123825</xdr:colOff>
                    <xdr:row>0</xdr:row>
                    <xdr:rowOff>171450</xdr:rowOff>
                  </from>
                  <to>
                    <xdr:col>16</xdr:col>
                    <xdr:colOff>1238250</xdr:colOff>
                    <xdr:row>1</xdr:row>
                    <xdr:rowOff>219075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4753318-4D8E-44C1-855D-CEE57B3D0C2C}">
  <sheetPr codeName="Лист2"/>
  <dimension ref="A1"/>
  <sheetViews>
    <sheetView view="pageBreakPreview" zoomScaleNormal="100" zoomScaleSheetLayoutView="100" workbookViewId="0"/>
  </sheetViews>
  <sheetFormatPr defaultRowHeight="15" x14ac:dyDescent="0.25"/>
  <cols>
    <col min="1" max="1" width="9.140625" style="81"/>
  </cols>
  <sheetData/>
  <pageMargins left="0.7" right="0.7" top="0.75" bottom="0.75" header="0.3" footer="0.3"/>
  <pageSetup paperSize="9" orientation="portrait" r:id="rId1"/>
  <headerFooter>
    <oddHeader>&amp;R&amp;D. &amp;T. Страница &amp;P/&amp;N&amp;LСКЛАД bCad-teh2</oddHeader>
  </headerFooter>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C46C740-1432-4463-A0D3-76D421B5436B}">
  <sheetPr codeName="Лист5"/>
  <dimension ref="A1:O52"/>
  <sheetViews>
    <sheetView view="pageBreakPreview" zoomScale="85" zoomScaleNormal="100" zoomScaleSheetLayoutView="85" workbookViewId="0">
      <selection activeCell="P6" sqref="P6"/>
    </sheetView>
  </sheetViews>
  <sheetFormatPr defaultRowHeight="15" x14ac:dyDescent="0.25"/>
  <cols>
    <col min="1" max="1" width="9.140625" style="30"/>
    <col min="2" max="2" width="31.7109375" style="30" customWidth="1"/>
    <col min="3" max="4" width="9.140625" style="30"/>
    <col min="5" max="5" width="8.7109375" style="30" customWidth="1"/>
    <col min="6" max="7" width="9.140625" style="30"/>
    <col min="8" max="8" width="8.7109375" style="30" customWidth="1"/>
    <col min="9" max="9" width="4.7109375" style="30" customWidth="1"/>
    <col min="10" max="10" width="15.7109375" style="30" customWidth="1"/>
    <col min="11" max="12" width="9.140625" style="30"/>
    <col min="13" max="13" width="23.5703125" style="30" bestFit="1" customWidth="1"/>
    <col min="14" max="16384" width="9.140625" style="30"/>
  </cols>
  <sheetData>
    <row r="1" spans="1:15" ht="18.75" x14ac:dyDescent="0.3">
      <c r="A1" s="1" t="s">
        <v>111</v>
      </c>
      <c r="C1" s="82"/>
      <c r="D1" s="82"/>
      <c r="H1" s="83"/>
      <c r="I1" s="83"/>
      <c r="M1" s="84"/>
    </row>
    <row r="2" spans="1:15" ht="60" x14ac:dyDescent="0.25">
      <c r="A2" s="65" t="s">
        <v>6</v>
      </c>
      <c r="B2" s="65" t="str">
        <f>"Наименование"</f>
        <v>Наименование</v>
      </c>
      <c r="C2" s="85" t="s">
        <v>9</v>
      </c>
      <c r="D2" s="85" t="s">
        <v>11</v>
      </c>
      <c r="E2" s="86" t="s">
        <v>98</v>
      </c>
      <c r="F2" s="85" t="s">
        <v>10</v>
      </c>
      <c r="G2" s="85" t="s">
        <v>12</v>
      </c>
      <c r="H2" s="87" t="s">
        <v>99</v>
      </c>
      <c r="I2" s="65" t="s">
        <v>109</v>
      </c>
      <c r="J2" s="65" t="s">
        <v>48</v>
      </c>
      <c r="K2" s="65" t="s">
        <v>49</v>
      </c>
      <c r="L2" s="65" t="s">
        <v>50</v>
      </c>
      <c r="M2" s="65" t="s">
        <v>4</v>
      </c>
    </row>
    <row r="3" spans="1:15" x14ac:dyDescent="0.25">
      <c r="A3" s="104"/>
      <c r="B3" s="104"/>
      <c r="C3" s="104"/>
      <c r="D3" s="104"/>
      <c r="E3" s="104"/>
      <c r="F3" s="104"/>
      <c r="G3" s="104"/>
      <c r="H3" s="104"/>
      <c r="I3" s="104"/>
      <c r="J3" s="104"/>
      <c r="K3" s="104"/>
      <c r="L3" s="104"/>
      <c r="M3" s="104"/>
      <c r="N3" s="104"/>
      <c r="O3" s="104"/>
    </row>
    <row r="4" spans="1:15" x14ac:dyDescent="0.25">
      <c r="A4" s="104"/>
      <c r="B4" s="104"/>
      <c r="C4" s="104"/>
      <c r="D4" s="104"/>
      <c r="E4" s="104"/>
      <c r="F4" s="104"/>
      <c r="G4" s="104"/>
      <c r="H4" s="104"/>
      <c r="I4" s="104"/>
      <c r="J4" s="104"/>
      <c r="K4" s="104"/>
      <c r="L4" s="104"/>
      <c r="M4" s="104"/>
      <c r="N4" s="104"/>
      <c r="O4" s="104"/>
    </row>
    <row r="5" spans="1:15" x14ac:dyDescent="0.25">
      <c r="A5" s="104"/>
      <c r="B5" s="104"/>
      <c r="C5" s="104"/>
      <c r="D5" s="104"/>
      <c r="E5" s="104"/>
      <c r="F5" s="104"/>
      <c r="G5" s="104"/>
      <c r="H5" s="104"/>
      <c r="I5" s="104"/>
      <c r="J5" s="104"/>
      <c r="K5" s="104"/>
      <c r="L5" s="104"/>
      <c r="M5" s="104"/>
      <c r="N5" s="104"/>
      <c r="O5" s="104"/>
    </row>
    <row r="6" spans="1:15" x14ac:dyDescent="0.25">
      <c r="A6" s="104"/>
      <c r="B6" s="104"/>
      <c r="C6" s="104"/>
      <c r="D6" s="104"/>
      <c r="E6" s="104"/>
      <c r="F6" s="104"/>
      <c r="G6" s="104"/>
      <c r="H6" s="104"/>
      <c r="I6" s="104"/>
      <c r="J6" s="104"/>
      <c r="K6" s="104"/>
      <c r="L6" s="104"/>
      <c r="M6" s="104"/>
      <c r="N6" s="104"/>
      <c r="O6" s="104"/>
    </row>
    <row r="7" spans="1:15" x14ac:dyDescent="0.25">
      <c r="A7" s="104"/>
      <c r="B7" s="104"/>
      <c r="C7" s="104"/>
      <c r="D7" s="104"/>
      <c r="E7" s="104"/>
      <c r="F7" s="104"/>
      <c r="G7" s="104"/>
      <c r="H7" s="104"/>
      <c r="I7" s="104"/>
      <c r="J7" s="104"/>
      <c r="K7" s="104"/>
      <c r="L7" s="104"/>
      <c r="M7" s="104"/>
      <c r="N7" s="104"/>
      <c r="O7" s="104"/>
    </row>
    <row r="8" spans="1:15" x14ac:dyDescent="0.25">
      <c r="A8" s="104"/>
      <c r="B8" s="104"/>
      <c r="C8" s="104"/>
      <c r="D8" s="104"/>
      <c r="E8" s="104"/>
      <c r="F8" s="104"/>
      <c r="G8" s="104"/>
      <c r="H8" s="104"/>
      <c r="I8" s="104"/>
      <c r="J8" s="104"/>
      <c r="K8" s="104"/>
      <c r="L8" s="104"/>
      <c r="M8" s="104"/>
      <c r="N8" s="104"/>
      <c r="O8" s="104"/>
    </row>
    <row r="9" spans="1:15" x14ac:dyDescent="0.25">
      <c r="A9" s="104"/>
      <c r="B9" s="104"/>
      <c r="C9" s="104"/>
      <c r="D9" s="104"/>
      <c r="E9" s="104"/>
      <c r="F9" s="104"/>
      <c r="G9" s="104"/>
      <c r="H9" s="104"/>
      <c r="I9" s="104"/>
      <c r="J9" s="104"/>
      <c r="K9" s="104"/>
      <c r="L9" s="104"/>
      <c r="M9" s="104"/>
      <c r="N9" s="104"/>
      <c r="O9" s="104"/>
    </row>
    <row r="10" spans="1:15" x14ac:dyDescent="0.25">
      <c r="A10" s="104"/>
      <c r="B10" s="104"/>
      <c r="C10" s="104"/>
      <c r="D10" s="104"/>
      <c r="E10" s="104"/>
      <c r="F10" s="104"/>
      <c r="G10" s="104"/>
      <c r="H10" s="104"/>
      <c r="I10" s="104"/>
      <c r="J10" s="104"/>
      <c r="K10" s="104"/>
      <c r="L10" s="104"/>
      <c r="M10" s="104"/>
      <c r="N10" s="104"/>
      <c r="O10" s="104"/>
    </row>
    <row r="11" spans="1:15" x14ac:dyDescent="0.25">
      <c r="A11" s="104"/>
      <c r="B11" s="104"/>
      <c r="C11" s="104"/>
      <c r="D11" s="104"/>
      <c r="E11" s="104"/>
      <c r="F11" s="104"/>
      <c r="G11" s="104"/>
      <c r="H11" s="104"/>
      <c r="I11" s="104"/>
      <c r="J11" s="104"/>
      <c r="K11" s="104"/>
      <c r="L11" s="104"/>
      <c r="M11" s="104"/>
      <c r="N11" s="104"/>
      <c r="O11" s="104"/>
    </row>
    <row r="12" spans="1:15" x14ac:dyDescent="0.25">
      <c r="A12" s="104"/>
      <c r="B12" s="104"/>
      <c r="C12" s="104"/>
      <c r="D12" s="104"/>
      <c r="E12" s="104"/>
      <c r="F12" s="104"/>
      <c r="G12" s="104"/>
      <c r="H12" s="104"/>
      <c r="I12" s="104"/>
      <c r="J12" s="104"/>
      <c r="K12" s="104"/>
      <c r="L12" s="104"/>
      <c r="M12" s="104"/>
      <c r="N12" s="104"/>
      <c r="O12" s="104"/>
    </row>
    <row r="13" spans="1:15" x14ac:dyDescent="0.25">
      <c r="A13" s="104"/>
      <c r="B13" s="104"/>
      <c r="C13" s="104"/>
      <c r="D13" s="104"/>
      <c r="E13" s="104"/>
      <c r="F13" s="104"/>
      <c r="G13" s="104"/>
      <c r="H13" s="104"/>
      <c r="I13" s="104"/>
      <c r="J13" s="104"/>
      <c r="K13" s="104"/>
      <c r="L13" s="104"/>
      <c r="M13" s="104"/>
      <c r="N13" s="104"/>
      <c r="O13" s="104"/>
    </row>
    <row r="14" spans="1:15" x14ac:dyDescent="0.25">
      <c r="A14" s="104"/>
      <c r="B14" s="104"/>
      <c r="C14" s="104"/>
      <c r="D14" s="104"/>
      <c r="E14" s="104"/>
      <c r="F14" s="104"/>
      <c r="G14" s="104"/>
      <c r="H14" s="104"/>
      <c r="I14" s="104"/>
      <c r="J14" s="104"/>
      <c r="K14" s="104"/>
      <c r="L14" s="104"/>
      <c r="M14" s="104"/>
      <c r="N14" s="104"/>
      <c r="O14" s="104"/>
    </row>
    <row r="15" spans="1:15" x14ac:dyDescent="0.25">
      <c r="A15" s="104"/>
      <c r="B15" s="104"/>
      <c r="C15" s="104"/>
      <c r="D15" s="104"/>
      <c r="E15" s="104"/>
      <c r="F15" s="104"/>
      <c r="G15" s="104"/>
      <c r="H15" s="104"/>
      <c r="I15" s="104"/>
      <c r="J15" s="104"/>
      <c r="K15" s="104"/>
      <c r="L15" s="104"/>
      <c r="M15" s="104"/>
      <c r="N15" s="104"/>
      <c r="O15" s="104"/>
    </row>
    <row r="16" spans="1:15" x14ac:dyDescent="0.25">
      <c r="A16" s="104"/>
      <c r="B16" s="104"/>
      <c r="C16" s="104"/>
      <c r="D16" s="104"/>
      <c r="E16" s="104"/>
      <c r="F16" s="104"/>
      <c r="G16" s="104"/>
      <c r="H16" s="104"/>
      <c r="I16" s="104"/>
      <c r="J16" s="104"/>
      <c r="K16" s="104"/>
      <c r="L16" s="104"/>
      <c r="M16" s="104"/>
      <c r="N16" s="104"/>
      <c r="O16" s="104"/>
    </row>
    <row r="17" spans="1:15" x14ac:dyDescent="0.25">
      <c r="A17" s="104"/>
      <c r="B17" s="104"/>
      <c r="C17" s="104"/>
      <c r="D17" s="104"/>
      <c r="E17" s="104"/>
      <c r="F17" s="104"/>
      <c r="G17" s="104"/>
      <c r="H17" s="104"/>
      <c r="I17" s="104"/>
      <c r="J17" s="104"/>
      <c r="K17" s="104"/>
      <c r="L17" s="104"/>
      <c r="M17" s="104"/>
      <c r="N17" s="104"/>
      <c r="O17" s="104"/>
    </row>
    <row r="18" spans="1:15" x14ac:dyDescent="0.25">
      <c r="A18" s="104"/>
      <c r="B18" s="104"/>
      <c r="C18" s="104"/>
      <c r="D18" s="104"/>
      <c r="E18" s="104"/>
      <c r="F18" s="104"/>
      <c r="G18" s="104"/>
      <c r="H18" s="104"/>
      <c r="I18" s="104"/>
      <c r="J18" s="104"/>
      <c r="K18" s="104"/>
      <c r="L18" s="104"/>
      <c r="M18" s="104"/>
      <c r="N18" s="104"/>
      <c r="O18" s="104"/>
    </row>
    <row r="19" spans="1:15" x14ac:dyDescent="0.25">
      <c r="A19" s="104"/>
      <c r="B19" s="104"/>
      <c r="C19" s="104"/>
      <c r="D19" s="104"/>
      <c r="E19" s="104"/>
      <c r="F19" s="104"/>
      <c r="G19" s="104"/>
      <c r="H19" s="104"/>
      <c r="I19" s="104"/>
      <c r="J19" s="104"/>
      <c r="K19" s="104"/>
      <c r="L19" s="104"/>
      <c r="M19" s="104"/>
      <c r="N19" s="104"/>
      <c r="O19" s="104"/>
    </row>
    <row r="20" spans="1:15" x14ac:dyDescent="0.25">
      <c r="A20" s="104"/>
      <c r="B20" s="104"/>
      <c r="C20" s="104"/>
      <c r="D20" s="104"/>
      <c r="E20" s="104"/>
      <c r="F20" s="104"/>
      <c r="G20" s="104"/>
      <c r="H20" s="104"/>
      <c r="I20" s="104"/>
      <c r="J20" s="104"/>
      <c r="K20" s="104"/>
      <c r="L20" s="104"/>
      <c r="M20" s="104"/>
      <c r="N20" s="104"/>
      <c r="O20" s="104"/>
    </row>
    <row r="21" spans="1:15" x14ac:dyDescent="0.25">
      <c r="A21" s="104"/>
      <c r="B21" s="104"/>
      <c r="C21" s="104"/>
      <c r="D21" s="104"/>
      <c r="E21" s="104"/>
      <c r="F21" s="104"/>
      <c r="G21" s="104"/>
      <c r="H21" s="104"/>
      <c r="I21" s="104"/>
      <c r="J21" s="104"/>
      <c r="K21" s="104"/>
      <c r="L21" s="104"/>
      <c r="M21" s="104"/>
      <c r="N21" s="104"/>
      <c r="O21" s="104"/>
    </row>
    <row r="22" spans="1:15" x14ac:dyDescent="0.25">
      <c r="A22" s="104"/>
      <c r="B22" s="104"/>
      <c r="C22" s="104"/>
      <c r="D22" s="104"/>
      <c r="E22" s="104"/>
      <c r="F22" s="104"/>
      <c r="G22" s="104"/>
      <c r="H22" s="104"/>
      <c r="I22" s="104"/>
      <c r="J22" s="104"/>
      <c r="K22" s="104"/>
      <c r="L22" s="104"/>
      <c r="M22" s="104"/>
      <c r="N22" s="104"/>
      <c r="O22" s="104"/>
    </row>
    <row r="23" spans="1:15" x14ac:dyDescent="0.25">
      <c r="A23" s="104"/>
      <c r="B23" s="104"/>
      <c r="C23" s="104"/>
      <c r="D23" s="104"/>
      <c r="E23" s="104"/>
      <c r="F23" s="104"/>
      <c r="G23" s="104"/>
      <c r="H23" s="104"/>
      <c r="I23" s="104"/>
      <c r="J23" s="104"/>
      <c r="K23" s="104"/>
      <c r="L23" s="104"/>
      <c r="M23" s="104"/>
      <c r="N23" s="104"/>
      <c r="O23" s="104"/>
    </row>
    <row r="24" spans="1:15" x14ac:dyDescent="0.25">
      <c r="A24" s="104"/>
      <c r="B24" s="104"/>
      <c r="C24" s="104"/>
      <c r="D24" s="104"/>
      <c r="E24" s="104"/>
      <c r="F24" s="104"/>
      <c r="G24" s="104"/>
      <c r="H24" s="104"/>
      <c r="I24" s="104"/>
      <c r="J24" s="104"/>
      <c r="K24" s="104"/>
      <c r="L24" s="104"/>
      <c r="M24" s="104"/>
      <c r="N24" s="104"/>
      <c r="O24" s="104"/>
    </row>
    <row r="25" spans="1:15" x14ac:dyDescent="0.25">
      <c r="A25" s="104"/>
      <c r="B25" s="104"/>
      <c r="C25" s="104"/>
      <c r="D25" s="104"/>
      <c r="E25" s="104"/>
      <c r="F25" s="104"/>
      <c r="G25" s="104"/>
      <c r="H25" s="104"/>
      <c r="I25" s="104"/>
      <c r="J25" s="104"/>
      <c r="K25" s="104"/>
      <c r="L25" s="104"/>
      <c r="M25" s="104"/>
      <c r="N25" s="104"/>
      <c r="O25" s="104"/>
    </row>
    <row r="26" spans="1:15" x14ac:dyDescent="0.25">
      <c r="A26" s="104"/>
      <c r="B26" s="104"/>
      <c r="C26" s="104"/>
      <c r="D26" s="104"/>
      <c r="E26" s="104"/>
      <c r="F26" s="104"/>
      <c r="G26" s="104"/>
      <c r="H26" s="104"/>
      <c r="I26" s="104"/>
      <c r="J26" s="104"/>
      <c r="K26" s="104"/>
      <c r="L26" s="104"/>
      <c r="M26" s="104"/>
      <c r="N26" s="104"/>
      <c r="O26" s="104"/>
    </row>
    <row r="27" spans="1:15" x14ac:dyDescent="0.25">
      <c r="A27" s="104"/>
      <c r="B27" s="104"/>
      <c r="C27" s="104"/>
      <c r="D27" s="104"/>
      <c r="E27" s="104"/>
      <c r="F27" s="104"/>
      <c r="G27" s="104"/>
      <c r="H27" s="104"/>
      <c r="I27" s="104"/>
      <c r="J27" s="104"/>
      <c r="K27" s="104"/>
      <c r="L27" s="104"/>
      <c r="M27" s="104"/>
      <c r="N27" s="104"/>
      <c r="O27" s="104"/>
    </row>
    <row r="28" spans="1:15" x14ac:dyDescent="0.25">
      <c r="A28" s="104"/>
      <c r="B28" s="104"/>
      <c r="C28" s="104"/>
      <c r="D28" s="104"/>
      <c r="E28" s="104"/>
      <c r="F28" s="104"/>
      <c r="G28" s="104"/>
      <c r="H28" s="104"/>
      <c r="I28" s="104"/>
      <c r="J28" s="104"/>
      <c r="K28" s="104"/>
      <c r="L28" s="104"/>
      <c r="M28" s="104"/>
      <c r="N28" s="104"/>
      <c r="O28" s="104"/>
    </row>
    <row r="29" spans="1:15" x14ac:dyDescent="0.25">
      <c r="A29" s="104"/>
      <c r="B29" s="104"/>
      <c r="C29" s="104"/>
      <c r="D29" s="104"/>
      <c r="E29" s="104"/>
      <c r="F29" s="104"/>
      <c r="G29" s="104"/>
      <c r="H29" s="104"/>
      <c r="I29" s="104"/>
      <c r="J29" s="104"/>
      <c r="K29" s="104"/>
      <c r="L29" s="104"/>
      <c r="M29" s="104"/>
      <c r="N29" s="104"/>
      <c r="O29" s="104"/>
    </row>
    <row r="30" spans="1:15" x14ac:dyDescent="0.25">
      <c r="A30" s="104"/>
      <c r="B30" s="104"/>
      <c r="C30" s="104"/>
      <c r="D30" s="104"/>
      <c r="E30" s="104"/>
      <c r="F30" s="104"/>
      <c r="G30" s="104"/>
      <c r="H30" s="104"/>
      <c r="I30" s="104"/>
      <c r="J30" s="104"/>
      <c r="K30" s="104"/>
      <c r="L30" s="104"/>
      <c r="M30" s="104"/>
      <c r="N30" s="104"/>
      <c r="O30" s="104"/>
    </row>
    <row r="31" spans="1:15" x14ac:dyDescent="0.25">
      <c r="A31" s="104"/>
      <c r="B31" s="104"/>
      <c r="C31" s="104"/>
      <c r="D31" s="104"/>
      <c r="E31" s="104"/>
      <c r="F31" s="104"/>
      <c r="G31" s="104"/>
      <c r="H31" s="104"/>
      <c r="I31" s="104"/>
      <c r="J31" s="104"/>
      <c r="K31" s="104"/>
      <c r="L31" s="104"/>
      <c r="M31" s="104"/>
      <c r="N31" s="104"/>
      <c r="O31" s="104"/>
    </row>
    <row r="32" spans="1:15" x14ac:dyDescent="0.25">
      <c r="A32" s="104"/>
      <c r="B32" s="104"/>
      <c r="C32" s="104"/>
      <c r="D32" s="104"/>
      <c r="E32" s="104"/>
      <c r="F32" s="104"/>
      <c r="G32" s="104"/>
      <c r="H32" s="104"/>
      <c r="I32" s="104"/>
      <c r="J32" s="104"/>
      <c r="K32" s="104"/>
      <c r="L32" s="104"/>
      <c r="M32" s="104"/>
      <c r="N32" s="104"/>
      <c r="O32" s="104"/>
    </row>
    <row r="33" spans="1:13" x14ac:dyDescent="0.25">
      <c r="A33" s="13"/>
      <c r="E33" s="50"/>
      <c r="F33" s="35"/>
      <c r="G33" s="34"/>
      <c r="H33" s="88" t="s">
        <v>100</v>
      </c>
      <c r="I33" s="94">
        <f>SUM(I3:I32)</f>
        <v>0</v>
      </c>
      <c r="J33" s="88"/>
      <c r="K33" s="88"/>
      <c r="L33" s="88" t="s">
        <v>101</v>
      </c>
      <c r="M33" s="94">
        <f>SUM(N3:N32)</f>
        <v>0</v>
      </c>
    </row>
    <row r="34" spans="1:13" x14ac:dyDescent="0.25">
      <c r="A34" s="34"/>
      <c r="B34" s="34"/>
      <c r="C34" s="89"/>
      <c r="D34" s="90"/>
      <c r="E34" s="35"/>
      <c r="F34" s="34"/>
      <c r="G34" s="34"/>
      <c r="H34" s="36"/>
    </row>
    <row r="35" spans="1:13" x14ac:dyDescent="0.25">
      <c r="A35" s="2" t="s">
        <v>8</v>
      </c>
    </row>
    <row r="36" spans="1:13" x14ac:dyDescent="0.25">
      <c r="A36" s="30" t="s">
        <v>102</v>
      </c>
    </row>
    <row r="37" spans="1:13" x14ac:dyDescent="0.25">
      <c r="A37" s="30" t="s">
        <v>103</v>
      </c>
    </row>
    <row r="38" spans="1:13" x14ac:dyDescent="0.25">
      <c r="A38" s="30" t="s">
        <v>104</v>
      </c>
    </row>
    <row r="40" spans="1:13" ht="18.75" x14ac:dyDescent="0.3">
      <c r="B40" s="1" t="s">
        <v>41</v>
      </c>
      <c r="C40" s="38"/>
      <c r="F40" s="38"/>
      <c r="G40" s="38"/>
    </row>
    <row r="41" spans="1:13" x14ac:dyDescent="0.25">
      <c r="A41" s="91" t="s">
        <v>6</v>
      </c>
      <c r="B41" s="106" t="s">
        <v>14</v>
      </c>
      <c r="C41" s="107"/>
      <c r="D41" s="107"/>
      <c r="E41" s="107"/>
      <c r="F41" s="107"/>
      <c r="G41" s="108"/>
      <c r="H41" s="92" t="s">
        <v>31</v>
      </c>
      <c r="I41" s="93" t="s">
        <v>30</v>
      </c>
      <c r="J41" s="91" t="s">
        <v>48</v>
      </c>
      <c r="K41" s="91" t="s">
        <v>52</v>
      </c>
      <c r="L41" s="91" t="s">
        <v>53</v>
      </c>
    </row>
    <row r="42" spans="1:13" x14ac:dyDescent="0.25">
      <c r="A42" s="3"/>
      <c r="B42" s="4"/>
      <c r="C42" s="46"/>
      <c r="D42" s="62"/>
      <c r="E42" s="63"/>
      <c r="F42" s="5"/>
      <c r="G42" s="43"/>
      <c r="H42" s="59"/>
      <c r="I42" s="18"/>
      <c r="J42" s="3"/>
      <c r="K42" s="3"/>
      <c r="L42" s="55"/>
      <c r="M42" s="56"/>
    </row>
    <row r="43" spans="1:13" x14ac:dyDescent="0.25">
      <c r="A43" s="3"/>
      <c r="B43" s="4"/>
      <c r="C43" s="46"/>
      <c r="D43" s="62"/>
      <c r="E43" s="63"/>
      <c r="F43" s="5"/>
      <c r="G43" s="43"/>
      <c r="H43" s="59"/>
      <c r="I43" s="18"/>
      <c r="J43" s="80"/>
      <c r="K43" s="3"/>
      <c r="L43" s="55"/>
      <c r="M43" s="56"/>
    </row>
    <row r="44" spans="1:13" x14ac:dyDescent="0.25">
      <c r="A44" s="3"/>
      <c r="B44" s="4"/>
      <c r="C44" s="46"/>
      <c r="D44" s="62"/>
      <c r="E44" s="63"/>
      <c r="F44" s="5"/>
      <c r="G44" s="43"/>
      <c r="H44" s="59"/>
      <c r="I44" s="18"/>
      <c r="J44" s="3"/>
      <c r="K44" s="3"/>
      <c r="L44" s="55"/>
      <c r="M44" s="56"/>
    </row>
    <row r="45" spans="1:13" x14ac:dyDescent="0.25">
      <c r="A45" s="3"/>
      <c r="B45" s="4"/>
      <c r="C45" s="46"/>
      <c r="D45" s="62"/>
      <c r="E45" s="63"/>
      <c r="F45" s="5"/>
      <c r="G45" s="43"/>
      <c r="H45" s="59"/>
      <c r="I45" s="18"/>
      <c r="J45" s="80"/>
      <c r="K45" s="3"/>
      <c r="L45" s="55"/>
      <c r="M45" s="56"/>
    </row>
    <row r="46" spans="1:13" x14ac:dyDescent="0.25">
      <c r="A46" s="3"/>
      <c r="B46" s="4"/>
      <c r="C46" s="46"/>
      <c r="D46" s="62"/>
      <c r="E46" s="63"/>
      <c r="F46" s="5"/>
      <c r="G46" s="43"/>
      <c r="H46" s="59"/>
      <c r="I46" s="18"/>
      <c r="J46" s="80"/>
      <c r="K46" s="3"/>
      <c r="L46" s="55"/>
      <c r="M46" s="56"/>
    </row>
    <row r="47" spans="1:13" x14ac:dyDescent="0.25">
      <c r="A47" s="3"/>
      <c r="B47" s="4"/>
      <c r="C47" s="46"/>
      <c r="D47" s="62"/>
      <c r="E47" s="63"/>
      <c r="F47" s="5"/>
      <c r="G47" s="43"/>
      <c r="H47" s="59"/>
      <c r="I47" s="18"/>
      <c r="J47" s="3"/>
      <c r="K47" s="3"/>
      <c r="L47" s="55"/>
      <c r="M47" s="56"/>
    </row>
    <row r="48" spans="1:13" x14ac:dyDescent="0.25">
      <c r="A48" s="3"/>
      <c r="B48" s="98"/>
      <c r="C48" s="46"/>
      <c r="D48" s="62"/>
      <c r="E48" s="63"/>
      <c r="F48" s="5"/>
      <c r="G48" s="43"/>
      <c r="H48" s="59"/>
      <c r="I48" s="18"/>
      <c r="J48" s="80"/>
      <c r="K48" s="3"/>
      <c r="L48" s="55"/>
      <c r="M48" s="56"/>
    </row>
    <row r="49" spans="1:13" x14ac:dyDescent="0.25">
      <c r="A49" s="3"/>
      <c r="B49" s="98"/>
      <c r="C49" s="46"/>
      <c r="D49" s="62"/>
      <c r="E49" s="63"/>
      <c r="F49" s="5"/>
      <c r="G49" s="43"/>
      <c r="H49" s="59"/>
      <c r="I49" s="18"/>
      <c r="J49" s="80"/>
      <c r="K49" s="3"/>
      <c r="L49" s="55"/>
      <c r="M49" s="56"/>
    </row>
    <row r="50" spans="1:13" x14ac:dyDescent="0.25">
      <c r="A50" s="3"/>
      <c r="B50" s="98"/>
      <c r="C50" s="46"/>
      <c r="D50" s="62"/>
      <c r="E50" s="63"/>
      <c r="F50" s="5"/>
      <c r="G50" s="43"/>
      <c r="H50" s="59"/>
      <c r="I50" s="18"/>
      <c r="J50" s="80"/>
      <c r="K50" s="3"/>
      <c r="L50" s="55"/>
      <c r="M50" s="56"/>
    </row>
    <row r="51" spans="1:13" x14ac:dyDescent="0.25">
      <c r="A51" s="3"/>
      <c r="B51" s="98"/>
      <c r="C51" s="46"/>
      <c r="D51" s="62"/>
      <c r="E51" s="63"/>
      <c r="F51" s="5"/>
      <c r="G51" s="43"/>
      <c r="H51" s="59"/>
      <c r="I51" s="18"/>
      <c r="J51" s="3"/>
      <c r="K51" s="3"/>
      <c r="L51" s="55"/>
      <c r="M51" s="56"/>
    </row>
    <row r="52" spans="1:13" x14ac:dyDescent="0.25">
      <c r="A52" s="3"/>
      <c r="B52" s="98"/>
      <c r="C52" s="46"/>
      <c r="D52" s="62"/>
      <c r="E52" s="63"/>
      <c r="F52" s="5"/>
      <c r="G52" s="43"/>
      <c r="H52" s="59"/>
      <c r="I52" s="18"/>
      <c r="J52" s="80"/>
      <c r="K52" s="3"/>
      <c r="L52" s="55"/>
      <c r="M52" s="56"/>
    </row>
  </sheetData>
  <mergeCells count="1">
    <mergeCell ref="B41:G41"/>
  </mergeCells>
  <dataValidations count="1">
    <dataValidation type="custom" allowBlank="1" showInputMessage="1" showErrorMessage="1" errorTitle="Знак &quot;*&quot; недопустим" error="Знак &quot;*&quot; зарезервирован для обозначения отсутствия кромки и не может быть здесь использован" sqref="E42:E52" xr:uid="{362DC222-936B-422A-9742-02134A475070}">
      <formula1>E42&lt;&gt;"*"</formula1>
    </dataValidation>
  </dataValidations>
  <pageMargins left="0.25" right="0.25" top="0.75" bottom="0.75" header="0.3" footer="0.3"/>
  <pageSetup paperSize="9" scale="93" fitToWidth="0" fitToHeight="0" orientation="landscape" r:id="rId1"/>
  <headerFooter>
    <oddHeader>&amp;R&amp;D. &amp;T. Страница &amp;P/&amp;N&amp;LКРОМКА bCad-teh2</oddHeader>
  </headerFooter>
  <drawing r:id="rId2"/>
  <legacyDrawing r:id="rId3"/>
  <mc:AlternateContent xmlns:mc="http://schemas.openxmlformats.org/markup-compatibility/2006">
    <mc:Choice Requires="x14">
      <controls>
        <mc:AlternateContent xmlns:mc="http://schemas.openxmlformats.org/markup-compatibility/2006">
          <mc:Choice Requires="x14">
            <control shapeId="97281" r:id="rId4" name="Button 1">
              <controlPr defaultSize="0" print="0" autoFill="0" autoPict="0" macro="[0]!СкрытьПервыйСтолбик">
                <anchor>
                  <from>
                    <xdr:col>22</xdr:col>
                    <xdr:colOff>381000</xdr:colOff>
                    <xdr:row>0</xdr:row>
                    <xdr:rowOff>142875</xdr:rowOff>
                  </from>
                  <to>
                    <xdr:col>26</xdr:col>
                    <xdr:colOff>552450</xdr:colOff>
                    <xdr:row>1</xdr:row>
                    <xdr:rowOff>714375</xdr:rowOff>
                  </to>
                </anchor>
              </controlPr>
            </control>
          </mc:Choice>
        </mc:AlternateContent>
        <mc:AlternateContent xmlns:mc="http://schemas.openxmlformats.org/markup-compatibility/2006">
          <mc:Choice Requires="x14">
            <control shapeId="97282" r:id="rId5" name="Button 2">
              <controlPr defaultSize="0" print="0" autoFill="0" autoPict="0" macro="[0]!СкрытьПервыйСтолбик">
                <anchor>
                  <from>
                    <xdr:col>27</xdr:col>
                    <xdr:colOff>190500</xdr:colOff>
                    <xdr:row>1</xdr:row>
                    <xdr:rowOff>19050</xdr:rowOff>
                  </from>
                  <to>
                    <xdr:col>29</xdr:col>
                    <xdr:colOff>495300</xdr:colOff>
                    <xdr:row>1</xdr:row>
                    <xdr:rowOff>390525</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38A94C6-D352-44B6-83E3-A5E431236380}">
  <sheetPr codeName="Лист4"/>
  <dimension ref="A1:N22"/>
  <sheetViews>
    <sheetView view="pageBreakPreview" zoomScale="115" zoomScaleNormal="100" zoomScaleSheetLayoutView="115" workbookViewId="0">
      <selection activeCell="G32" sqref="G32"/>
    </sheetView>
  </sheetViews>
  <sheetFormatPr defaultRowHeight="15" x14ac:dyDescent="0.25"/>
  <cols>
    <col min="1" max="1" width="6.85546875" customWidth="1"/>
    <col min="2" max="2" width="31.7109375" customWidth="1"/>
    <col min="3" max="4" width="8.7109375" customWidth="1"/>
    <col min="5" max="5" width="4.7109375" customWidth="1"/>
    <col min="6" max="6" width="6.28515625" bestFit="1" customWidth="1"/>
    <col min="7" max="7" width="38.5703125" customWidth="1"/>
    <col min="8" max="8" width="25.28515625" customWidth="1"/>
    <col min="9" max="9" width="14" customWidth="1"/>
    <col min="10" max="10" width="15" customWidth="1"/>
    <col min="11" max="11" width="11.140625" bestFit="1" customWidth="1"/>
  </cols>
  <sheetData>
    <row r="1" spans="1:10" ht="18.75" x14ac:dyDescent="0.3">
      <c r="A1" s="1" t="s">
        <v>112</v>
      </c>
      <c r="C1" s="30"/>
      <c r="D1" s="83"/>
      <c r="E1" s="83"/>
      <c r="F1" s="83"/>
      <c r="G1" s="30"/>
      <c r="H1" s="30"/>
      <c r="I1" s="30"/>
      <c r="J1" s="84"/>
    </row>
    <row r="2" spans="1:10" ht="30" x14ac:dyDescent="0.25">
      <c r="A2" s="65" t="s">
        <v>6</v>
      </c>
      <c r="B2" s="65" t="str">
        <f>"Наименование"</f>
        <v>Наименование</v>
      </c>
      <c r="C2" s="86" t="s">
        <v>98</v>
      </c>
      <c r="D2" s="86" t="s">
        <v>99</v>
      </c>
      <c r="E2" s="65" t="s">
        <v>109</v>
      </c>
      <c r="F2" s="105" t="s">
        <v>114</v>
      </c>
      <c r="G2" s="65" t="s">
        <v>48</v>
      </c>
      <c r="H2" s="65" t="s">
        <v>49</v>
      </c>
      <c r="I2" s="65" t="s">
        <v>50</v>
      </c>
      <c r="J2" s="65" t="s">
        <v>4</v>
      </c>
    </row>
    <row r="3" spans="1:10" s="30" customFormat="1" x14ac:dyDescent="0.25">
      <c r="A3" s="104"/>
      <c r="B3" s="104"/>
      <c r="C3" s="104"/>
      <c r="D3" s="104"/>
      <c r="E3" s="104"/>
      <c r="F3" s="104"/>
      <c r="G3" s="104"/>
      <c r="H3" s="104"/>
      <c r="I3" s="104"/>
      <c r="J3" s="104"/>
    </row>
    <row r="4" spans="1:10" s="30" customFormat="1" x14ac:dyDescent="0.25">
      <c r="A4" s="104"/>
      <c r="B4" s="104"/>
      <c r="C4" s="104"/>
      <c r="D4" s="104"/>
      <c r="E4" s="104"/>
      <c r="F4" s="104"/>
      <c r="G4" s="104"/>
      <c r="H4" s="104"/>
      <c r="I4" s="104"/>
      <c r="J4" s="104"/>
    </row>
    <row r="5" spans="1:10" s="30" customFormat="1" x14ac:dyDescent="0.25">
      <c r="A5" s="104"/>
      <c r="B5" s="104"/>
      <c r="C5" s="104"/>
      <c r="D5" s="104"/>
      <c r="E5" s="104"/>
      <c r="F5" s="104"/>
      <c r="G5" s="104"/>
      <c r="H5" s="104"/>
      <c r="I5" s="104"/>
      <c r="J5" s="104"/>
    </row>
    <row r="6" spans="1:10" s="30" customFormat="1" x14ac:dyDescent="0.25">
      <c r="A6" s="104"/>
      <c r="B6" s="104"/>
      <c r="C6" s="104"/>
      <c r="D6" s="104"/>
      <c r="E6" s="104"/>
      <c r="F6" s="104"/>
      <c r="G6" s="104"/>
      <c r="H6" s="104"/>
      <c r="I6" s="104"/>
      <c r="J6" s="104"/>
    </row>
    <row r="7" spans="1:10" s="30" customFormat="1" x14ac:dyDescent="0.25">
      <c r="A7" s="104"/>
      <c r="B7" s="104"/>
      <c r="C7" s="104"/>
      <c r="D7" s="104"/>
      <c r="E7" s="104"/>
      <c r="F7" s="104"/>
      <c r="G7" s="104"/>
      <c r="H7" s="104"/>
      <c r="I7" s="104"/>
      <c r="J7" s="104"/>
    </row>
    <row r="8" spans="1:10" s="30" customFormat="1" x14ac:dyDescent="0.25">
      <c r="A8" s="104"/>
      <c r="B8" s="104"/>
      <c r="C8" s="104"/>
      <c r="D8" s="104"/>
      <c r="E8" s="104"/>
      <c r="F8" s="104"/>
      <c r="G8" s="104"/>
      <c r="H8" s="104"/>
      <c r="I8" s="104"/>
      <c r="J8" s="104"/>
    </row>
    <row r="9" spans="1:10" s="30" customFormat="1" x14ac:dyDescent="0.25">
      <c r="A9" s="104"/>
      <c r="B9" s="104"/>
      <c r="C9" s="104"/>
      <c r="D9" s="104"/>
      <c r="E9" s="104"/>
      <c r="F9" s="104"/>
      <c r="G9" s="104"/>
      <c r="H9" s="104"/>
      <c r="I9" s="104"/>
      <c r="J9" s="104"/>
    </row>
    <row r="10" spans="1:10" s="30" customFormat="1" x14ac:dyDescent="0.25">
      <c r="A10" s="104"/>
      <c r="B10" s="104"/>
      <c r="C10" s="104"/>
      <c r="D10" s="104"/>
      <c r="E10" s="104"/>
      <c r="F10" s="104"/>
      <c r="G10" s="104"/>
      <c r="H10" s="104"/>
      <c r="I10" s="104"/>
      <c r="J10" s="104"/>
    </row>
    <row r="11" spans="1:10" s="30" customFormat="1" x14ac:dyDescent="0.25">
      <c r="A11" s="104"/>
      <c r="B11" s="104"/>
      <c r="C11" s="104"/>
      <c r="D11" s="104"/>
      <c r="E11" s="104"/>
      <c r="F11" s="104"/>
      <c r="G11" s="104"/>
      <c r="H11" s="104"/>
      <c r="I11" s="104"/>
      <c r="J11" s="104"/>
    </row>
    <row r="12" spans="1:10" s="30" customFormat="1" x14ac:dyDescent="0.25">
      <c r="A12" s="104"/>
      <c r="B12" s="104"/>
      <c r="C12" s="104"/>
      <c r="D12" s="104"/>
      <c r="E12" s="104"/>
      <c r="F12" s="104"/>
      <c r="G12" s="104"/>
      <c r="H12" s="104"/>
      <c r="I12" s="104"/>
      <c r="J12" s="104"/>
    </row>
    <row r="13" spans="1:10" s="30" customFormat="1" x14ac:dyDescent="0.25">
      <c r="A13" s="104"/>
      <c r="B13" s="104"/>
      <c r="C13" s="104"/>
      <c r="D13" s="104"/>
      <c r="E13" s="104"/>
      <c r="F13" s="104"/>
      <c r="G13" s="104"/>
      <c r="H13" s="104"/>
      <c r="I13" s="104"/>
      <c r="J13" s="104"/>
    </row>
    <row r="14" spans="1:10" s="30" customFormat="1" x14ac:dyDescent="0.25">
      <c r="A14" s="104"/>
      <c r="B14" s="104"/>
      <c r="C14" s="104"/>
      <c r="D14" s="104"/>
      <c r="E14" s="104"/>
      <c r="F14" s="104"/>
      <c r="G14" s="104"/>
      <c r="H14" s="104"/>
      <c r="I14" s="104"/>
      <c r="J14" s="104"/>
    </row>
    <row r="15" spans="1:10" s="30" customFormat="1" x14ac:dyDescent="0.25">
      <c r="A15" s="104"/>
      <c r="B15" s="104"/>
      <c r="C15" s="104"/>
      <c r="D15" s="104"/>
      <c r="E15" s="104"/>
      <c r="F15" s="104"/>
      <c r="G15" s="104"/>
      <c r="H15" s="104"/>
      <c r="I15" s="104"/>
      <c r="J15" s="104"/>
    </row>
    <row r="16" spans="1:10" s="30" customFormat="1" x14ac:dyDescent="0.25">
      <c r="A16" s="104"/>
      <c r="B16" s="104"/>
      <c r="C16" s="104"/>
      <c r="D16" s="104"/>
      <c r="E16" s="104"/>
      <c r="F16" s="104"/>
      <c r="G16" s="104"/>
      <c r="H16" s="104"/>
      <c r="I16" s="104"/>
      <c r="J16" s="104"/>
    </row>
    <row r="17" spans="1:14" s="30" customFormat="1" x14ac:dyDescent="0.25">
      <c r="A17" s="104"/>
      <c r="B17" s="104"/>
      <c r="C17" s="104"/>
      <c r="D17" s="104"/>
      <c r="E17" s="104"/>
      <c r="F17" s="104"/>
      <c r="G17" s="104"/>
      <c r="H17" s="104"/>
      <c r="I17" s="104"/>
      <c r="J17" s="104"/>
      <c r="K17"/>
      <c r="L17"/>
      <c r="M17"/>
      <c r="N17"/>
    </row>
    <row r="18" spans="1:14" x14ac:dyDescent="0.25">
      <c r="A18" s="13"/>
      <c r="B18" s="30"/>
      <c r="C18" s="50"/>
      <c r="D18" s="88" t="s">
        <v>100</v>
      </c>
      <c r="E18" s="95">
        <f>SUM(E3:E17)</f>
        <v>0</v>
      </c>
      <c r="F18" s="33"/>
      <c r="G18" s="88"/>
      <c r="H18" s="88"/>
      <c r="I18" s="88" t="s">
        <v>105</v>
      </c>
      <c r="J18" s="94">
        <f>SUM(K3:K17)</f>
        <v>0</v>
      </c>
    </row>
    <row r="19" spans="1:14" x14ac:dyDescent="0.25">
      <c r="A19" s="13"/>
      <c r="B19" s="30"/>
      <c r="C19" s="50"/>
      <c r="D19" s="88"/>
      <c r="E19" s="33"/>
      <c r="F19" s="33"/>
      <c r="G19" s="88"/>
      <c r="H19" s="88"/>
      <c r="I19" s="88"/>
      <c r="J19" s="30"/>
    </row>
    <row r="20" spans="1:14" x14ac:dyDescent="0.25">
      <c r="A20" s="2" t="s">
        <v>8</v>
      </c>
      <c r="B20" s="30"/>
      <c r="C20" s="50"/>
      <c r="D20" s="88"/>
      <c r="E20" s="33"/>
      <c r="F20" s="33"/>
      <c r="G20" s="88"/>
      <c r="H20" s="88"/>
      <c r="I20" s="88"/>
      <c r="J20" s="30"/>
    </row>
    <row r="21" spans="1:14" x14ac:dyDescent="0.25">
      <c r="A21" s="30"/>
      <c r="B21" s="30"/>
      <c r="C21" s="30"/>
      <c r="D21" s="30"/>
      <c r="E21" s="30"/>
      <c r="F21" s="30"/>
      <c r="G21" s="30"/>
      <c r="H21" s="30"/>
      <c r="I21" s="30"/>
      <c r="J21" s="30"/>
    </row>
    <row r="22" spans="1:14" x14ac:dyDescent="0.25">
      <c r="A22" s="34"/>
      <c r="B22" s="34"/>
      <c r="C22" s="89"/>
      <c r="D22" s="89"/>
      <c r="E22" s="90"/>
      <c r="F22" s="90"/>
      <c r="G22" s="35"/>
      <c r="H22" s="34"/>
      <c r="I22" s="34"/>
      <c r="J22" s="36"/>
    </row>
  </sheetData>
  <pageMargins left="0.7" right="0.7" top="0.75" bottom="0.75" header="0.3" footer="0.3"/>
  <pageSetup paperSize="9" orientation="landscape" r:id="rId1"/>
  <headerFooter>
    <oddHeader>&amp;R&amp;D. &amp;T. Страница &amp;P/&amp;N&amp;LРАСПИЛ bCad-teh2</oddHeader>
  </headerFooter>
  <drawing r:id="rId2"/>
  <legacyDrawing r:id="rId3"/>
  <mc:AlternateContent xmlns:mc="http://schemas.openxmlformats.org/markup-compatibility/2006">
    <mc:Choice Requires="x14">
      <controls>
        <mc:AlternateContent xmlns:mc="http://schemas.openxmlformats.org/markup-compatibility/2006">
          <mc:Choice Requires="x14">
            <control shapeId="50179" r:id="rId4" name="Button 3">
              <controlPr defaultSize="0" print="0" autoFill="0" autoPict="0" macro="[0]!СкрытьПервыйСтолбик">
                <anchor>
                  <from>
                    <xdr:col>10</xdr:col>
                    <xdr:colOff>390525</xdr:colOff>
                    <xdr:row>0</xdr:row>
                    <xdr:rowOff>76200</xdr:rowOff>
                  </from>
                  <to>
                    <xdr:col>14</xdr:col>
                    <xdr:colOff>419100</xdr:colOff>
                    <xdr:row>1</xdr:row>
                    <xdr:rowOff>266700</xdr:rowOff>
                  </to>
                </anchor>
              </controlPr>
            </control>
          </mc:Choice>
        </mc:AlternateContent>
        <mc:AlternateContent xmlns:mc="http://schemas.openxmlformats.org/markup-compatibility/2006">
          <mc:Choice Requires="x14">
            <control shapeId="50180" r:id="rId5" name="Button 4">
              <controlPr defaultSize="0" print="0" autoFill="0" autoPict="0" macro="[0]!AutofitRASPIL">
                <anchor>
                  <from>
                    <xdr:col>14</xdr:col>
                    <xdr:colOff>552450</xdr:colOff>
                    <xdr:row>0</xdr:row>
                    <xdr:rowOff>104775</xdr:rowOff>
                  </from>
                  <to>
                    <xdr:col>17</xdr:col>
                    <xdr:colOff>238125</xdr:colOff>
                    <xdr:row>1</xdr:row>
                    <xdr:rowOff>238125</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9BFA09-5528-414F-A0CB-75A11BBF135C}">
  <sheetPr codeName="Лист10"/>
  <dimension ref="A1:N23"/>
  <sheetViews>
    <sheetView view="pageBreakPreview" zoomScale="115" zoomScaleNormal="100" zoomScaleSheetLayoutView="115" workbookViewId="0">
      <selection activeCell="I2" sqref="I2"/>
    </sheetView>
  </sheetViews>
  <sheetFormatPr defaultRowHeight="15" x14ac:dyDescent="0.25"/>
  <cols>
    <col min="1" max="1" width="4.85546875" style="30" customWidth="1"/>
    <col min="2" max="2" width="31.7109375" style="30" customWidth="1"/>
    <col min="3" max="4" width="8.7109375" style="30" customWidth="1"/>
    <col min="5" max="5" width="4.7109375" style="30" customWidth="1"/>
    <col min="6" max="6" width="24.5703125" style="30" customWidth="1"/>
    <col min="7" max="7" width="17.7109375" style="30" customWidth="1"/>
    <col min="8" max="8" width="12.85546875" style="30" customWidth="1"/>
    <col min="9" max="9" width="13.5703125" style="30" bestFit="1" customWidth="1"/>
    <col min="10" max="16384" width="9.140625" style="30"/>
  </cols>
  <sheetData>
    <row r="1" spans="1:14" ht="18.75" x14ac:dyDescent="0.3">
      <c r="A1" s="1" t="s">
        <v>113</v>
      </c>
      <c r="D1" s="83"/>
      <c r="E1" s="83"/>
      <c r="I1" s="84"/>
      <c r="J1" s="83"/>
    </row>
    <row r="2" spans="1:14" ht="38.25" x14ac:dyDescent="0.25">
      <c r="A2" s="65" t="s">
        <v>6</v>
      </c>
      <c r="B2" s="65" t="str">
        <f>"Наименование"</f>
        <v>Наименование</v>
      </c>
      <c r="C2" s="103" t="s">
        <v>107</v>
      </c>
      <c r="D2" s="96" t="s">
        <v>108</v>
      </c>
      <c r="E2" s="86" t="s">
        <v>109</v>
      </c>
      <c r="F2" s="65" t="s">
        <v>48</v>
      </c>
      <c r="G2" s="65" t="s">
        <v>49</v>
      </c>
      <c r="H2" s="65" t="s">
        <v>50</v>
      </c>
      <c r="I2" s="86" t="s">
        <v>34</v>
      </c>
      <c r="J2" s="65" t="s">
        <v>106</v>
      </c>
    </row>
    <row r="3" spans="1:14" x14ac:dyDescent="0.25">
      <c r="A3" s="97"/>
      <c r="B3" s="100"/>
      <c r="C3" s="101"/>
      <c r="D3" s="101"/>
      <c r="E3" s="102"/>
      <c r="F3" s="97"/>
      <c r="G3" s="97"/>
      <c r="H3" s="97"/>
      <c r="I3" s="97"/>
      <c r="J3" s="97"/>
      <c r="K3" s="97"/>
      <c r="L3" s="97"/>
      <c r="M3" s="81"/>
      <c r="N3" s="81"/>
    </row>
    <row r="4" spans="1:14" x14ac:dyDescent="0.25">
      <c r="A4" s="97"/>
      <c r="B4" s="100"/>
      <c r="C4" s="101"/>
      <c r="D4" s="101"/>
      <c r="E4" s="102"/>
      <c r="F4" s="97"/>
      <c r="G4" s="97"/>
      <c r="H4" s="97"/>
      <c r="I4" s="97"/>
      <c r="J4" s="97"/>
      <c r="K4" s="97"/>
      <c r="L4" s="97"/>
      <c r="M4" s="81"/>
      <c r="N4" s="81"/>
    </row>
    <row r="5" spans="1:14" x14ac:dyDescent="0.25">
      <c r="A5" s="97"/>
      <c r="B5" s="100"/>
      <c r="C5" s="101"/>
      <c r="D5" s="101"/>
      <c r="E5" s="102"/>
      <c r="F5" s="97"/>
      <c r="G5" s="97"/>
      <c r="H5" s="97"/>
      <c r="I5" s="97"/>
      <c r="J5" s="97"/>
      <c r="K5" s="97"/>
      <c r="L5" s="97"/>
      <c r="M5" s="81"/>
      <c r="N5" s="81"/>
    </row>
    <row r="6" spans="1:14" x14ac:dyDescent="0.25">
      <c r="A6" s="97"/>
      <c r="B6" s="100"/>
      <c r="C6" s="101"/>
      <c r="D6" s="101"/>
      <c r="E6" s="102"/>
      <c r="F6" s="97"/>
      <c r="G6" s="97"/>
      <c r="H6" s="97"/>
      <c r="I6" s="97"/>
      <c r="J6" s="97"/>
      <c r="K6" s="97"/>
      <c r="L6" s="97"/>
      <c r="M6" s="81"/>
      <c r="N6" s="81"/>
    </row>
    <row r="7" spans="1:14" x14ac:dyDescent="0.25">
      <c r="A7" s="97"/>
      <c r="B7" s="100"/>
      <c r="C7" s="101"/>
      <c r="D7" s="101"/>
      <c r="E7" s="102"/>
      <c r="F7" s="97"/>
      <c r="G7" s="97"/>
      <c r="H7" s="97"/>
      <c r="I7" s="97"/>
      <c r="J7" s="97"/>
      <c r="K7" s="97"/>
      <c r="L7" s="97"/>
      <c r="M7" s="81"/>
      <c r="N7" s="81"/>
    </row>
    <row r="8" spans="1:14" x14ac:dyDescent="0.25">
      <c r="A8" s="97"/>
      <c r="B8" s="100"/>
      <c r="C8" s="97"/>
      <c r="D8" s="97"/>
      <c r="E8" s="102"/>
      <c r="F8" s="97"/>
      <c r="G8" s="97"/>
      <c r="H8" s="97"/>
      <c r="I8" s="97"/>
      <c r="J8" s="97"/>
      <c r="K8" s="97"/>
      <c r="L8" s="97"/>
      <c r="M8" s="81"/>
      <c r="N8" s="81"/>
    </row>
    <row r="9" spans="1:14" x14ac:dyDescent="0.25">
      <c r="A9" s="97"/>
      <c r="B9" s="100"/>
      <c r="C9" s="101"/>
      <c r="D9" s="101"/>
      <c r="E9" s="102"/>
      <c r="F9" s="97"/>
      <c r="G9" s="97"/>
      <c r="H9" s="97"/>
      <c r="I9" s="97"/>
      <c r="J9" s="97"/>
      <c r="K9" s="97"/>
      <c r="L9" s="97"/>
      <c r="M9" s="81"/>
      <c r="N9" s="81"/>
    </row>
    <row r="10" spans="1:14" x14ac:dyDescent="0.25">
      <c r="A10" s="97"/>
      <c r="B10" s="100"/>
      <c r="C10" s="101"/>
      <c r="D10" s="101"/>
      <c r="E10" s="102"/>
      <c r="F10" s="97"/>
      <c r="G10" s="97"/>
      <c r="H10" s="97"/>
      <c r="I10" s="97"/>
      <c r="J10" s="97"/>
      <c r="K10" s="97"/>
      <c r="L10" s="97"/>
      <c r="M10" s="81"/>
      <c r="N10" s="81"/>
    </row>
    <row r="11" spans="1:14" x14ac:dyDescent="0.25">
      <c r="A11" s="97"/>
      <c r="B11" s="100"/>
      <c r="C11" s="101"/>
      <c r="D11" s="101"/>
      <c r="E11" s="102"/>
      <c r="F11" s="97"/>
      <c r="G11" s="97"/>
      <c r="H11" s="97"/>
      <c r="I11" s="97"/>
      <c r="J11" s="97"/>
      <c r="K11" s="97"/>
      <c r="L11" s="97"/>
      <c r="M11" s="81"/>
      <c r="N11" s="81"/>
    </row>
    <row r="12" spans="1:14" x14ac:dyDescent="0.25">
      <c r="A12" s="97"/>
      <c r="B12" s="100"/>
      <c r="C12" s="101"/>
      <c r="D12" s="97"/>
      <c r="E12" s="102"/>
      <c r="F12" s="97"/>
      <c r="G12" s="97"/>
      <c r="H12" s="97"/>
      <c r="I12" s="97"/>
      <c r="J12" s="97"/>
      <c r="K12" s="97"/>
      <c r="L12" s="97"/>
      <c r="M12" s="81"/>
      <c r="N12" s="81"/>
    </row>
    <row r="13" spans="1:14" x14ac:dyDescent="0.25">
      <c r="A13" s="97"/>
      <c r="B13" s="100"/>
      <c r="C13" s="101"/>
      <c r="D13" s="97"/>
      <c r="E13" s="102"/>
      <c r="F13" s="97"/>
      <c r="G13" s="97"/>
      <c r="H13" s="97"/>
      <c r="I13" s="97"/>
      <c r="J13" s="97"/>
      <c r="K13" s="97"/>
      <c r="L13" s="97"/>
      <c r="M13" s="81"/>
      <c r="N13" s="81"/>
    </row>
    <row r="14" spans="1:14" x14ac:dyDescent="0.25">
      <c r="A14" s="97"/>
      <c r="B14" s="100"/>
      <c r="C14" s="101"/>
      <c r="D14" s="101"/>
      <c r="E14" s="102"/>
      <c r="F14" s="97"/>
      <c r="G14" s="97"/>
      <c r="H14" s="97"/>
      <c r="I14" s="97"/>
      <c r="J14" s="97"/>
      <c r="K14" s="97"/>
      <c r="L14" s="97"/>
      <c r="M14" s="81"/>
      <c r="N14" s="81"/>
    </row>
    <row r="15" spans="1:14" x14ac:dyDescent="0.25">
      <c r="A15" s="97"/>
      <c r="B15" s="100"/>
      <c r="C15" s="101"/>
      <c r="D15" s="101"/>
      <c r="E15" s="102"/>
      <c r="F15" s="97"/>
      <c r="G15" s="97"/>
      <c r="H15" s="97"/>
      <c r="I15" s="97"/>
      <c r="J15" s="97"/>
      <c r="K15" s="97"/>
      <c r="L15" s="97"/>
      <c r="M15" s="81"/>
      <c r="N15" s="81"/>
    </row>
    <row r="16" spans="1:14" x14ac:dyDescent="0.25">
      <c r="A16" s="97"/>
      <c r="B16" s="100"/>
      <c r="C16" s="101"/>
      <c r="D16" s="101"/>
      <c r="E16" s="102"/>
      <c r="F16" s="97"/>
      <c r="G16" s="97"/>
      <c r="H16" s="97"/>
      <c r="I16" s="97"/>
      <c r="J16" s="97"/>
      <c r="K16" s="97"/>
      <c r="L16" s="97"/>
      <c r="M16" s="81"/>
      <c r="N16" s="81"/>
    </row>
    <row r="17" spans="1:14" x14ac:dyDescent="0.25">
      <c r="A17" s="97"/>
      <c r="B17" s="100"/>
      <c r="C17" s="97"/>
      <c r="D17" s="97"/>
      <c r="E17" s="102"/>
      <c r="F17" s="97"/>
      <c r="G17" s="97"/>
      <c r="H17" s="97"/>
      <c r="I17" s="97"/>
      <c r="J17" s="97"/>
      <c r="K17" s="97"/>
      <c r="L17" s="97"/>
      <c r="M17" s="81"/>
      <c r="N17" s="81"/>
    </row>
    <row r="18" spans="1:14" x14ac:dyDescent="0.25">
      <c r="A18" s="97"/>
      <c r="B18" s="100"/>
      <c r="C18" s="101"/>
      <c r="D18" s="101"/>
      <c r="E18" s="102"/>
      <c r="F18" s="97"/>
      <c r="G18" s="97"/>
      <c r="H18" s="97"/>
      <c r="I18" s="97"/>
      <c r="J18" s="97"/>
      <c r="K18" s="97"/>
      <c r="L18" s="97"/>
      <c r="M18" s="81"/>
      <c r="N18" s="81"/>
    </row>
    <row r="19" spans="1:14" x14ac:dyDescent="0.25">
      <c r="A19" s="13"/>
      <c r="C19" s="50"/>
      <c r="D19" s="88" t="s">
        <v>100</v>
      </c>
      <c r="E19" s="95">
        <f>SUM(E3:E18)</f>
        <v>0</v>
      </c>
      <c r="F19" s="88"/>
      <c r="G19" s="88"/>
      <c r="I19" s="88" t="s">
        <v>105</v>
      </c>
      <c r="J19" s="99">
        <f>SUM(K3:K18)</f>
        <v>0</v>
      </c>
    </row>
    <row r="20" spans="1:14" x14ac:dyDescent="0.25">
      <c r="A20" s="13"/>
      <c r="C20" s="50"/>
      <c r="D20" s="88"/>
      <c r="E20" s="33"/>
      <c r="F20" s="88"/>
      <c r="G20" s="88"/>
      <c r="H20" s="88"/>
      <c r="J20" s="33"/>
    </row>
    <row r="21" spans="1:14" x14ac:dyDescent="0.25">
      <c r="A21" s="2" t="s">
        <v>8</v>
      </c>
      <c r="C21" s="50"/>
      <c r="D21" s="88"/>
      <c r="E21" s="33"/>
      <c r="F21" s="88"/>
      <c r="G21" s="88"/>
      <c r="H21" s="88"/>
      <c r="J21" s="33"/>
    </row>
    <row r="23" spans="1:14" x14ac:dyDescent="0.25">
      <c r="A23" s="34"/>
      <c r="B23" s="34"/>
      <c r="C23" s="89"/>
      <c r="D23" s="89"/>
      <c r="E23" s="90"/>
      <c r="F23" s="35"/>
      <c r="G23" s="34"/>
      <c r="H23" s="34"/>
      <c r="I23" s="36"/>
      <c r="J23" s="90"/>
    </row>
  </sheetData>
  <pageMargins left="0.7" right="0.7" top="0.75" bottom="0.75" header="0.3" footer="0.3"/>
  <pageSetup paperSize="9" orientation="landscape" r:id="rId1"/>
  <headerFooter>
    <oddHeader>&amp;R&amp;D. &amp;T. Страница &amp;P/&amp;N&amp;LСБОРКА bCad-teh2</oddHeader>
  </headerFooter>
  <drawing r:id="rId2"/>
  <legacyDrawing r:id="rId3"/>
  <mc:AlternateContent xmlns:mc="http://schemas.openxmlformats.org/markup-compatibility/2006">
    <mc:Choice Requires="x14">
      <controls>
        <mc:AlternateContent xmlns:mc="http://schemas.openxmlformats.org/markup-compatibility/2006">
          <mc:Choice Requires="x14">
            <control shapeId="102401" r:id="rId4" name="Button 1">
              <controlPr defaultSize="0" print="0" autoFill="0" autoPict="0" macro="[0]!СкрытьПервыйСтолбик">
                <anchor>
                  <from>
                    <xdr:col>13</xdr:col>
                    <xdr:colOff>485775</xdr:colOff>
                    <xdr:row>0</xdr:row>
                    <xdr:rowOff>66675</xdr:rowOff>
                  </from>
                  <to>
                    <xdr:col>18</xdr:col>
                    <xdr:colOff>47625</xdr:colOff>
                    <xdr:row>1</xdr:row>
                    <xdr:rowOff>257175</xdr:rowOff>
                  </to>
                </anchor>
              </controlPr>
            </control>
          </mc:Choice>
        </mc:AlternateContent>
        <mc:AlternateContent xmlns:mc="http://schemas.openxmlformats.org/markup-compatibility/2006">
          <mc:Choice Requires="x14">
            <control shapeId="102402" r:id="rId5" name="Button 2">
              <controlPr defaultSize="0" print="0" autoFill="0" autoPict="0" macro="[0]!AutofitRASPIL">
                <anchor>
                  <from>
                    <xdr:col>18</xdr:col>
                    <xdr:colOff>200025</xdr:colOff>
                    <xdr:row>0</xdr:row>
                    <xdr:rowOff>95250</xdr:rowOff>
                  </from>
                  <to>
                    <xdr:col>20</xdr:col>
                    <xdr:colOff>76200</xdr:colOff>
                    <xdr:row>1</xdr:row>
                    <xdr:rowOff>228600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Листы</vt:lpstr>
      </vt:variant>
      <vt:variant>
        <vt:i4>6</vt:i4>
      </vt:variant>
      <vt:variant>
        <vt:lpstr>Именованные диапазоны</vt:lpstr>
      </vt:variant>
      <vt:variant>
        <vt:i4>4</vt:i4>
      </vt:variant>
    </vt:vector>
  </HeadingPairs>
  <TitlesOfParts>
    <vt:vector size="10" baseType="lpstr">
      <vt:lpstr>ИсходныйСкрытый</vt:lpstr>
      <vt:lpstr>Деталировка</vt:lpstr>
      <vt:lpstr>СКЛАД</vt:lpstr>
      <vt:lpstr>КРОМКА</vt:lpstr>
      <vt:lpstr>РАСПИЛ</vt:lpstr>
      <vt:lpstr>СБОРКА</vt:lpstr>
      <vt:lpstr>Деталировка!Область_печати</vt:lpstr>
      <vt:lpstr>КРОМКА!Область_печати</vt:lpstr>
      <vt:lpstr>РАСПИЛ!Область_печати</vt:lpstr>
      <vt:lpstr>СБОРКА!Область_печати</vt:lpstr>
    </vt:vector>
  </TitlesOfParts>
  <Company>RePack by SPecialiST</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i3240;Ганков Ярослав 0662854936</dc:creator>
  <cp:lastModifiedBy>Скиф</cp:lastModifiedBy>
  <cp:lastPrinted>2022-02-24T11:22:26Z</cp:lastPrinted>
  <dcterms:created xsi:type="dcterms:W3CDTF">2014-06-23T08:47:00Z</dcterms:created>
  <dcterms:modified xsi:type="dcterms:W3CDTF">2022-02-24T11:26:27Z</dcterms:modified>
</cp:coreProperties>
</file>
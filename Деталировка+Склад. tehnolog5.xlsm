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D:\фигня\"/>
    </mc:Choice>
  </mc:AlternateContent>
  <xr:revisionPtr revIDLastSave="0" documentId="13_ncr:1_{7EE67A1D-C557-4DFB-9EA4-7097B5D5F553}" xr6:coauthVersionLast="45" xr6:coauthVersionMax="47" xr10:uidLastSave="{00000000-0000-0000-0000-000000000000}"/>
  <bookViews>
    <workbookView xWindow="-120" yWindow="-120" windowWidth="29040" windowHeight="15840" tabRatio="368" activeTab="1" xr2:uid="{00000000-000D-0000-FFFF-FFFF00000000}"/>
  </bookViews>
  <sheets>
    <sheet name="ИсходныйСкрытый" sheetId="662" r:id="rId1"/>
    <sheet name="Деталировка" sheetId="660" r:id="rId2"/>
    <sheet name="Склад" sheetId="663" r:id="rId3"/>
  </sheets>
  <functionGroups builtInGroupCount="19"/>
  <definedNames>
    <definedName name="_xlnm._FilterDatabase" localSheetId="1" hidden="1">Деталировка!#REF!</definedName>
    <definedName name="_xlnm.Print_Area" localSheetId="1">Деталировка!$A$2:$M$27</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3" i="660" l="1"/>
  <c r="I13" i="660" s="1"/>
  <c r="L13" i="660"/>
  <c r="K13" i="660"/>
  <c r="B13" i="660"/>
  <c r="M8" i="660"/>
  <c r="L8" i="660"/>
  <c r="K8" i="660"/>
  <c r="B8" i="660"/>
  <c r="M7" i="660"/>
  <c r="L7" i="660"/>
  <c r="K7" i="660"/>
  <c r="J7" i="660"/>
  <c r="I7" i="660"/>
  <c r="B7" i="660"/>
  <c r="M10" i="660"/>
  <c r="I10" i="660" s="1"/>
  <c r="L10" i="660"/>
  <c r="K10" i="660"/>
  <c r="B10" i="660"/>
  <c r="M9" i="660"/>
  <c r="L9" i="660"/>
  <c r="K9" i="660"/>
  <c r="J9" i="660"/>
  <c r="I9" i="660"/>
  <c r="B9" i="660"/>
  <c r="M12" i="660"/>
  <c r="I12" i="660" s="1"/>
  <c r="L12" i="660"/>
  <c r="K12" i="660"/>
  <c r="B12" i="660"/>
  <c r="M11" i="660"/>
  <c r="I11" i="660" s="1"/>
  <c r="L11" i="660"/>
  <c r="K11" i="660"/>
  <c r="B11" i="660"/>
  <c r="M4" i="660"/>
  <c r="L4" i="660"/>
  <c r="K4" i="660"/>
  <c r="J4" i="660"/>
  <c r="I4" i="660"/>
  <c r="B4" i="660"/>
  <c r="M6" i="660"/>
  <c r="L6" i="660"/>
  <c r="K6" i="660"/>
  <c r="J6" i="660"/>
  <c r="I6" i="660"/>
  <c r="B6" i="660"/>
  <c r="A6" i="660" l="1"/>
  <c r="A4" i="660"/>
  <c r="F9" i="660"/>
  <c r="F12" i="660"/>
  <c r="J10" i="660"/>
  <c r="A9" i="660"/>
  <c r="I8" i="660"/>
  <c r="E10" i="660"/>
  <c r="N10" i="660" s="1"/>
  <c r="F11" i="660"/>
  <c r="F10" i="660"/>
  <c r="F4" i="660"/>
  <c r="E9" i="660"/>
  <c r="N9" i="660" s="1"/>
  <c r="E4" i="660"/>
  <c r="N4" i="660" s="1"/>
  <c r="E11" i="660"/>
  <c r="N11" i="660" s="1"/>
  <c r="E12" i="660"/>
  <c r="N12" i="660" s="1"/>
  <c r="E8" i="660"/>
  <c r="N8" i="660" s="1"/>
  <c r="F8" i="660" l="1"/>
  <c r="F6" i="660"/>
  <c r="E7" i="660"/>
  <c r="N7" i="660" s="1"/>
  <c r="F7" i="660"/>
  <c r="J11" i="660"/>
  <c r="A11" i="660" s="1"/>
  <c r="E13" i="660"/>
  <c r="N13" i="660" s="1"/>
  <c r="F13" i="660"/>
  <c r="E6" i="660" l="1"/>
  <c r="N6" i="660" s="1"/>
  <c r="A2" i="660"/>
  <c r="M5" i="660"/>
  <c r="I5" i="660" s="1"/>
  <c r="I14" i="660" s="1"/>
  <c r="L5" i="660"/>
  <c r="K5" i="660"/>
  <c r="J5" i="660"/>
  <c r="A5" i="660" s="1"/>
  <c r="B5" i="660"/>
  <c r="F5" i="660" l="1"/>
  <c r="E5" i="660"/>
  <c r="N5" i="660" s="1"/>
  <c r="J12" i="660" l="1"/>
  <c r="A12" i="660" s="1"/>
  <c r="M5" i="662"/>
  <c r="F5" i="662" s="1"/>
  <c r="L5" i="662"/>
  <c r="K5" i="662"/>
  <c r="J5" i="662"/>
  <c r="A5" i="662" s="1"/>
  <c r="B5" i="662"/>
  <c r="I5" i="662" l="1"/>
  <c r="E5" i="662"/>
  <c r="N5" i="662" s="1"/>
  <c r="M15" i="662"/>
  <c r="H15" i="662" s="1"/>
  <c r="J15" i="662"/>
  <c r="A15" i="662" s="1"/>
  <c r="I15" i="662"/>
  <c r="I51" i="660"/>
  <c r="I35" i="660"/>
  <c r="B3" i="660"/>
  <c r="D15" i="662" l="1"/>
  <c r="N15" i="662" s="1"/>
  <c r="E15" i="662"/>
  <c r="A22" i="660"/>
  <c r="A39" i="660"/>
  <c r="A28" i="660"/>
  <c r="J13" i="660" l="1"/>
  <c r="J8" i="660" l="1"/>
  <c r="A8" i="660" s="1"/>
  <c r="A10" i="660" l="1"/>
  <c r="A7" i="660" l="1"/>
  <c r="A13" i="66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sharedStrings.xml><?xml version="1.0" encoding="utf-8"?>
<sst xmlns="http://schemas.openxmlformats.org/spreadsheetml/2006/main" count="134" uniqueCount="97">
  <si>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</si>
  <si>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</si>
  <si>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</si>
  <si>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</si>
  <si>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</si>
  <si>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</si>
  <si>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</si>
  <si>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</si>
  <si>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</si>
  <si>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</si>
  <si>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</si>
  <si>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</si>
  <si>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</si>
  <si>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</si>
  <si>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</si>
  <si>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</si>
  <si>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</si>
  <si>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</si>
  <si>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</si>
  <si>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</si>
  <si>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</si>
  <si>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</si>
  <si>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</si>
  <si>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</si>
  <si>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</si>
  <si>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</si>
  <si>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</si>
  <si>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</si>
  <si>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</si>
  <si>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</si>
  <si>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</si>
  <si>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</si>
  <si>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</si>
  <si>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</si>
  <si>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</si>
  <si>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</si>
  <si>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</si>
  <si>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</si>
  <si>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</si>
  <si>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</si>
  <si>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</si>
  <si>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</si>
  <si>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</si>
  <si>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</si>
  <si>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</si>
  <si>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</si>
  <si>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</si>
  <si>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</si>
  <si>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</si>
  <si>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</si>
  <si>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</si>
  <si>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</si>
  <si>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</si>
  <si>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</si>
  <si>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</si>
  <si>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</si>
  <si>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</si>
  <si>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</si>
  <si>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</si>
  <si>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</si>
  <si>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</si>
  <si>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</si>
  <si>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</si>
  <si>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</si>
  <si>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</si>
  <si>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</si>
  <si>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</si>
  <si>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</si>
  <si>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</si>
  <si>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</si>
  <si>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</si>
  <si>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</si>
  <si>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</si>
  <si>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</si>
  <si>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</si>
  <si>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</si>
  <si>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</si>
  <si>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</si>
  <si>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</si>
  <si>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</si>
  <si>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</si>
  <si>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</si>
  <si>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</si>
  <si>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</si>
  <si>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</si>
  <si>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</si>
  <si>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</si>
  <si>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</si>
  <si>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</si>
  <si>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</si>
  <si>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</si>
  <si>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</si>
  <si>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</si>
  <si>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ЛМДФ 2800*2070*16 Белый 1 ст. б/к</t>
  </si>
  <si>
    <t>ЛМДФ 2800*2070*19 Белый 2 ст. б/к</t>
  </si>
  <si>
    <t>склейка ДСП 2750*1830*26 шлиф. б/к</t>
  </si>
  <si>
    <t>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</si>
</sst>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8">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s>
  <cellStyleXfs count="2">
    <xf numFmtId="0" fontId="0" fillId="0" borderId="0"/>
    <xf numFmtId="0" fontId="1" fillId="0" borderId="0"/>
  </cellStyleXfs>
  <cellXfs count="84">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0" xfId="0" applyAlignment="1">
      <alignment horizontal="center"/>
    </xf>
    <xf numFmtId="0" fontId="0" fillId="0" borderId="1" xfId="0" applyFont="1" applyBorder="1"/>
    <xf numFmtId="0" fontId="0" fillId="0" borderId="0" xfId="0"/>
    <xf numFmtId="0" fontId="0" fillId="0" borderId="0" xfId="0"/>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133350</xdr:colOff>
          <xdr:row>1</xdr:row>
          <xdr:rowOff>114300</xdr:rowOff>
        </xdr:from>
        <xdr:to>
          <xdr:col>15</xdr:col>
          <xdr:colOff>409575</xdr:colOff>
          <xdr:row>3</xdr:row>
          <xdr:rowOff>152400</xdr:rowOff>
        </xdr:to>
        <xdr:sp macro="" textlink="">
          <xdr:nvSpPr>
            <xdr:cNvPr id="46081" name="Button 1" descr="Проверка сумм" hidden="1">
              <a:extLst>
                <a:ext uri="{63B3BB69-23CF-44E3-9099-C40C66FF867C}">
                  <a14:compatExt spid="_x0000_s46081"/>
                </a:ext>
                <a:ext uri="{FF2B5EF4-FFF2-40B4-BE49-F238E27FC236}">
                  <a16:creationId xmlns:a16="http://schemas.microsoft.com/office/drawing/2014/main" id="{00000000-0008-0000-0200-00000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Вставить и рассчитать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4</xdr:row>
          <xdr:rowOff>28575</xdr:rowOff>
        </xdr:from>
        <xdr:to>
          <xdr:col>15</xdr:col>
          <xdr:colOff>409575</xdr:colOff>
          <xdr:row>6</xdr:row>
          <xdr:rowOff>19050</xdr:rowOff>
        </xdr:to>
        <xdr:sp macro="" textlink="">
          <xdr:nvSpPr>
            <xdr:cNvPr id="46082" name="Button 2" descr="Проверка сумм" hidden="1">
              <a:extLst>
                <a:ext uri="{63B3BB69-23CF-44E3-9099-C40C66FF867C}">
                  <a14:compatExt spid="_x0000_s46082"/>
                </a:ext>
                <a:ext uri="{FF2B5EF4-FFF2-40B4-BE49-F238E27FC236}">
                  <a16:creationId xmlns:a16="http://schemas.microsoft.com/office/drawing/2014/main" id="{00000000-0008-0000-02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Очистить всё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523875</xdr:colOff>
          <xdr:row>1</xdr:row>
          <xdr:rowOff>133350</xdr:rowOff>
        </xdr:from>
        <xdr:to>
          <xdr:col>18</xdr:col>
          <xdr:colOff>514350</xdr:colOff>
          <xdr:row>6</xdr:row>
          <xdr:rowOff>28575</xdr:rowOff>
        </xdr:to>
        <xdr:sp macro="" textlink="">
          <xdr:nvSpPr>
            <xdr:cNvPr id="46083" name="Button 3" descr="Проверка сумм" hidden="1">
              <a:extLst>
                <a:ext uri="{63B3BB69-23CF-44E3-9099-C40C66FF867C}">
                  <a14:compatExt spid="_x0000_s46083"/>
                </a:ext>
                <a:ext uri="{FF2B5EF4-FFF2-40B4-BE49-F238E27FC236}">
                  <a16:creationId xmlns:a16="http://schemas.microsoft.com/office/drawing/2014/main" id="{00000000-0008-0000-0200-00000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Импорт из bCAD</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00"/>
  <sheetViews>
    <sheetView topLeftCell="A37" workbookViewId="0">
      <selection activeCell="B56" sqref="B56"/>
    </sheetView>
  </sheetViews>
  <sheetFormatPr defaultRowHeight="15" x14ac:dyDescent="0.25"/>
  <cols>
    <col min="1" max="1" width="50.85546875" customWidth="1"/>
    <col min="2" max="2" width="52" customWidth="1"/>
  </cols>
  <sheetData>
    <row r="1" spans="1:29"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29"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29"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29"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29"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row>
    <row r="6" spans="1:29"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29"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29"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29"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29"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29"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29"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29"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29"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29"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90</v>
      </c>
    </row>
    <row r="54" spans="1:6" ht="18.75" x14ac:dyDescent="0.3">
      <c r="A54" s="1" t="s">
        <v>55</v>
      </c>
      <c r="B54" t="s">
        <v>92</v>
      </c>
      <c r="F54" t="s">
        <v>91</v>
      </c>
    </row>
    <row r="55" spans="1:6" x14ac:dyDescent="0.25">
      <c r="A55" s="64" t="s">
        <v>56</v>
      </c>
      <c r="B55" s="64" t="s">
        <v>57</v>
      </c>
    </row>
    <row r="56" spans="1:6" s="30" customFormat="1" x14ac:dyDescent="0.25">
      <c r="A56" s="18"/>
      <c r="B56" s="18"/>
    </row>
    <row r="57" spans="1:6" s="30" customFormat="1" x14ac:dyDescent="0.25">
      <c r="A57" s="18"/>
      <c r="B57" s="18"/>
    </row>
    <row r="58" spans="1:6" s="30" customFormat="1" x14ac:dyDescent="0.25">
      <c r="A58" s="18"/>
      <c r="B58" s="18"/>
    </row>
    <row r="59" spans="1:6" x14ac:dyDescent="0.25">
      <c r="A59" s="18"/>
      <c r="B59" s="18"/>
    </row>
    <row r="60" spans="1:6" x14ac:dyDescent="0.25">
      <c r="A60" s="18"/>
      <c r="B60" s="18"/>
    </row>
    <row r="61" spans="1:6" x14ac:dyDescent="0.25">
      <c r="A61" s="18"/>
      <c r="B61" s="18"/>
    </row>
    <row r="62" spans="1:6" x14ac:dyDescent="0.25">
      <c r="A62" s="18"/>
      <c r="B62" s="18"/>
    </row>
    <row r="63" spans="1:6" x14ac:dyDescent="0.25">
      <c r="A63" s="18"/>
      <c r="B63" s="18"/>
    </row>
    <row r="64" spans="1:6" x14ac:dyDescent="0.25">
      <c r="A64" s="18"/>
      <c r="B64" s="18"/>
    </row>
    <row r="65" spans="1:2" x14ac:dyDescent="0.25">
      <c r="A65" s="18"/>
      <c r="B65" s="18"/>
    </row>
    <row r="66" spans="1:2" x14ac:dyDescent="0.25">
      <c r="A66" s="18"/>
      <c r="B66" s="18"/>
    </row>
    <row r="67" spans="1:2" x14ac:dyDescent="0.25">
      <c r="A67" s="18"/>
      <c r="B67" s="18"/>
    </row>
    <row r="68" spans="1:2" x14ac:dyDescent="0.25">
      <c r="A68" s="18"/>
      <c r="B68" s="18"/>
    </row>
    <row r="69" spans="1:2" x14ac:dyDescent="0.25">
      <c r="A69" s="18"/>
      <c r="B69" s="18"/>
    </row>
    <row r="70" spans="1:2" x14ac:dyDescent="0.25">
      <c r="A70" s="18"/>
      <c r="B70" s="18"/>
    </row>
    <row r="71" spans="1:2" x14ac:dyDescent="0.25">
      <c r="A71" s="18"/>
      <c r="B71" s="18"/>
    </row>
    <row r="72" spans="1:2" x14ac:dyDescent="0.25">
      <c r="A72" s="18"/>
      <c r="B72" s="18"/>
    </row>
    <row r="73" spans="1:2" x14ac:dyDescent="0.25">
      <c r="A73" s="18"/>
      <c r="B73" s="18"/>
    </row>
    <row r="74" spans="1:2" x14ac:dyDescent="0.25">
      <c r="A74" s="18"/>
      <c r="B74" s="18"/>
    </row>
    <row r="75" spans="1:2" x14ac:dyDescent="0.25">
      <c r="A75" s="18"/>
      <c r="B75" s="18"/>
    </row>
    <row r="76" spans="1:2" x14ac:dyDescent="0.25">
      <c r="A76" s="18"/>
      <c r="B76" s="18"/>
    </row>
    <row r="77" spans="1:2" x14ac:dyDescent="0.25">
      <c r="A77" s="18"/>
      <c r="B77" s="18"/>
    </row>
    <row r="78" spans="1:2" x14ac:dyDescent="0.25">
      <c r="A78" s="18"/>
      <c r="B78" s="18"/>
    </row>
    <row r="79" spans="1:2" x14ac:dyDescent="0.25">
      <c r="A79" s="18"/>
      <c r="B79" s="18"/>
    </row>
    <row r="80" spans="1:2" x14ac:dyDescent="0.25">
      <c r="A80" s="18"/>
      <c r="B80" s="18"/>
    </row>
    <row r="81" spans="1:2" x14ac:dyDescent="0.25">
      <c r="A81" s="18"/>
      <c r="B81" s="18"/>
    </row>
    <row r="82" spans="1:2" x14ac:dyDescent="0.25">
      <c r="A82" s="18"/>
      <c r="B82" s="18"/>
    </row>
    <row r="83" spans="1:2" x14ac:dyDescent="0.25">
      <c r="A83" s="18"/>
      <c r="B83" s="18"/>
    </row>
    <row r="84" spans="1:2" x14ac:dyDescent="0.25">
      <c r="A84" s="18"/>
      <c r="B84" s="18"/>
    </row>
    <row r="85" spans="1:2" x14ac:dyDescent="0.25">
      <c r="A85" s="18"/>
      <c r="B85" s="18"/>
    </row>
    <row r="86" spans="1:2" x14ac:dyDescent="0.25">
      <c r="A86" s="18"/>
      <c r="B86" s="18"/>
    </row>
    <row r="87" spans="1:2" x14ac:dyDescent="0.25">
      <c r="A87" s="18"/>
      <c r="B87" s="18"/>
    </row>
    <row r="88" spans="1:2" x14ac:dyDescent="0.25">
      <c r="A88" s="18"/>
      <c r="B88" s="18"/>
    </row>
    <row r="89" spans="1:2" x14ac:dyDescent="0.25">
      <c r="A89" s="18"/>
      <c r="B89" s="18"/>
    </row>
    <row r="90" spans="1:2" x14ac:dyDescent="0.25">
      <c r="A90" s="18"/>
      <c r="B90" s="18"/>
    </row>
    <row r="91" spans="1:2" x14ac:dyDescent="0.25">
      <c r="A91" s="18"/>
      <c r="B91" s="18"/>
    </row>
    <row r="92" spans="1:2" x14ac:dyDescent="0.25">
      <c r="A92" s="18"/>
      <c r="B92" s="18"/>
    </row>
    <row r="93" spans="1:2" x14ac:dyDescent="0.25">
      <c r="A93" s="18"/>
      <c r="B93" s="18"/>
    </row>
    <row r="94" spans="1:2" x14ac:dyDescent="0.25">
      <c r="A94" s="18"/>
      <c r="B94" s="18"/>
    </row>
    <row r="95" spans="1:2" x14ac:dyDescent="0.25">
      <c r="A95" s="18"/>
      <c r="B95" s="18"/>
    </row>
    <row r="96" spans="1:2" x14ac:dyDescent="0.25">
      <c r="A96" s="18"/>
      <c r="B96" s="18"/>
    </row>
    <row r="97" spans="1:2" x14ac:dyDescent="0.25">
      <c r="A97" s="18"/>
      <c r="B97" s="18"/>
    </row>
    <row r="98" spans="1:2" x14ac:dyDescent="0.25">
      <c r="A98" s="18"/>
      <c r="B98" s="18"/>
    </row>
    <row r="99" spans="1:2" s="82" customFormat="1" x14ac:dyDescent="0.25">
      <c r="A99" s="18"/>
      <c r="B99" s="18"/>
    </row>
    <row r="100" spans="1:2" s="82" customFormat="1" x14ac:dyDescent="0.25">
      <c r="A100" s="18"/>
      <c r="B100" s="18"/>
    </row>
    <row r="101" spans="1:2" s="82" customFormat="1" x14ac:dyDescent="0.25">
      <c r="A101" s="18"/>
      <c r="B101" s="18"/>
    </row>
    <row r="102" spans="1:2" s="82" customFormat="1" x14ac:dyDescent="0.25">
      <c r="A102" s="18"/>
      <c r="B102" s="18"/>
    </row>
    <row r="103" spans="1:2" s="82" customFormat="1" x14ac:dyDescent="0.25">
      <c r="A103" s="18"/>
      <c r="B103" s="18"/>
    </row>
    <row r="104" spans="1:2" x14ac:dyDescent="0.25">
      <c r="A104" s="18"/>
      <c r="B104" s="18"/>
    </row>
    <row r="105" spans="1:2" x14ac:dyDescent="0.25">
      <c r="A105" s="18"/>
      <c r="B105" s="18"/>
    </row>
    <row r="106" spans="1:2" x14ac:dyDescent="0.25">
      <c r="A106" s="18"/>
      <c r="B106" s="18"/>
    </row>
    <row r="107" spans="1:2" x14ac:dyDescent="0.25">
      <c r="A107" s="18"/>
      <c r="B107" s="18"/>
    </row>
    <row r="108" spans="1:2" x14ac:dyDescent="0.25">
      <c r="A108" s="18"/>
      <c r="B108" s="18"/>
    </row>
    <row r="109" spans="1:2" x14ac:dyDescent="0.25">
      <c r="A109" s="18"/>
      <c r="B109" s="18"/>
    </row>
    <row r="110" spans="1:2" x14ac:dyDescent="0.25">
      <c r="A110" s="18"/>
      <c r="B110" s="18"/>
    </row>
    <row r="111" spans="1:2" x14ac:dyDescent="0.25">
      <c r="A111" s="18"/>
      <c r="B111" s="18"/>
    </row>
    <row r="112" spans="1:2" x14ac:dyDescent="0.25">
      <c r="A112" s="18"/>
      <c r="B112" s="18"/>
    </row>
    <row r="113" spans="1:2" x14ac:dyDescent="0.25">
      <c r="A113" s="18"/>
      <c r="B113" s="18"/>
    </row>
    <row r="114" spans="1:2" x14ac:dyDescent="0.25">
      <c r="A114" s="18"/>
      <c r="B114" s="18"/>
    </row>
    <row r="115" spans="1:2" x14ac:dyDescent="0.25">
      <c r="A115" s="18"/>
      <c r="B115" s="18"/>
    </row>
    <row r="116" spans="1:2" x14ac:dyDescent="0.25">
      <c r="A116" s="18"/>
      <c r="B116" s="18"/>
    </row>
    <row r="117" spans="1:2" x14ac:dyDescent="0.25">
      <c r="A117" s="18"/>
      <c r="B117" s="18"/>
    </row>
    <row r="118" spans="1:2" x14ac:dyDescent="0.25">
      <c r="A118" s="18"/>
      <c r="B118" s="18"/>
    </row>
    <row r="119" spans="1:2" x14ac:dyDescent="0.25">
      <c r="A119" s="18"/>
      <c r="B119" s="18"/>
    </row>
    <row r="120" spans="1:2" x14ac:dyDescent="0.25">
      <c r="A120" s="18"/>
      <c r="B120" s="18"/>
    </row>
    <row r="200" spans="35:35" x14ac:dyDescent="0.25">
      <c r="AI200" t="s">
        <v>59</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29"/>
  <sheetViews>
    <sheetView tabSelected="1" view="pageBreakPreview" zoomScaleNormal="100" zoomScaleSheetLayoutView="100" workbookViewId="0">
      <selection activeCell="O4" sqref="O4"/>
    </sheetView>
  </sheetViews>
  <sheetFormatPr defaultRowHeight="15" x14ac:dyDescent="0.25"/>
  <cols>
    <col min="1" max="1" width="4.5703125" style="30" customWidth="1"/>
    <col min="2" max="2" width="29.5703125" style="30" customWidth="1"/>
    <col min="3" max="4" width="4" style="38" bestFit="1" customWidth="1"/>
    <col min="5" max="5" width="9.140625" style="30" customWidth="1"/>
    <col min="6" max="6" width="8.5703125" style="30" customWidth="1"/>
    <col min="7" max="7" width="4" style="38" bestFit="1" customWidth="1"/>
    <col min="8" max="8" width="4.85546875" style="38" bestFit="1" customWidth="1"/>
    <col min="9" max="9" width="4.42578125" style="30" customWidth="1"/>
    <col min="10" max="10" width="35.5703125"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c r="C1" s="38">
        <v>1</v>
      </c>
      <c r="J1" s="19"/>
      <c r="O1" s="20" t="s">
        <v>27</v>
      </c>
      <c r="P1" s="30">
        <v>10</v>
      </c>
      <c r="Q1" s="30">
        <v>20</v>
      </c>
      <c r="S1" s="30" t="s">
        <v>51</v>
      </c>
      <c r="X1" s="30" t="s">
        <v>54</v>
      </c>
      <c r="AA1"/>
      <c r="AB1"/>
      <c r="AC1"/>
      <c r="AD1"/>
      <c r="AE1"/>
      <c r="AG1" s="30" t="s">
        <v>36</v>
      </c>
    </row>
    <row r="2" spans="1:56" ht="18.75" x14ac:dyDescent="0.3">
      <c r="A2" s="1">
        <f>A1</f>
        <v>0</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BB4" s="30" t="s">
        <v>88</v>
      </c>
      <c r="BC4" s="30">
        <v>1</v>
      </c>
      <c r="BD4" s="30">
        <v>128</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BB5" s="30" t="s">
        <v>93</v>
      </c>
      <c r="BC5" s="30">
        <v>1</v>
      </c>
      <c r="BD5" s="30">
        <v>139</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26"/>
      <c r="Y6" s="18"/>
      <c r="Z6" s="18"/>
      <c r="AA6" s="18"/>
      <c r="AB6" s="18"/>
      <c r="AC6" s="18"/>
      <c r="BB6" s="30" t="s">
        <v>89</v>
      </c>
      <c r="BC6" s="30">
        <v>1</v>
      </c>
      <c r="BD6" s="30">
        <v>117</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BB7" s="30" t="s">
        <v>94</v>
      </c>
      <c r="BC7" s="30">
        <v>1</v>
      </c>
      <c r="BD7" s="30">
        <v>75</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26"/>
      <c r="Y8" s="18"/>
      <c r="Z8" s="18"/>
      <c r="AA8" s="18"/>
      <c r="AB8" s="18"/>
      <c r="AC8" s="18"/>
      <c r="BB8" s="30" t="s">
        <v>95</v>
      </c>
      <c r="BC8" s="30">
        <v>1</v>
      </c>
      <c r="BD8" s="30">
        <v>133</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BB9" s="30" t="s">
        <v>96</v>
      </c>
      <c r="BC9" s="30">
        <v>1</v>
      </c>
      <c r="BD9" s="30">
        <v>136</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row>
    <row r="12" spans="1:56" s="82" customFormat="1"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82" t="str">
        <f t="shared" si="9"/>
        <v/>
      </c>
      <c r="O12" s="22"/>
      <c r="P12" s="18"/>
      <c r="Q12" s="18"/>
      <c r="R12" s="18"/>
      <c r="S12" s="18"/>
      <c r="T12" s="3"/>
      <c r="U12" s="3"/>
      <c r="V12" s="23"/>
      <c r="W12" s="23"/>
      <c r="X12" s="26"/>
      <c r="Y12" s="18"/>
      <c r="Z12" s="18"/>
      <c r="AA12" s="18"/>
      <c r="AB12" s="18"/>
      <c r="AC12" s="18"/>
    </row>
    <row r="13" spans="1:56" s="82" customFormat="1"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82" t="str">
        <f t="shared" si="9"/>
        <v/>
      </c>
      <c r="O13" s="22"/>
      <c r="P13" s="18"/>
      <c r="Q13" s="18"/>
      <c r="R13" s="18"/>
      <c r="S13" s="18"/>
      <c r="T13" s="3"/>
      <c r="U13" s="3"/>
      <c r="V13" s="23"/>
      <c r="W13" s="23"/>
      <c r="X13" s="26"/>
      <c r="Y13" s="18"/>
      <c r="Z13" s="18"/>
      <c r="AA13" s="18"/>
      <c r="AB13" s="18"/>
      <c r="AC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9" x14ac:dyDescent="0.25">
      <c r="A17" s="30" t="s">
        <v>32</v>
      </c>
      <c r="B17" s="13"/>
      <c r="C17" s="42"/>
      <c r="D17" s="42"/>
      <c r="E17" s="33"/>
      <c r="F17" s="33"/>
      <c r="G17" s="42"/>
      <c r="H17" s="42"/>
      <c r="I17" s="25"/>
      <c r="J17" s="37"/>
      <c r="K17" s="13"/>
      <c r="L17" s="13"/>
      <c r="M17" s="36"/>
      <c r="O17" s="24"/>
      <c r="V17" s="17"/>
      <c r="W17" s="17"/>
    </row>
    <row r="18" spans="1:29" x14ac:dyDescent="0.25">
      <c r="A18" s="13" t="s">
        <v>33</v>
      </c>
    </row>
    <row r="19" spans="1:29" x14ac:dyDescent="0.25">
      <c r="A19" s="13" t="s">
        <v>16</v>
      </c>
    </row>
    <row r="20" spans="1:29" x14ac:dyDescent="0.25">
      <c r="A20" s="13" t="s">
        <v>28</v>
      </c>
    </row>
    <row r="21" spans="1:29" x14ac:dyDescent="0.25">
      <c r="A21" s="13"/>
    </row>
    <row r="22" spans="1:29" ht="18.75" x14ac:dyDescent="0.3">
      <c r="A22" s="1" t="str">
        <f>CONCATENATE(A2, ". Соответствие кромки и ДСП")</f>
        <v>0. Соответствие кромки и ДСП</v>
      </c>
      <c r="N22" s="30" t="s">
        <v>35</v>
      </c>
    </row>
    <row r="23" spans="1:29" x14ac:dyDescent="0.25">
      <c r="A23" s="3" t="s">
        <v>6</v>
      </c>
      <c r="B23" s="4" t="s">
        <v>14</v>
      </c>
      <c r="C23" s="40"/>
      <c r="D23" s="60"/>
      <c r="E23" s="61"/>
      <c r="F23" s="5"/>
      <c r="G23" s="44"/>
      <c r="H23" s="57" t="s">
        <v>31</v>
      </c>
      <c r="I23" s="58" t="s">
        <v>30</v>
      </c>
      <c r="J23" s="3" t="s">
        <v>13</v>
      </c>
      <c r="K23" s="3" t="s">
        <v>52</v>
      </c>
      <c r="L23" s="55"/>
      <c r="M23" s="56"/>
    </row>
    <row r="24" spans="1:29" s="83" customFormat="1" x14ac:dyDescent="0.25">
      <c r="A24" s="3"/>
      <c r="B24" s="4"/>
      <c r="C24" s="46"/>
      <c r="D24" s="62"/>
      <c r="E24" s="63"/>
      <c r="F24" s="5"/>
      <c r="G24" s="43"/>
      <c r="H24" s="59"/>
      <c r="I24" s="18"/>
      <c r="J24" s="3"/>
      <c r="K24" s="3"/>
      <c r="L24" s="55"/>
      <c r="M24" s="56"/>
      <c r="T24" s="2"/>
      <c r="U24" s="2"/>
    </row>
    <row r="25" spans="1:29" s="83" customFormat="1" x14ac:dyDescent="0.25">
      <c r="A25" s="3"/>
      <c r="B25" s="4"/>
      <c r="C25" s="46"/>
      <c r="D25" s="62"/>
      <c r="E25" s="63"/>
      <c r="F25" s="5"/>
      <c r="G25" s="43"/>
      <c r="H25" s="59"/>
      <c r="I25" s="18"/>
      <c r="J25" s="81"/>
      <c r="K25" s="3"/>
      <c r="L25" s="55"/>
      <c r="M25" s="56"/>
      <c r="T25" s="2"/>
      <c r="U25" s="2"/>
    </row>
    <row r="26" spans="1:29" s="83" customFormat="1" x14ac:dyDescent="0.25">
      <c r="A26" s="3"/>
      <c r="B26" s="4"/>
      <c r="C26" s="46"/>
      <c r="D26" s="62"/>
      <c r="E26" s="63"/>
      <c r="F26" s="5"/>
      <c r="G26" s="43"/>
      <c r="H26" s="59"/>
      <c r="I26" s="18"/>
      <c r="J26" s="3"/>
      <c r="K26" s="3"/>
      <c r="L26" s="55"/>
      <c r="M26" s="56"/>
      <c r="T26" s="2"/>
      <c r="U26" s="2"/>
    </row>
    <row r="27" spans="1:29" s="83" customFormat="1" x14ac:dyDescent="0.25">
      <c r="A27" s="3"/>
      <c r="B27" s="4"/>
      <c r="C27" s="46"/>
      <c r="D27" s="62"/>
      <c r="E27" s="63"/>
      <c r="F27" s="5"/>
      <c r="G27" s="43"/>
      <c r="H27" s="59"/>
      <c r="I27" s="18"/>
      <c r="J27" s="81"/>
      <c r="K27" s="3"/>
      <c r="L27" s="55"/>
      <c r="M27" s="56"/>
      <c r="T27" s="2"/>
      <c r="U27" s="2"/>
    </row>
    <row r="28" spans="1:29" ht="18.75" x14ac:dyDescent="0.3">
      <c r="A28" s="1" t="str">
        <f>CONCATENATE(A2, ". Стекло")</f>
        <v>0. Стекло</v>
      </c>
    </row>
    <row r="29" spans="1:29" x14ac:dyDescent="0.25">
      <c r="A29" s="3" t="s">
        <v>6</v>
      </c>
      <c r="B29" s="4" t="s">
        <v>5</v>
      </c>
      <c r="C29" s="39" t="s">
        <v>9</v>
      </c>
      <c r="D29" s="40" t="s">
        <v>11</v>
      </c>
      <c r="E29" s="6" t="s">
        <v>1</v>
      </c>
      <c r="F29" s="7" t="s">
        <v>0</v>
      </c>
      <c r="G29" s="40" t="s">
        <v>10</v>
      </c>
      <c r="H29" s="44" t="s">
        <v>12</v>
      </c>
      <c r="I29" s="8" t="s">
        <v>2</v>
      </c>
      <c r="J29" s="3" t="s">
        <v>3</v>
      </c>
      <c r="K29" s="4"/>
      <c r="L29" s="4"/>
      <c r="M29" s="3" t="s">
        <v>4</v>
      </c>
    </row>
    <row r="30" spans="1:29" x14ac:dyDescent="0.25">
      <c r="A30" s="9"/>
      <c r="B30" s="32"/>
      <c r="C30" s="41"/>
      <c r="D30" s="41"/>
      <c r="E30" s="14"/>
      <c r="F30" s="14"/>
      <c r="G30" s="41"/>
      <c r="H30" s="41"/>
      <c r="I30" s="10"/>
      <c r="J30" s="11"/>
      <c r="K30" s="32"/>
      <c r="L30" s="32"/>
      <c r="M30" s="28"/>
      <c r="O30" s="22"/>
      <c r="P30" s="18"/>
      <c r="Q30" s="18"/>
      <c r="R30" s="18"/>
      <c r="S30" s="18"/>
      <c r="T30" s="3"/>
      <c r="U30" s="3"/>
      <c r="V30" s="23"/>
      <c r="W30" s="23"/>
      <c r="X30" s="18"/>
      <c r="Y30" s="18"/>
      <c r="Z30" s="18"/>
      <c r="AA30" s="18"/>
      <c r="AB30" s="18"/>
      <c r="AC30" s="18"/>
    </row>
    <row r="31" spans="1:29" x14ac:dyDescent="0.25">
      <c r="A31" s="9"/>
      <c r="B31" s="32"/>
      <c r="C31" s="41"/>
      <c r="D31" s="41"/>
      <c r="E31" s="14"/>
      <c r="F31" s="14"/>
      <c r="G31" s="41"/>
      <c r="H31" s="41"/>
      <c r="I31" s="10"/>
      <c r="J31" s="11"/>
      <c r="K31" s="32"/>
      <c r="L31" s="32"/>
      <c r="M31" s="28"/>
      <c r="O31" s="22"/>
      <c r="P31" s="18"/>
      <c r="Q31" s="18"/>
      <c r="R31" s="18"/>
      <c r="S31" s="18"/>
      <c r="T31" s="3"/>
      <c r="U31" s="3"/>
      <c r="V31" s="23"/>
      <c r="W31" s="23"/>
      <c r="X31" s="18"/>
      <c r="Y31" s="18"/>
      <c r="Z31" s="18"/>
      <c r="AA31" s="18"/>
      <c r="AB31" s="18"/>
      <c r="AC31" s="18"/>
    </row>
    <row r="32" spans="1:29" x14ac:dyDescent="0.25">
      <c r="A32" s="9"/>
      <c r="B32" s="32"/>
      <c r="C32" s="41"/>
      <c r="D32" s="41"/>
      <c r="E32" s="14"/>
      <c r="F32" s="14"/>
      <c r="G32" s="41"/>
      <c r="H32" s="41"/>
      <c r="I32" s="10"/>
      <c r="J32" s="11"/>
      <c r="K32" s="32"/>
      <c r="L32" s="32"/>
      <c r="M32" s="28"/>
      <c r="O32" s="22"/>
      <c r="P32" s="18"/>
      <c r="Q32" s="18"/>
      <c r="R32" s="18"/>
      <c r="S32" s="18"/>
      <c r="T32" s="3"/>
      <c r="U32" s="3"/>
      <c r="V32" s="23"/>
      <c r="W32" s="23"/>
      <c r="X32" s="18"/>
      <c r="Y32" s="18"/>
      <c r="Z32" s="18"/>
      <c r="AA32" s="18"/>
      <c r="AB32" s="18"/>
      <c r="AC32" s="18"/>
    </row>
    <row r="33" spans="1:29" x14ac:dyDescent="0.25">
      <c r="A33" s="9"/>
      <c r="B33" s="32"/>
      <c r="C33" s="41"/>
      <c r="D33" s="41"/>
      <c r="E33" s="14"/>
      <c r="F33" s="14"/>
      <c r="G33" s="41"/>
      <c r="H33" s="41"/>
      <c r="I33" s="10"/>
      <c r="J33" s="11"/>
      <c r="K33" s="32"/>
      <c r="L33" s="32"/>
      <c r="M33" s="28"/>
      <c r="O33" s="22"/>
      <c r="P33" s="18"/>
      <c r="Q33" s="18"/>
      <c r="R33" s="18"/>
      <c r="S33" s="18"/>
      <c r="T33" s="3"/>
      <c r="U33" s="3"/>
      <c r="V33" s="23"/>
      <c r="W33" s="23"/>
      <c r="X33" s="18"/>
      <c r="Y33" s="18"/>
      <c r="Z33" s="18"/>
      <c r="AA33" s="18"/>
      <c r="AB33" s="18"/>
      <c r="AC33" s="18"/>
    </row>
    <row r="34" spans="1:29" x14ac:dyDescent="0.25">
      <c r="A34" s="9"/>
      <c r="B34" s="32"/>
      <c r="C34" s="41"/>
      <c r="D34" s="41"/>
      <c r="E34" s="14"/>
      <c r="F34" s="14"/>
      <c r="G34" s="41"/>
      <c r="H34" s="41"/>
      <c r="I34" s="10"/>
      <c r="J34" s="11"/>
      <c r="K34" s="32"/>
      <c r="L34" s="32"/>
      <c r="M34" s="28"/>
      <c r="O34" s="22"/>
      <c r="P34" s="18"/>
      <c r="Q34" s="18"/>
      <c r="R34" s="18"/>
      <c r="S34" s="18"/>
      <c r="T34" s="3"/>
      <c r="U34" s="3"/>
      <c r="V34" s="23"/>
      <c r="W34" s="23"/>
      <c r="X34" s="18"/>
      <c r="Y34" s="18"/>
      <c r="Z34" s="18"/>
      <c r="AA34" s="18"/>
      <c r="AB34" s="18"/>
      <c r="AC34" s="18"/>
    </row>
    <row r="35" spans="1:29" x14ac:dyDescent="0.25">
      <c r="A35" s="13"/>
      <c r="B35" s="9"/>
      <c r="C35" s="41"/>
      <c r="D35" s="41"/>
      <c r="E35" s="14"/>
      <c r="F35" s="14"/>
      <c r="G35" s="41"/>
      <c r="H35" s="45" t="s">
        <v>15</v>
      </c>
      <c r="I35" s="25">
        <f>SUM(I30:I34)</f>
        <v>0</v>
      </c>
      <c r="J35" s="11"/>
      <c r="K35" s="9"/>
      <c r="L35" s="9"/>
      <c r="M35" s="12"/>
      <c r="O35" s="24"/>
      <c r="V35" s="17"/>
      <c r="W35" s="17"/>
    </row>
    <row r="36" spans="1:29" x14ac:dyDescent="0.25">
      <c r="A36" s="16" t="s">
        <v>8</v>
      </c>
      <c r="B36" s="9"/>
      <c r="C36" s="41"/>
      <c r="D36" s="41"/>
      <c r="E36" s="14"/>
      <c r="F36" s="14"/>
      <c r="G36" s="41"/>
      <c r="H36" s="41"/>
      <c r="I36" s="10"/>
      <c r="J36" s="15"/>
      <c r="K36" s="9"/>
      <c r="L36" s="9"/>
      <c r="M36" s="12"/>
    </row>
    <row r="37" spans="1:29" x14ac:dyDescent="0.25">
      <c r="A37" s="13" t="s">
        <v>40</v>
      </c>
      <c r="B37" s="9"/>
      <c r="C37" s="41"/>
      <c r="D37" s="41"/>
      <c r="E37" s="14"/>
      <c r="F37" s="14"/>
      <c r="G37" s="41"/>
      <c r="H37" s="41"/>
      <c r="I37" s="10"/>
      <c r="J37" s="15"/>
      <c r="K37" s="9"/>
      <c r="L37" s="9"/>
      <c r="M37" s="12"/>
    </row>
    <row r="39" spans="1:29" ht="18.75" x14ac:dyDescent="0.3">
      <c r="A39" s="1" t="str">
        <f>CONCATENATE(A2, ". Пластик")</f>
        <v>0. Пластик</v>
      </c>
    </row>
    <row r="40" spans="1:29" x14ac:dyDescent="0.25">
      <c r="A40" s="3" t="s">
        <v>6</v>
      </c>
      <c r="B40" s="4" t="s">
        <v>5</v>
      </c>
      <c r="C40" s="39" t="s">
        <v>9</v>
      </c>
      <c r="D40" s="40" t="s">
        <v>11</v>
      </c>
      <c r="E40" s="6" t="s">
        <v>1</v>
      </c>
      <c r="F40" s="7" t="s">
        <v>0</v>
      </c>
      <c r="G40" s="40" t="s">
        <v>10</v>
      </c>
      <c r="H40" s="44" t="s">
        <v>12</v>
      </c>
      <c r="I40" s="8" t="s">
        <v>2</v>
      </c>
      <c r="J40" s="3" t="s">
        <v>3</v>
      </c>
      <c r="K40" s="4"/>
      <c r="L40" s="4"/>
      <c r="M40" s="3" t="s">
        <v>4</v>
      </c>
    </row>
    <row r="41" spans="1:29" x14ac:dyDescent="0.25">
      <c r="A41" s="9"/>
      <c r="B41" s="32"/>
      <c r="C41" s="41"/>
      <c r="D41" s="41"/>
      <c r="E41" s="14"/>
      <c r="F41" s="14"/>
      <c r="G41" s="41"/>
      <c r="H41" s="41"/>
      <c r="I41" s="10"/>
      <c r="J41" s="11"/>
      <c r="K41" s="32"/>
      <c r="L41" s="32"/>
      <c r="M41" s="28"/>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32"/>
      <c r="L42" s="32"/>
      <c r="M42" s="28"/>
      <c r="O42" s="22"/>
      <c r="P42" s="18"/>
      <c r="Q42" s="18"/>
      <c r="R42" s="18"/>
      <c r="S42" s="18"/>
      <c r="T42" s="3"/>
      <c r="U42" s="3"/>
      <c r="V42" s="23"/>
      <c r="W42" s="23"/>
      <c r="X42" s="18"/>
      <c r="Y42" s="18"/>
      <c r="Z42" s="18"/>
      <c r="AA42" s="18"/>
      <c r="AB42" s="18"/>
      <c r="AC42" s="18"/>
    </row>
    <row r="43" spans="1:29" x14ac:dyDescent="0.25">
      <c r="A43" s="9"/>
      <c r="B43" s="32"/>
      <c r="C43" s="41"/>
      <c r="D43" s="41"/>
      <c r="E43" s="14"/>
      <c r="F43" s="14"/>
      <c r="G43" s="41"/>
      <c r="H43" s="41"/>
      <c r="I43" s="10"/>
      <c r="J43" s="11"/>
      <c r="K43" s="15"/>
      <c r="L43" s="15"/>
      <c r="M43" s="11"/>
      <c r="O43" s="22"/>
      <c r="P43" s="18"/>
      <c r="Q43" s="18"/>
      <c r="R43" s="18"/>
      <c r="S43" s="18"/>
      <c r="T43" s="3"/>
      <c r="U43" s="3"/>
      <c r="V43" s="23"/>
      <c r="W43" s="23"/>
      <c r="X43" s="18"/>
      <c r="Y43" s="18"/>
      <c r="Z43" s="18"/>
      <c r="AA43" s="18"/>
      <c r="AB43" s="18"/>
      <c r="AC43" s="18"/>
    </row>
    <row r="44" spans="1:29" x14ac:dyDescent="0.25">
      <c r="A44" s="9"/>
      <c r="B44" s="32"/>
      <c r="C44" s="41"/>
      <c r="D44" s="41"/>
      <c r="E44" s="14"/>
      <c r="F44" s="14"/>
      <c r="G44" s="41"/>
      <c r="H44" s="41"/>
      <c r="I44" s="10"/>
      <c r="J44" s="11"/>
      <c r="K44" s="15"/>
      <c r="L44" s="15"/>
      <c r="M44" s="11"/>
      <c r="O44" s="22"/>
      <c r="P44" s="18"/>
      <c r="Q44" s="18"/>
      <c r="R44" s="18"/>
      <c r="S44" s="18"/>
      <c r="T44" s="3"/>
      <c r="U44" s="3"/>
      <c r="V44" s="23"/>
      <c r="W44" s="23"/>
      <c r="X44" s="18"/>
      <c r="Y44" s="18"/>
      <c r="Z44" s="18"/>
      <c r="AA44" s="18"/>
      <c r="AB44" s="18"/>
      <c r="AC44" s="18"/>
    </row>
    <row r="45" spans="1:29" x14ac:dyDescent="0.25">
      <c r="A45" s="9"/>
      <c r="B45" s="32"/>
      <c r="C45" s="41"/>
      <c r="D45" s="41"/>
      <c r="E45" s="14"/>
      <c r="F45" s="14"/>
      <c r="G45" s="41"/>
      <c r="H45" s="41"/>
      <c r="I45" s="10"/>
      <c r="J45" s="11"/>
      <c r="K45" s="15"/>
      <c r="L45" s="15"/>
      <c r="M45" s="11"/>
      <c r="O45" s="22"/>
      <c r="P45" s="18"/>
      <c r="Q45" s="18"/>
      <c r="R45" s="18"/>
      <c r="S45" s="18"/>
      <c r="T45" s="3"/>
      <c r="U45" s="3"/>
      <c r="V45" s="23"/>
      <c r="W45" s="23"/>
      <c r="X45" s="18"/>
      <c r="Y45" s="18"/>
      <c r="Z45" s="18"/>
      <c r="AA45" s="18"/>
      <c r="AB45" s="18"/>
      <c r="AC45" s="18"/>
    </row>
    <row r="46" spans="1:29" x14ac:dyDescent="0.25">
      <c r="A46" s="9"/>
      <c r="B46" s="32"/>
      <c r="C46" s="41"/>
      <c r="D46" s="41"/>
      <c r="E46" s="14"/>
      <c r="F46" s="14"/>
      <c r="G46" s="41"/>
      <c r="H46" s="41"/>
      <c r="I46" s="10"/>
      <c r="J46" s="11"/>
      <c r="K46" s="15"/>
      <c r="L46" s="15"/>
      <c r="M46" s="11"/>
      <c r="O46" s="22"/>
      <c r="P46" s="18"/>
      <c r="Q46" s="18"/>
      <c r="R46" s="18"/>
      <c r="S46" s="18"/>
      <c r="T46" s="3"/>
      <c r="U46" s="3"/>
      <c r="V46" s="23"/>
      <c r="W46" s="23"/>
      <c r="X46" s="18"/>
      <c r="Y46" s="18"/>
      <c r="Z46" s="18"/>
      <c r="AA46" s="18"/>
      <c r="AB46" s="18"/>
      <c r="AC46" s="18"/>
    </row>
    <row r="47" spans="1:29" x14ac:dyDescent="0.25">
      <c r="A47" s="9"/>
      <c r="B47" s="32"/>
      <c r="C47" s="41"/>
      <c r="D47" s="41"/>
      <c r="E47" s="14"/>
      <c r="F47" s="14"/>
      <c r="G47" s="41"/>
      <c r="H47" s="41"/>
      <c r="I47" s="10"/>
      <c r="J47" s="11"/>
      <c r="K47" s="15"/>
      <c r="L47" s="15"/>
      <c r="M47" s="11"/>
      <c r="O47" s="22"/>
      <c r="P47" s="18"/>
      <c r="Q47" s="18"/>
      <c r="R47" s="18"/>
      <c r="S47" s="18"/>
      <c r="T47" s="3"/>
      <c r="U47" s="3"/>
      <c r="V47" s="23"/>
      <c r="W47" s="23"/>
      <c r="X47" s="18"/>
      <c r="Y47" s="18"/>
      <c r="Z47" s="18"/>
      <c r="AA47" s="18"/>
      <c r="AB47" s="18"/>
      <c r="AC47" s="18"/>
    </row>
    <row r="48" spans="1:29" x14ac:dyDescent="0.25">
      <c r="A48" s="9"/>
      <c r="B48" s="32"/>
      <c r="C48" s="41"/>
      <c r="D48" s="41"/>
      <c r="E48" s="14"/>
      <c r="F48" s="14"/>
      <c r="G48" s="41"/>
      <c r="H48" s="41"/>
      <c r="I48" s="10"/>
      <c r="J48" s="11"/>
      <c r="K48" s="15"/>
      <c r="L48" s="15"/>
      <c r="M48" s="11"/>
      <c r="O48" s="22"/>
      <c r="P48" s="18"/>
      <c r="Q48" s="18"/>
      <c r="R48" s="18"/>
      <c r="S48" s="18"/>
      <c r="T48" s="3"/>
      <c r="U48" s="3"/>
      <c r="V48" s="23"/>
      <c r="W48" s="23"/>
      <c r="X48" s="18"/>
      <c r="Y48" s="18"/>
      <c r="Z48" s="18"/>
      <c r="AA48" s="18"/>
      <c r="AB48" s="18"/>
      <c r="AC48" s="18"/>
    </row>
    <row r="49" spans="1:43" x14ac:dyDescent="0.25">
      <c r="A49" s="9"/>
      <c r="B49" s="32"/>
      <c r="C49" s="41"/>
      <c r="D49" s="41"/>
      <c r="E49" s="14"/>
      <c r="F49" s="14"/>
      <c r="G49" s="41"/>
      <c r="H49" s="41"/>
      <c r="I49" s="10"/>
      <c r="J49" s="11"/>
      <c r="K49" s="15"/>
      <c r="L49" s="15"/>
      <c r="M49" s="11"/>
      <c r="O49" s="22"/>
      <c r="P49" s="18"/>
      <c r="Q49" s="18"/>
      <c r="R49" s="18"/>
      <c r="S49" s="18"/>
      <c r="T49" s="3"/>
      <c r="U49" s="3"/>
      <c r="V49" s="23"/>
      <c r="W49" s="23"/>
      <c r="X49" s="18"/>
      <c r="Y49" s="18"/>
      <c r="Z49" s="18"/>
      <c r="AA49" s="18"/>
      <c r="AB49" s="18"/>
      <c r="AC49" s="18"/>
    </row>
    <row r="50" spans="1:43" x14ac:dyDescent="0.25">
      <c r="A50" s="9"/>
      <c r="B50" s="32"/>
      <c r="C50" s="41"/>
      <c r="D50" s="41"/>
      <c r="E50" s="14"/>
      <c r="F50" s="14"/>
      <c r="G50" s="41"/>
      <c r="H50" s="41"/>
      <c r="I50" s="10"/>
      <c r="J50" s="11"/>
      <c r="K50" s="15"/>
      <c r="L50" s="15"/>
      <c r="M50" s="11"/>
      <c r="O50" s="22"/>
      <c r="P50" s="18"/>
      <c r="Q50" s="18"/>
      <c r="R50" s="18"/>
      <c r="S50" s="18"/>
      <c r="T50" s="3"/>
      <c r="U50" s="3"/>
      <c r="V50" s="23"/>
      <c r="W50" s="23"/>
      <c r="X50" s="18"/>
      <c r="Y50" s="18"/>
      <c r="Z50" s="18"/>
      <c r="AA50" s="18"/>
      <c r="AB50" s="18"/>
      <c r="AC50" s="18"/>
    </row>
    <row r="51" spans="1:43" x14ac:dyDescent="0.25">
      <c r="A51" s="13"/>
      <c r="B51" s="9"/>
      <c r="C51" s="41"/>
      <c r="D51" s="41"/>
      <c r="E51" s="14"/>
      <c r="F51" s="14"/>
      <c r="G51" s="41"/>
      <c r="H51" s="45" t="s">
        <v>15</v>
      </c>
      <c r="I51" s="25">
        <f>SUM(I41:I50)</f>
        <v>0</v>
      </c>
      <c r="J51" s="11"/>
      <c r="K51" s="9"/>
      <c r="L51" s="9"/>
      <c r="M51" s="12"/>
    </row>
    <row r="52" spans="1:43" x14ac:dyDescent="0.25">
      <c r="A52" s="16" t="s">
        <v>8</v>
      </c>
      <c r="B52" s="9"/>
      <c r="C52" s="41"/>
      <c r="D52" s="41"/>
      <c r="E52" s="14"/>
      <c r="F52" s="14"/>
      <c r="G52" s="41"/>
      <c r="H52" s="41"/>
      <c r="I52" s="10"/>
      <c r="J52" s="15"/>
      <c r="K52" s="9"/>
      <c r="L52" s="9"/>
      <c r="M52" s="12"/>
    </row>
    <row r="53" spans="1:43" x14ac:dyDescent="0.25">
      <c r="A53" s="13" t="s">
        <v>40</v>
      </c>
      <c r="B53" s="9"/>
      <c r="C53" s="41"/>
      <c r="D53" s="41"/>
      <c r="E53" s="14"/>
      <c r="F53" s="14"/>
      <c r="G53" s="41"/>
      <c r="H53" s="41"/>
      <c r="I53" s="10"/>
      <c r="J53" s="15"/>
      <c r="K53" s="9"/>
      <c r="L53" s="9"/>
      <c r="M53" s="12"/>
    </row>
    <row r="58" spans="1:43" ht="18.75" x14ac:dyDescent="0.3">
      <c r="A58" s="1" t="s">
        <v>29</v>
      </c>
    </row>
    <row r="59" spans="1:43" x14ac:dyDescent="0.25">
      <c r="A59" s="30" t="s">
        <v>37</v>
      </c>
    </row>
    <row r="60" spans="1:43" x14ac:dyDescent="0.25">
      <c r="M60" s="30"/>
      <c r="T60" s="30"/>
      <c r="U60" s="30"/>
    </row>
    <row r="61" spans="1:43" x14ac:dyDescent="0.25">
      <c r="M61" s="30"/>
      <c r="T61" s="30"/>
      <c r="U61" s="30"/>
    </row>
    <row r="62" spans="1:43" x14ac:dyDescent="0.25">
      <c r="M62" s="30"/>
      <c r="T62" s="30"/>
      <c r="U62" s="30"/>
    </row>
    <row r="63" spans="1:43"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row>
    <row r="65" spans="1:8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1:8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row>
    <row r="67" spans="1:8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row>
    <row r="68" spans="1:8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row>
    <row r="69" spans="1:8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row>
    <row r="70" spans="1:8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1:8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row r="428" spans="1:8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row>
    <row r="429" spans="1:8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row>
  </sheetData>
  <sortState xmlns:xlrd2="http://schemas.microsoft.com/office/spreadsheetml/2017/richdata2" ref="A4:AC13">
    <sortCondition ref="Q4:Q13"/>
    <sortCondition ref="X4:X13"/>
    <sortCondition ref="P4:P13"/>
  </sortState>
  <phoneticPr fontId="10" type="noConversion"/>
  <conditionalFormatting sqref="C50">
    <cfRule type="expression" dxfId="199" priority="24926" stopIfTrue="1">
      <formula>AND(NOT(ISBLANK(C50)),NOT(_xlfn.ISFORMULA(C50)))</formula>
    </cfRule>
  </conditionalFormatting>
  <conditionalFormatting sqref="D50">
    <cfRule type="expression" dxfId="198" priority="24925" stopIfTrue="1">
      <formula>AND(NOT(ISBLANK(D50)),NOT(_xlfn.ISFORMULA(D50)))</formula>
    </cfRule>
  </conditionalFormatting>
  <conditionalFormatting sqref="G50">
    <cfRule type="expression" dxfId="197" priority="24924" stopIfTrue="1">
      <formula>AND(NOT(ISBLANK(G50)),NOT(_xlfn.ISFORMULA(G50)))</formula>
    </cfRule>
  </conditionalFormatting>
  <conditionalFormatting sqref="H50">
    <cfRule type="expression" dxfId="196" priority="24923" stopIfTrue="1">
      <formula>AND(NOT(ISBLANK(H50)),NOT(_xlfn.ISFORMULA(H50)))</formula>
    </cfRule>
  </conditionalFormatting>
  <conditionalFormatting sqref="D41">
    <cfRule type="expression" dxfId="195" priority="25041" stopIfTrue="1">
      <formula>AND(NOT(ISBLANK(D41)),NOT(_xlfn.ISFORMULA(D41)))</formula>
    </cfRule>
  </conditionalFormatting>
  <conditionalFormatting sqref="G41">
    <cfRule type="expression" dxfId="194" priority="25040" stopIfTrue="1">
      <formula>AND(NOT(ISBLANK(G41)),NOT(_xlfn.ISFORMULA(G41)))</formula>
    </cfRule>
  </conditionalFormatting>
  <conditionalFormatting sqref="H41">
    <cfRule type="expression" dxfId="193" priority="25039" stopIfTrue="1">
      <formula>AND(NOT(ISBLANK(H41)),NOT(_xlfn.ISFORMULA(H41)))</formula>
    </cfRule>
  </conditionalFormatting>
  <conditionalFormatting sqref="E30">
    <cfRule type="expression" dxfId="192" priority="25037">
      <formula>AND(AND(NOT(ISBLANK(D30)),NOT(D30=$O$1)),AND(NOT(ISBLANK(C30)),NOT(C30=$O$1)))</formula>
    </cfRule>
    <cfRule type="expression" dxfId="191" priority="25038">
      <formula>OR(AND(NOT(ISBLANK(D30)),NOT(D30=$O$1)),AND(NOT(ISBLANK(C30)),NOT(C30=$O$1)))</formula>
    </cfRule>
  </conditionalFormatting>
  <conditionalFormatting sqref="F30">
    <cfRule type="expression" dxfId="190" priority="25035">
      <formula>AND(AND(NOT(ISBLANK(G30)),NOT(G30=$O$1)),AND(NOT(ISBLANK(H30)),NOT(H30=$O$1)))</formula>
    </cfRule>
    <cfRule type="expression" dxfId="189" priority="25036">
      <formula>OR(AND(NOT(ISBLANK(G30)),NOT(G30=$O$1)),AND(NOT(ISBLANK(H30)),NOT(H30=$O$1)))</formula>
    </cfRule>
  </conditionalFormatting>
  <conditionalFormatting sqref="C30">
    <cfRule type="expression" dxfId="188" priority="25034" stopIfTrue="1">
      <formula>AND(NOT(ISBLANK(C30)),NOT(_xlfn.ISFORMULA(C30)))</formula>
    </cfRule>
  </conditionalFormatting>
  <conditionalFormatting sqref="D30">
    <cfRule type="expression" dxfId="187" priority="25033" stopIfTrue="1">
      <formula>AND(NOT(ISBLANK(D30)),NOT(_xlfn.ISFORMULA(D30)))</formula>
    </cfRule>
  </conditionalFormatting>
  <conditionalFormatting sqref="G30">
    <cfRule type="expression" dxfId="186" priority="25032" stopIfTrue="1">
      <formula>AND(NOT(ISBLANK(G30)),NOT(_xlfn.ISFORMULA(G30)))</formula>
    </cfRule>
  </conditionalFormatting>
  <conditionalFormatting sqref="H30">
    <cfRule type="expression" dxfId="185" priority="25031" stopIfTrue="1">
      <formula>AND(NOT(ISBLANK(H30)),NOT(_xlfn.ISFORMULA(H30)))</formula>
    </cfRule>
  </conditionalFormatting>
  <conditionalFormatting sqref="E41">
    <cfRule type="expression" dxfId="184" priority="25045">
      <formula>AND(AND(NOT(ISBLANK(D41)),NOT(D41=$O$1)),AND(NOT(ISBLANK(C41)),NOT(C41=$O$1)))</formula>
    </cfRule>
    <cfRule type="expression" dxfId="183" priority="25046">
      <formula>OR(AND(NOT(ISBLANK(D41)),NOT(D41=$O$1)),AND(NOT(ISBLANK(C41)),NOT(C41=$O$1)))</formula>
    </cfRule>
  </conditionalFormatting>
  <conditionalFormatting sqref="F41">
    <cfRule type="expression" dxfId="182" priority="25043">
      <formula>AND(AND(NOT(ISBLANK(G41)),NOT(G41=$O$1)),AND(NOT(ISBLANK(H41)),NOT(H41=$O$1)))</formula>
    </cfRule>
    <cfRule type="expression" dxfId="181" priority="25044">
      <formula>OR(AND(NOT(ISBLANK(G41)),NOT(G41=$O$1)),AND(NOT(ISBLANK(H41)),NOT(H41=$O$1)))</formula>
    </cfRule>
  </conditionalFormatting>
  <conditionalFormatting sqref="C41">
    <cfRule type="expression" dxfId="180" priority="25042" stopIfTrue="1">
      <formula>AND(NOT(ISBLANK(C41)),NOT(_xlfn.ISFORMULA(C41)))</formula>
    </cfRule>
  </conditionalFormatting>
  <conditionalFormatting sqref="E42">
    <cfRule type="expression" dxfId="179" priority="25029">
      <formula>AND(AND(NOT(ISBLANK(D42)),NOT(D42=$O$1)),AND(NOT(ISBLANK(C42)),NOT(C42=$O$1)))</formula>
    </cfRule>
    <cfRule type="expression" dxfId="178" priority="25030">
      <formula>OR(AND(NOT(ISBLANK(D42)),NOT(D42=$O$1)),AND(NOT(ISBLANK(C42)),NOT(C42=$O$1)))</formula>
    </cfRule>
  </conditionalFormatting>
  <conditionalFormatting sqref="F42">
    <cfRule type="expression" dxfId="177" priority="25027">
      <formula>AND(AND(NOT(ISBLANK(G42)),NOT(G42=$O$1)),AND(NOT(ISBLANK(H42)),NOT(H42=$O$1)))</formula>
    </cfRule>
    <cfRule type="expression" dxfId="176" priority="25028">
      <formula>OR(AND(NOT(ISBLANK(G42)),NOT(G42=$O$1)),AND(NOT(ISBLANK(H42)),NOT(H42=$O$1)))</formula>
    </cfRule>
  </conditionalFormatting>
  <conditionalFormatting sqref="C42">
    <cfRule type="expression" dxfId="175" priority="25026" stopIfTrue="1">
      <formula>AND(NOT(ISBLANK(C42)),NOT(_xlfn.ISFORMULA(C42)))</formula>
    </cfRule>
  </conditionalFormatting>
  <conditionalFormatting sqref="D42">
    <cfRule type="expression" dxfId="174" priority="25025" stopIfTrue="1">
      <formula>AND(NOT(ISBLANK(D42)),NOT(_xlfn.ISFORMULA(D42)))</formula>
    </cfRule>
  </conditionalFormatting>
  <conditionalFormatting sqref="G42">
    <cfRule type="expression" dxfId="173" priority="25024" stopIfTrue="1">
      <formula>AND(NOT(ISBLANK(G42)),NOT(_xlfn.ISFORMULA(G42)))</formula>
    </cfRule>
  </conditionalFormatting>
  <conditionalFormatting sqref="H42">
    <cfRule type="expression" dxfId="172" priority="25023" stopIfTrue="1">
      <formula>AND(NOT(ISBLANK(H42)),NOT(_xlfn.ISFORMULA(H42)))</formula>
    </cfRule>
  </conditionalFormatting>
  <conditionalFormatting sqref="C43">
    <cfRule type="expression" dxfId="171" priority="25018" stopIfTrue="1">
      <formula>AND(NOT(ISBLANK(C43)),NOT(_xlfn.ISFORMULA(C43)))</formula>
    </cfRule>
  </conditionalFormatting>
  <conditionalFormatting sqref="D43">
    <cfRule type="expression" dxfId="170" priority="25017" stopIfTrue="1">
      <formula>AND(NOT(ISBLANK(D43)),NOT(_xlfn.ISFORMULA(D43)))</formula>
    </cfRule>
  </conditionalFormatting>
  <conditionalFormatting sqref="G43">
    <cfRule type="expression" dxfId="169" priority="25016" stopIfTrue="1">
      <formula>AND(NOT(ISBLANK(G43)),NOT(_xlfn.ISFORMULA(G43)))</formula>
    </cfRule>
  </conditionalFormatting>
  <conditionalFormatting sqref="E43">
    <cfRule type="expression" dxfId="168" priority="25021">
      <formula>AND(AND(NOT(ISBLANK(D43)),NOT(D43=$O$1)),AND(NOT(ISBLANK(C43)),NOT(C43=$O$1)))</formula>
    </cfRule>
    <cfRule type="expression" dxfId="167" priority="25022">
      <formula>OR(AND(NOT(ISBLANK(D43)),NOT(D43=$O$1)),AND(NOT(ISBLANK(C43)),NOT(C43=$O$1)))</formula>
    </cfRule>
  </conditionalFormatting>
  <conditionalFormatting sqref="F43">
    <cfRule type="expression" dxfId="166" priority="25019">
      <formula>AND(AND(NOT(ISBLANK(G43)),NOT(G43=$O$1)),AND(NOT(ISBLANK(H43)),NOT(H43=$O$1)))</formula>
    </cfRule>
    <cfRule type="expression" dxfId="165" priority="25020">
      <formula>OR(AND(NOT(ISBLANK(G43)),NOT(G43=$O$1)),AND(NOT(ISBLANK(H43)),NOT(H43=$O$1)))</formula>
    </cfRule>
  </conditionalFormatting>
  <conditionalFormatting sqref="C31">
    <cfRule type="expression" dxfId="164" priority="25010" stopIfTrue="1">
      <formula>AND(NOT(ISBLANK(C31)),NOT(_xlfn.ISFORMULA(C31)))</formula>
    </cfRule>
  </conditionalFormatting>
  <conditionalFormatting sqref="D31">
    <cfRule type="expression" dxfId="163" priority="25009" stopIfTrue="1">
      <formula>AND(NOT(ISBLANK(D31)),NOT(_xlfn.ISFORMULA(D31)))</formula>
    </cfRule>
  </conditionalFormatting>
  <conditionalFormatting sqref="G31">
    <cfRule type="expression" dxfId="162" priority="25008" stopIfTrue="1">
      <formula>AND(NOT(ISBLANK(G31)),NOT(_xlfn.ISFORMULA(G31)))</formula>
    </cfRule>
  </conditionalFormatting>
  <conditionalFormatting sqref="H43">
    <cfRule type="expression" dxfId="161" priority="25015" stopIfTrue="1">
      <formula>AND(NOT(ISBLANK(H43)),NOT(_xlfn.ISFORMULA(H43)))</formula>
    </cfRule>
  </conditionalFormatting>
  <conditionalFormatting sqref="E31">
    <cfRule type="expression" dxfId="160" priority="25013">
      <formula>AND(AND(NOT(ISBLANK(D31)),NOT(D31=$O$1)),AND(NOT(ISBLANK(C31)),NOT(C31=$O$1)))</formula>
    </cfRule>
    <cfRule type="expression" dxfId="159" priority="25014">
      <formula>OR(AND(NOT(ISBLANK(D31)),NOT(D31=$O$1)),AND(NOT(ISBLANK(C31)),NOT(C31=$O$1)))</formula>
    </cfRule>
  </conditionalFormatting>
  <conditionalFormatting sqref="F31">
    <cfRule type="expression" dxfId="158" priority="25011">
      <formula>AND(AND(NOT(ISBLANK(G31)),NOT(G31=$O$1)),AND(NOT(ISBLANK(H31)),NOT(H31=$O$1)))</formula>
    </cfRule>
    <cfRule type="expression" dxfId="157" priority="25012">
      <formula>OR(AND(NOT(ISBLANK(G31)),NOT(G31=$O$1)),AND(NOT(ISBLANK(H31)),NOT(H31=$O$1)))</formula>
    </cfRule>
  </conditionalFormatting>
  <conditionalFormatting sqref="C44">
    <cfRule type="expression" dxfId="156" priority="25002" stopIfTrue="1">
      <formula>AND(NOT(ISBLANK(C44)),NOT(_xlfn.ISFORMULA(C44)))</formula>
    </cfRule>
  </conditionalFormatting>
  <conditionalFormatting sqref="D44">
    <cfRule type="expression" dxfId="155" priority="25001" stopIfTrue="1">
      <formula>AND(NOT(ISBLANK(D44)),NOT(_xlfn.ISFORMULA(D44)))</formula>
    </cfRule>
  </conditionalFormatting>
  <conditionalFormatting sqref="G44">
    <cfRule type="expression" dxfId="154" priority="25000" stopIfTrue="1">
      <formula>AND(NOT(ISBLANK(G44)),NOT(_xlfn.ISFORMULA(G44)))</formula>
    </cfRule>
  </conditionalFormatting>
  <conditionalFormatting sqref="H31">
    <cfRule type="expression" dxfId="153" priority="25007" stopIfTrue="1">
      <formula>AND(NOT(ISBLANK(H31)),NOT(_xlfn.ISFORMULA(H31)))</formula>
    </cfRule>
  </conditionalFormatting>
  <conditionalFormatting sqref="E44">
    <cfRule type="expression" dxfId="152" priority="25005">
      <formula>AND(AND(NOT(ISBLANK(D44)),NOT(D44=$O$1)),AND(NOT(ISBLANK(C44)),NOT(C44=$O$1)))</formula>
    </cfRule>
    <cfRule type="expression" dxfId="151" priority="25006">
      <formula>OR(AND(NOT(ISBLANK(D44)),NOT(D44=$O$1)),AND(NOT(ISBLANK(C44)),NOT(C44=$O$1)))</formula>
    </cfRule>
  </conditionalFormatting>
  <conditionalFormatting sqref="F44">
    <cfRule type="expression" dxfId="150" priority="25003">
      <formula>AND(AND(NOT(ISBLANK(G44)),NOT(G44=$O$1)),AND(NOT(ISBLANK(H44)),NOT(H44=$O$1)))</formula>
    </cfRule>
    <cfRule type="expression" dxfId="149" priority="25004">
      <formula>OR(AND(NOT(ISBLANK(G44)),NOT(G44=$O$1)),AND(NOT(ISBLANK(H44)),NOT(H44=$O$1)))</formula>
    </cfRule>
  </conditionalFormatting>
  <conditionalFormatting sqref="H44">
    <cfRule type="expression" dxfId="148" priority="24999" stopIfTrue="1">
      <formula>AND(NOT(ISBLANK(H44)),NOT(_xlfn.ISFORMULA(H44)))</formula>
    </cfRule>
  </conditionalFormatting>
  <conditionalFormatting sqref="H45">
    <cfRule type="expression" dxfId="147" priority="24991" stopIfTrue="1">
      <formula>AND(NOT(ISBLANK(H45)),NOT(_xlfn.ISFORMULA(H45)))</formula>
    </cfRule>
  </conditionalFormatting>
  <conditionalFormatting sqref="E45">
    <cfRule type="expression" dxfId="146" priority="24997">
      <formula>AND(AND(NOT(ISBLANK(D45)),NOT(D45=$O$1)),AND(NOT(ISBLANK(C45)),NOT(C45=$O$1)))</formula>
    </cfRule>
    <cfRule type="expression" dxfId="145" priority="24998">
      <formula>OR(AND(NOT(ISBLANK(D45)),NOT(D45=$O$1)),AND(NOT(ISBLANK(C45)),NOT(C45=$O$1)))</formula>
    </cfRule>
  </conditionalFormatting>
  <conditionalFormatting sqref="F45">
    <cfRule type="expression" dxfId="144" priority="24995">
      <formula>AND(AND(NOT(ISBLANK(G45)),NOT(G45=$O$1)),AND(NOT(ISBLANK(H45)),NOT(H45=$O$1)))</formula>
    </cfRule>
    <cfRule type="expression" dxfId="143" priority="24996">
      <formula>OR(AND(NOT(ISBLANK(G45)),NOT(G45=$O$1)),AND(NOT(ISBLANK(H45)),NOT(H45=$O$1)))</formula>
    </cfRule>
  </conditionalFormatting>
  <conditionalFormatting sqref="C45">
    <cfRule type="expression" dxfId="142" priority="24994" stopIfTrue="1">
      <formula>AND(NOT(ISBLANK(C45)),NOT(_xlfn.ISFORMULA(C45)))</formula>
    </cfRule>
  </conditionalFormatting>
  <conditionalFormatting sqref="D45">
    <cfRule type="expression" dxfId="141" priority="24993" stopIfTrue="1">
      <formula>AND(NOT(ISBLANK(D45)),NOT(_xlfn.ISFORMULA(D45)))</formula>
    </cfRule>
  </conditionalFormatting>
  <conditionalFormatting sqref="G45">
    <cfRule type="expression" dxfId="140" priority="24992" stopIfTrue="1">
      <formula>AND(NOT(ISBLANK(G45)),NOT(_xlfn.ISFORMULA(G45)))</formula>
    </cfRule>
  </conditionalFormatting>
  <conditionalFormatting sqref="E32">
    <cfRule type="expression" dxfId="139" priority="24989">
      <formula>AND(AND(NOT(ISBLANK(D32)),NOT(D32=$O$1)),AND(NOT(ISBLANK(C32)),NOT(C32=$O$1)))</formula>
    </cfRule>
    <cfRule type="expression" dxfId="138" priority="24990">
      <formula>OR(AND(NOT(ISBLANK(D32)),NOT(D32=$O$1)),AND(NOT(ISBLANK(C32)),NOT(C32=$O$1)))</formula>
    </cfRule>
  </conditionalFormatting>
  <conditionalFormatting sqref="F32">
    <cfRule type="expression" dxfId="137" priority="24987">
      <formula>AND(AND(NOT(ISBLANK(G32)),NOT(G32=$O$1)),AND(NOT(ISBLANK(H32)),NOT(H32=$O$1)))</formula>
    </cfRule>
    <cfRule type="expression" dxfId="136" priority="24988">
      <formula>OR(AND(NOT(ISBLANK(G32)),NOT(G32=$O$1)),AND(NOT(ISBLANK(H32)),NOT(H32=$O$1)))</formula>
    </cfRule>
  </conditionalFormatting>
  <conditionalFormatting sqref="C32">
    <cfRule type="expression" dxfId="135" priority="24986" stopIfTrue="1">
      <formula>AND(NOT(ISBLANK(C32)),NOT(_xlfn.ISFORMULA(C32)))</formula>
    </cfRule>
  </conditionalFormatting>
  <conditionalFormatting sqref="D32">
    <cfRule type="expression" dxfId="134" priority="24985" stopIfTrue="1">
      <formula>AND(NOT(ISBLANK(D32)),NOT(_xlfn.ISFORMULA(D32)))</formula>
    </cfRule>
  </conditionalFormatting>
  <conditionalFormatting sqref="G32">
    <cfRule type="expression" dxfId="133" priority="24984" stopIfTrue="1">
      <formula>AND(NOT(ISBLANK(G32)),NOT(_xlfn.ISFORMULA(G32)))</formula>
    </cfRule>
  </conditionalFormatting>
  <conditionalFormatting sqref="H32">
    <cfRule type="expression" dxfId="132" priority="24983" stopIfTrue="1">
      <formula>AND(NOT(ISBLANK(H32)),NOT(_xlfn.ISFORMULA(H32)))</formula>
    </cfRule>
  </conditionalFormatting>
  <conditionalFormatting sqref="E46">
    <cfRule type="expression" dxfId="131" priority="24981">
      <formula>AND(AND(NOT(ISBLANK(D46)),NOT(D46=$O$1)),AND(NOT(ISBLANK(C46)),NOT(C46=$O$1)))</formula>
    </cfRule>
    <cfRule type="expression" dxfId="130" priority="24982">
      <formula>OR(AND(NOT(ISBLANK(D46)),NOT(D46=$O$1)),AND(NOT(ISBLANK(C46)),NOT(C46=$O$1)))</formula>
    </cfRule>
  </conditionalFormatting>
  <conditionalFormatting sqref="F46">
    <cfRule type="expression" dxfId="129" priority="24979">
      <formula>AND(AND(NOT(ISBLANK(G46)),NOT(G46=$O$1)),AND(NOT(ISBLANK(H46)),NOT(H46=$O$1)))</formula>
    </cfRule>
    <cfRule type="expression" dxfId="128" priority="24980">
      <formula>OR(AND(NOT(ISBLANK(G46)),NOT(G46=$O$1)),AND(NOT(ISBLANK(H46)),NOT(H46=$O$1)))</formula>
    </cfRule>
  </conditionalFormatting>
  <conditionalFormatting sqref="C46">
    <cfRule type="expression" dxfId="127" priority="24978" stopIfTrue="1">
      <formula>AND(NOT(ISBLANK(C46)),NOT(_xlfn.ISFORMULA(C46)))</formula>
    </cfRule>
  </conditionalFormatting>
  <conditionalFormatting sqref="D46">
    <cfRule type="expression" dxfId="126" priority="24977" stopIfTrue="1">
      <formula>AND(NOT(ISBLANK(D46)),NOT(_xlfn.ISFORMULA(D46)))</formula>
    </cfRule>
  </conditionalFormatting>
  <conditionalFormatting sqref="G46">
    <cfRule type="expression" dxfId="125" priority="24976" stopIfTrue="1">
      <formula>AND(NOT(ISBLANK(G46)),NOT(_xlfn.ISFORMULA(G46)))</formula>
    </cfRule>
  </conditionalFormatting>
  <conditionalFormatting sqref="H46">
    <cfRule type="expression" dxfId="124" priority="24975" stopIfTrue="1">
      <formula>AND(NOT(ISBLANK(H46)),NOT(_xlfn.ISFORMULA(H46)))</formula>
    </cfRule>
  </conditionalFormatting>
  <conditionalFormatting sqref="H47">
    <cfRule type="expression" dxfId="123" priority="24963" stopIfTrue="1">
      <formula>AND(NOT(ISBLANK(H47)),NOT(_xlfn.ISFORMULA(H47)))</formula>
    </cfRule>
  </conditionalFormatting>
  <conditionalFormatting sqref="E47">
    <cfRule type="expression" dxfId="122" priority="24969">
      <formula>AND(AND(NOT(ISBLANK(D47)),NOT(D47=$O$1)),AND(NOT(ISBLANK(C47)),NOT(C47=$O$1)))</formula>
    </cfRule>
    <cfRule type="expression" dxfId="121" priority="24970">
      <formula>OR(AND(NOT(ISBLANK(D47)),NOT(D47=$O$1)),AND(NOT(ISBLANK(C47)),NOT(C47=$O$1)))</formula>
    </cfRule>
  </conditionalFormatting>
  <conditionalFormatting sqref="F47">
    <cfRule type="expression" dxfId="120" priority="24967">
      <formula>AND(AND(NOT(ISBLANK(G47)),NOT(G47=$O$1)),AND(NOT(ISBLANK(H47)),NOT(H47=$O$1)))</formula>
    </cfRule>
    <cfRule type="expression" dxfId="119" priority="24968">
      <formula>OR(AND(NOT(ISBLANK(G47)),NOT(G47=$O$1)),AND(NOT(ISBLANK(H47)),NOT(H47=$O$1)))</formula>
    </cfRule>
  </conditionalFormatting>
  <conditionalFormatting sqref="C47">
    <cfRule type="expression" dxfId="118" priority="24966" stopIfTrue="1">
      <formula>AND(NOT(ISBLANK(C47)),NOT(_xlfn.ISFORMULA(C47)))</formula>
    </cfRule>
  </conditionalFormatting>
  <conditionalFormatting sqref="D47">
    <cfRule type="expression" dxfId="117" priority="24965" stopIfTrue="1">
      <formula>AND(NOT(ISBLANK(D47)),NOT(_xlfn.ISFORMULA(D47)))</formula>
    </cfRule>
  </conditionalFormatting>
  <conditionalFormatting sqref="G47">
    <cfRule type="expression" dxfId="116" priority="24964" stopIfTrue="1">
      <formula>AND(NOT(ISBLANK(G47)),NOT(_xlfn.ISFORMULA(G47)))</formula>
    </cfRule>
  </conditionalFormatting>
  <conditionalFormatting sqref="E33">
    <cfRule type="expression" dxfId="115" priority="24961">
      <formula>AND(AND(NOT(ISBLANK(D33)),NOT(D33=$O$1)),AND(NOT(ISBLANK(C33)),NOT(C33=$O$1)))</formula>
    </cfRule>
    <cfRule type="expression" dxfId="114" priority="24962">
      <formula>OR(AND(NOT(ISBLANK(D33)),NOT(D33=$O$1)),AND(NOT(ISBLANK(C33)),NOT(C33=$O$1)))</formula>
    </cfRule>
  </conditionalFormatting>
  <conditionalFormatting sqref="F33">
    <cfRule type="expression" dxfId="113" priority="24959">
      <formula>AND(AND(NOT(ISBLANK(G33)),NOT(G33=$O$1)),AND(NOT(ISBLANK(H33)),NOT(H33=$O$1)))</formula>
    </cfRule>
    <cfRule type="expression" dxfId="112" priority="24960">
      <formula>OR(AND(NOT(ISBLANK(G33)),NOT(G33=$O$1)),AND(NOT(ISBLANK(H33)),NOT(H33=$O$1)))</formula>
    </cfRule>
  </conditionalFormatting>
  <conditionalFormatting sqref="C33">
    <cfRule type="expression" dxfId="111" priority="24958" stopIfTrue="1">
      <formula>AND(NOT(ISBLANK(C33)),NOT(_xlfn.ISFORMULA(C33)))</formula>
    </cfRule>
  </conditionalFormatting>
  <conditionalFormatting sqref="D33">
    <cfRule type="expression" dxfId="110" priority="24957" stopIfTrue="1">
      <formula>AND(NOT(ISBLANK(D33)),NOT(_xlfn.ISFORMULA(D33)))</formula>
    </cfRule>
  </conditionalFormatting>
  <conditionalFormatting sqref="G33">
    <cfRule type="expression" dxfId="109" priority="24956" stopIfTrue="1">
      <formula>AND(NOT(ISBLANK(G33)),NOT(_xlfn.ISFORMULA(G33)))</formula>
    </cfRule>
  </conditionalFormatting>
  <conditionalFormatting sqref="H33">
    <cfRule type="expression" dxfId="108" priority="24955" stopIfTrue="1">
      <formula>AND(NOT(ISBLANK(H33)),NOT(_xlfn.ISFORMULA(H33)))</formula>
    </cfRule>
  </conditionalFormatting>
  <conditionalFormatting sqref="E48">
    <cfRule type="expression" dxfId="107" priority="24953">
      <formula>AND(AND(NOT(ISBLANK(D48)),NOT(D48=$O$1)),AND(NOT(ISBLANK(C48)),NOT(C48=$O$1)))</formula>
    </cfRule>
    <cfRule type="expression" dxfId="106" priority="24954">
      <formula>OR(AND(NOT(ISBLANK(D48)),NOT(D48=$O$1)),AND(NOT(ISBLANK(C48)),NOT(C48=$O$1)))</formula>
    </cfRule>
  </conditionalFormatting>
  <conditionalFormatting sqref="F48">
    <cfRule type="expression" dxfId="105" priority="24951">
      <formula>AND(AND(NOT(ISBLANK(G48)),NOT(G48=$O$1)),AND(NOT(ISBLANK(H48)),NOT(H48=$O$1)))</formula>
    </cfRule>
    <cfRule type="expression" dxfId="104" priority="24952">
      <formula>OR(AND(NOT(ISBLANK(G48)),NOT(G48=$O$1)),AND(NOT(ISBLANK(H48)),NOT(H48=$O$1)))</formula>
    </cfRule>
  </conditionalFormatting>
  <conditionalFormatting sqref="C48">
    <cfRule type="expression" dxfId="103" priority="24950" stopIfTrue="1">
      <formula>AND(NOT(ISBLANK(C48)),NOT(_xlfn.ISFORMULA(C48)))</formula>
    </cfRule>
  </conditionalFormatting>
  <conditionalFormatting sqref="D48">
    <cfRule type="expression" dxfId="102" priority="24949" stopIfTrue="1">
      <formula>AND(NOT(ISBLANK(D48)),NOT(_xlfn.ISFORMULA(D48)))</formula>
    </cfRule>
  </conditionalFormatting>
  <conditionalFormatting sqref="G48">
    <cfRule type="expression" dxfId="101" priority="24948" stopIfTrue="1">
      <formula>AND(NOT(ISBLANK(G48)),NOT(_xlfn.ISFORMULA(G48)))</formula>
    </cfRule>
  </conditionalFormatting>
  <conditionalFormatting sqref="H48">
    <cfRule type="expression" dxfId="100" priority="24947" stopIfTrue="1">
      <formula>AND(NOT(ISBLANK(H48)),NOT(_xlfn.ISFORMULA(H48)))</formula>
    </cfRule>
  </conditionalFormatting>
  <conditionalFormatting sqref="E49">
    <cfRule type="expression" dxfId="99" priority="24945">
      <formula>AND(AND(NOT(ISBLANK(D49)),NOT(D49=$O$1)),AND(NOT(ISBLANK(C49)),NOT(C49=$O$1)))</formula>
    </cfRule>
    <cfRule type="expression" dxfId="98" priority="24946">
      <formula>OR(AND(NOT(ISBLANK(D49)),NOT(D49=$O$1)),AND(NOT(ISBLANK(C49)),NOT(C49=$O$1)))</formula>
    </cfRule>
  </conditionalFormatting>
  <conditionalFormatting sqref="F49">
    <cfRule type="expression" dxfId="97" priority="24943">
      <formula>AND(AND(NOT(ISBLANK(G49)),NOT(G49=$O$1)),AND(NOT(ISBLANK(H49)),NOT(H49=$O$1)))</formula>
    </cfRule>
    <cfRule type="expression" dxfId="96" priority="24944">
      <formula>OR(AND(NOT(ISBLANK(G49)),NOT(G49=$O$1)),AND(NOT(ISBLANK(H49)),NOT(H49=$O$1)))</formula>
    </cfRule>
  </conditionalFormatting>
  <conditionalFormatting sqref="E34">
    <cfRule type="expression" dxfId="95" priority="24937">
      <formula>AND(AND(NOT(ISBLANK(D34)),NOT(D34=$O$1)),AND(NOT(ISBLANK(C34)),NOT(C34=$O$1)))</formula>
    </cfRule>
    <cfRule type="expression" dxfId="94" priority="24938">
      <formula>OR(AND(NOT(ISBLANK(D34)),NOT(D34=$O$1)),AND(NOT(ISBLANK(C34)),NOT(C34=$O$1)))</formula>
    </cfRule>
  </conditionalFormatting>
  <conditionalFormatting sqref="F34">
    <cfRule type="expression" dxfId="93" priority="24935">
      <formula>AND(AND(NOT(ISBLANK(G34)),NOT(G34=$O$1)),AND(NOT(ISBLANK(H34)),NOT(H34=$O$1)))</formula>
    </cfRule>
    <cfRule type="expression" dxfId="92" priority="24936">
      <formula>OR(AND(NOT(ISBLANK(G34)),NOT(G34=$O$1)),AND(NOT(ISBLANK(H34)),NOT(H34=$O$1)))</formula>
    </cfRule>
  </conditionalFormatting>
  <conditionalFormatting sqref="C49">
    <cfRule type="expression" dxfId="91" priority="24942" stopIfTrue="1">
      <formula>AND(NOT(ISBLANK(C49)),NOT(_xlfn.ISFORMULA(C49)))</formula>
    </cfRule>
  </conditionalFormatting>
  <conditionalFormatting sqref="D49">
    <cfRule type="expression" dxfId="90" priority="24941" stopIfTrue="1">
      <formula>AND(NOT(ISBLANK(D49)),NOT(_xlfn.ISFORMULA(D49)))</formula>
    </cfRule>
  </conditionalFormatting>
  <conditionalFormatting sqref="G49">
    <cfRule type="expression" dxfId="89" priority="24940" stopIfTrue="1">
      <formula>AND(NOT(ISBLANK(G49)),NOT(_xlfn.ISFORMULA(G49)))</formula>
    </cfRule>
  </conditionalFormatting>
  <conditionalFormatting sqref="H49">
    <cfRule type="expression" dxfId="88" priority="24939" stopIfTrue="1">
      <formula>AND(NOT(ISBLANK(H49)),NOT(_xlfn.ISFORMULA(H49)))</formula>
    </cfRule>
  </conditionalFormatting>
  <conditionalFormatting sqref="C34">
    <cfRule type="expression" dxfId="87" priority="24934" stopIfTrue="1">
      <formula>AND(NOT(ISBLANK(C34)),NOT(_xlfn.ISFORMULA(C34)))</formula>
    </cfRule>
  </conditionalFormatting>
  <conditionalFormatting sqref="D34">
    <cfRule type="expression" dxfId="86" priority="24933" stopIfTrue="1">
      <formula>AND(NOT(ISBLANK(D34)),NOT(_xlfn.ISFORMULA(D34)))</formula>
    </cfRule>
  </conditionalFormatting>
  <conditionalFormatting sqref="G34">
    <cfRule type="expression" dxfId="85" priority="24932" stopIfTrue="1">
      <formula>AND(NOT(ISBLANK(G34)),NOT(_xlfn.ISFORMULA(G34)))</formula>
    </cfRule>
  </conditionalFormatting>
  <conditionalFormatting sqref="H34">
    <cfRule type="expression" dxfId="84" priority="24931" stopIfTrue="1">
      <formula>AND(NOT(ISBLANK(H34)),NOT(_xlfn.ISFORMULA(H34)))</formula>
    </cfRule>
  </conditionalFormatting>
  <conditionalFormatting sqref="E50">
    <cfRule type="expression" dxfId="83" priority="24929">
      <formula>AND(AND(NOT(ISBLANK(D50)),NOT(D50=$O$1)),AND(NOT(ISBLANK(C50)),NOT(C50=$O$1)))</formula>
    </cfRule>
    <cfRule type="expression" dxfId="82" priority="24930">
      <formula>OR(AND(NOT(ISBLANK(D50)),NOT(D50=$O$1)),AND(NOT(ISBLANK(C50)),NOT(C50=$O$1)))</formula>
    </cfRule>
  </conditionalFormatting>
  <conditionalFormatting sqref="F50">
    <cfRule type="expression" dxfId="81" priority="24927">
      <formula>AND(AND(NOT(ISBLANK(G50)),NOT(G50=$O$1)),AND(NOT(ISBLANK(H50)),NOT(H50=$O$1)))</formula>
    </cfRule>
    <cfRule type="expression" dxfId="80" priority="24928">
      <formula>OR(AND(NOT(ISBLANK(G50)),NOT(G50=$O$1)),AND(NOT(ISBLANK(H50)),NOT(H50=$O$1)))</formula>
    </cfRule>
  </conditionalFormatting>
  <conditionalFormatting sqref="E4">
    <cfRule type="expression" dxfId="79" priority="24269">
      <formula>AND(AND(NOT(ISBLANK(D4)),NOT(D4=$O$1)),AND(NOT(ISBLANK(C4)),NOT(C4=$O$1)))</formula>
    </cfRule>
    <cfRule type="expression" dxfId="78" priority="24270">
      <formula>OR(AND(NOT(ISBLANK(D4)),NOT(D4=$O$1)),AND(NOT(ISBLANK(C4)),NOT(C4=$O$1)))</formula>
    </cfRule>
  </conditionalFormatting>
  <conditionalFormatting sqref="F4">
    <cfRule type="expression" dxfId="77" priority="24267">
      <formula>AND(AND(NOT(ISBLANK(G4)),NOT(G4=$O$1)),AND(NOT(ISBLANK(H4)),NOT(H4=$O$1)))</formula>
    </cfRule>
    <cfRule type="expression" dxfId="76" priority="24268">
      <formula>OR(AND(NOT(ISBLANK(G4)),NOT(G4=$O$1)),AND(NOT(ISBLANK(H4)),NOT(H4=$O$1)))</formula>
    </cfRule>
  </conditionalFormatting>
  <conditionalFormatting sqref="E5">
    <cfRule type="expression" dxfId="75" priority="24265">
      <formula>AND(AND(NOT(ISBLANK(D5)),NOT(D5=$O$1)),AND(NOT(ISBLANK(C5)),NOT(C5=$O$1)))</formula>
    </cfRule>
    <cfRule type="expression" dxfId="74" priority="24266">
      <formula>OR(AND(NOT(ISBLANK(D5)),NOT(D5=$O$1)),AND(NOT(ISBLANK(C5)),NOT(C5=$O$1)))</formula>
    </cfRule>
  </conditionalFormatting>
  <conditionalFormatting sqref="F5">
    <cfRule type="expression" dxfId="73" priority="24263">
      <formula>AND(AND(NOT(ISBLANK(G5)),NOT(G5=$O$1)),AND(NOT(ISBLANK(H5)),NOT(H5=$O$1)))</formula>
    </cfRule>
    <cfRule type="expression" dxfId="72" priority="24264">
      <formula>OR(AND(NOT(ISBLANK(G5)),NOT(G5=$O$1)),AND(NOT(ISBLANK(H5)),NOT(H5=$O$1)))</formula>
    </cfRule>
  </conditionalFormatting>
  <conditionalFormatting sqref="E6">
    <cfRule type="expression" dxfId="71" priority="24261">
      <formula>AND(AND(NOT(ISBLANK(D6)),NOT(D6=$O$1)),AND(NOT(ISBLANK(C6)),NOT(C6=$O$1)))</formula>
    </cfRule>
    <cfRule type="expression" dxfId="70" priority="24262">
      <formula>OR(AND(NOT(ISBLANK(D6)),NOT(D6=$O$1)),AND(NOT(ISBLANK(C6)),NOT(C6=$O$1)))</formula>
    </cfRule>
  </conditionalFormatting>
  <conditionalFormatting sqref="F6">
    <cfRule type="expression" dxfId="69" priority="24259">
      <formula>AND(AND(NOT(ISBLANK(G6)),NOT(G6=$O$1)),AND(NOT(ISBLANK(H6)),NOT(H6=$O$1)))</formula>
    </cfRule>
    <cfRule type="expression" dxfId="68" priority="24260">
      <formula>OR(AND(NOT(ISBLANK(G6)),NOT(G6=$O$1)),AND(NOT(ISBLANK(H6)),NOT(H6=$O$1)))</formula>
    </cfRule>
  </conditionalFormatting>
  <conditionalFormatting sqref="E7">
    <cfRule type="expression" dxfId="67" priority="18045">
      <formula>AND(AND(NOT(ISBLANK(D7)),NOT(D7=$O$1)),AND(NOT(ISBLANK(C7)),NOT(C7=$O$1)))</formula>
    </cfRule>
    <cfRule type="expression" dxfId="66" priority="18046">
      <formula>OR(AND(NOT(ISBLANK(D7)),NOT(D7=$O$1)),AND(NOT(ISBLANK(C7)),NOT(C7=$O$1)))</formula>
    </cfRule>
  </conditionalFormatting>
  <conditionalFormatting sqref="F7">
    <cfRule type="expression" dxfId="65" priority="18043">
      <formula>AND(AND(NOT(ISBLANK(G7)),NOT(G7=$O$1)),AND(NOT(ISBLANK(H7)),NOT(H7=$O$1)))</formula>
    </cfRule>
    <cfRule type="expression" dxfId="64" priority="18044">
      <formula>OR(AND(NOT(ISBLANK(G7)),NOT(G7=$O$1)),AND(NOT(ISBLANK(H7)),NOT(H7=$O$1)))</formula>
    </cfRule>
  </conditionalFormatting>
  <conditionalFormatting sqref="E8">
    <cfRule type="expression" dxfId="63" priority="12085">
      <formula>AND(AND(NOT(ISBLANK(D8)),NOT(D8=$O$1)),AND(NOT(ISBLANK(C8)),NOT(C8=$O$1)))</formula>
    </cfRule>
    <cfRule type="expression" dxfId="62" priority="12086">
      <formula>OR(AND(NOT(ISBLANK(D8)),NOT(D8=$O$1)),AND(NOT(ISBLANK(C8)),NOT(C8=$O$1)))</formula>
    </cfRule>
  </conditionalFormatting>
  <conditionalFormatting sqref="F8">
    <cfRule type="expression" dxfId="61" priority="12083">
      <formula>AND(AND(NOT(ISBLANK(G8)),NOT(G8=$O$1)),AND(NOT(ISBLANK(H8)),NOT(H8=$O$1)))</formula>
    </cfRule>
    <cfRule type="expression" dxfId="60" priority="12084">
      <formula>OR(AND(NOT(ISBLANK(G8)),NOT(G8=$O$1)),AND(NOT(ISBLANK(H8)),NOT(H8=$O$1)))</formula>
    </cfRule>
  </conditionalFormatting>
  <conditionalFormatting sqref="E9">
    <cfRule type="expression" dxfId="59" priority="10361">
      <formula>AND(AND(NOT(ISBLANK(D9)),NOT(D9=$O$1)),AND(NOT(ISBLANK(C9)),NOT(C9=$O$1)))</formula>
    </cfRule>
    <cfRule type="expression" dxfId="58" priority="10362">
      <formula>OR(AND(NOT(ISBLANK(D9)),NOT(D9=$O$1)),AND(NOT(ISBLANK(C9)),NOT(C9=$O$1)))</formula>
    </cfRule>
  </conditionalFormatting>
  <conditionalFormatting sqref="F9">
    <cfRule type="expression" dxfId="57" priority="10359">
      <formula>AND(AND(NOT(ISBLANK(G9)),NOT(G9=$O$1)),AND(NOT(ISBLANK(H9)),NOT(H9=$O$1)))</formula>
    </cfRule>
    <cfRule type="expression" dxfId="56" priority="10360">
      <formula>OR(AND(NOT(ISBLANK(G9)),NOT(G9=$O$1)),AND(NOT(ISBLANK(H9)),NOT(H9=$O$1)))</formula>
    </cfRule>
  </conditionalFormatting>
  <conditionalFormatting sqref="E10">
    <cfRule type="expression" dxfId="55" priority="6041">
      <formula>AND(AND(NOT(ISBLANK(D10)),NOT(D10=$O$1)),AND(NOT(ISBLANK(C10)),NOT(C10=$O$1)))</formula>
    </cfRule>
    <cfRule type="expression" dxfId="54" priority="6042">
      <formula>OR(AND(NOT(ISBLANK(D10)),NOT(D10=$O$1)),AND(NOT(ISBLANK(C10)),NOT(C10=$O$1)))</formula>
    </cfRule>
  </conditionalFormatting>
  <conditionalFormatting sqref="F10">
    <cfRule type="expression" dxfId="53" priority="6039">
      <formula>AND(AND(NOT(ISBLANK(G10)),NOT(G10=$O$1)),AND(NOT(ISBLANK(H10)),NOT(H10=$O$1)))</formula>
    </cfRule>
    <cfRule type="expression" dxfId="52" priority="6040">
      <formula>OR(AND(NOT(ISBLANK(G10)),NOT(G10=$O$1)),AND(NOT(ISBLANK(H10)),NOT(H10=$O$1)))</formula>
    </cfRule>
  </conditionalFormatting>
  <conditionalFormatting sqref="E11">
    <cfRule type="expression" dxfId="51" priority="6037">
      <formula>AND(AND(NOT(ISBLANK(D11)),NOT(D11=$O$1)),AND(NOT(ISBLANK(C11)),NOT(C11=$O$1)))</formula>
    </cfRule>
    <cfRule type="expression" dxfId="50" priority="6038">
      <formula>OR(AND(NOT(ISBLANK(D11)),NOT(D11=$O$1)),AND(NOT(ISBLANK(C11)),NOT(C11=$O$1)))</formula>
    </cfRule>
  </conditionalFormatting>
  <conditionalFormatting sqref="F11">
    <cfRule type="expression" dxfId="49" priority="6035">
      <formula>AND(AND(NOT(ISBLANK(G11)),NOT(G11=$O$1)),AND(NOT(ISBLANK(H11)),NOT(H11=$O$1)))</formula>
    </cfRule>
    <cfRule type="expression" dxfId="48" priority="6036">
      <formula>OR(AND(NOT(ISBLANK(G11)),NOT(G11=$O$1)),AND(NOT(ISBLANK(H11)),NOT(H11=$O$1)))</formula>
    </cfRule>
  </conditionalFormatting>
  <conditionalFormatting sqref="E12">
    <cfRule type="expression" dxfId="47" priority="5115">
      <formula>AND(AND(NOT(ISBLANK(D12)),NOT(D12=$O$1)),AND(NOT(ISBLANK(C12)),NOT(C12=$O$1)))</formula>
    </cfRule>
    <cfRule type="expression" dxfId="46" priority="5116">
      <formula>OR(AND(NOT(ISBLANK(D12)),NOT(D12=$O$1)),AND(NOT(ISBLANK(C12)),NOT(C12=$O$1)))</formula>
    </cfRule>
  </conditionalFormatting>
  <conditionalFormatting sqref="F12">
    <cfRule type="expression" dxfId="45" priority="5113">
      <formula>AND(AND(NOT(ISBLANK(G12)),NOT(G12=$O$1)),AND(NOT(ISBLANK(H12)),NOT(H12=$O$1)))</formula>
    </cfRule>
    <cfRule type="expression" dxfId="44" priority="5114">
      <formula>OR(AND(NOT(ISBLANK(G12)),NOT(G12=$O$1)),AND(NOT(ISBLANK(H12)),NOT(H12=$O$1)))</formula>
    </cfRule>
  </conditionalFormatting>
  <conditionalFormatting sqref="E13">
    <cfRule type="expression" dxfId="43" priority="5111">
      <formula>AND(AND(NOT(ISBLANK(D13)),NOT(D13=$O$1)),AND(NOT(ISBLANK(C13)),NOT(C13=$O$1)))</formula>
    </cfRule>
    <cfRule type="expression" dxfId="42" priority="5112">
      <formula>OR(AND(NOT(ISBLANK(D13)),NOT(D13=$O$1)),AND(NOT(ISBLANK(C13)),NOT(C13=$O$1)))</formula>
    </cfRule>
  </conditionalFormatting>
  <conditionalFormatting sqref="F13">
    <cfRule type="expression" dxfId="41" priority="5109">
      <formula>AND(AND(NOT(ISBLANK(G13)),NOT(G13=$O$1)),AND(NOT(ISBLANK(H13)),NOT(H13=$O$1)))</formula>
    </cfRule>
    <cfRule type="expression" dxfId="40" priority="5110">
      <formula>OR(AND(NOT(ISBLANK(G13)),NOT(G13=$O$1)),AND(NOT(ISBLANK(H13)),NOT(H13=$O$1)))</formula>
    </cfRule>
  </conditionalFormatting>
  <conditionalFormatting sqref="D6">
    <cfRule type="expression" dxfId="39" priority="406" stopIfTrue="1">
      <formula>AND(NOT(ISBLANK(D6)),NOT(_xlfn.ISFORMULA(D6)))</formula>
    </cfRule>
  </conditionalFormatting>
  <conditionalFormatting sqref="D7">
    <cfRule type="expression" dxfId="38" priority="405" stopIfTrue="1">
      <formula>AND(NOT(ISBLANK(D7)),NOT(_xlfn.ISFORMULA(D7)))</formula>
    </cfRule>
  </conditionalFormatting>
  <conditionalFormatting sqref="D8">
    <cfRule type="expression" dxfId="37" priority="404" stopIfTrue="1">
      <formula>AND(NOT(ISBLANK(D8)),NOT(_xlfn.ISFORMULA(D8)))</formula>
    </cfRule>
  </conditionalFormatting>
  <conditionalFormatting sqref="D9">
    <cfRule type="expression" dxfId="36" priority="403" stopIfTrue="1">
      <formula>AND(NOT(ISBLANK(D9)),NOT(_xlfn.ISFORMULA(D9)))</formula>
    </cfRule>
  </conditionalFormatting>
  <conditionalFormatting sqref="D10">
    <cfRule type="expression" dxfId="35" priority="402" stopIfTrue="1">
      <formula>AND(NOT(ISBLANK(D10)),NOT(_xlfn.ISFORMULA(D10)))</formula>
    </cfRule>
  </conditionalFormatting>
  <conditionalFormatting sqref="D11">
    <cfRule type="expression" dxfId="34" priority="401" stopIfTrue="1">
      <formula>AND(NOT(ISBLANK(D11)),NOT(_xlfn.ISFORMULA(D11)))</formula>
    </cfRule>
  </conditionalFormatting>
  <conditionalFormatting sqref="D12">
    <cfRule type="expression" dxfId="33" priority="400" stopIfTrue="1">
      <formula>AND(NOT(ISBLANK(D12)),NOT(_xlfn.ISFORMULA(D12)))</formula>
    </cfRule>
  </conditionalFormatting>
  <conditionalFormatting sqref="D13">
    <cfRule type="expression" dxfId="32" priority="399" stopIfTrue="1">
      <formula>AND(NOT(ISBLANK(D13)),NOT(_xlfn.ISFORMULA(D13)))</formula>
    </cfRule>
  </conditionalFormatting>
  <conditionalFormatting sqref="G4">
    <cfRule type="expression" dxfId="31" priority="272" stopIfTrue="1">
      <formula>AND(NOT(ISBLANK(G4)),NOT(_xlfn.ISFORMULA(G4)))</formula>
    </cfRule>
  </conditionalFormatting>
  <conditionalFormatting sqref="G5">
    <cfRule type="expression" dxfId="30" priority="271" stopIfTrue="1">
      <formula>AND(NOT(ISBLANK(G5)),NOT(_xlfn.ISFORMULA(G5)))</formula>
    </cfRule>
  </conditionalFormatting>
  <conditionalFormatting sqref="G6">
    <cfRule type="expression" dxfId="29" priority="270" stopIfTrue="1">
      <formula>AND(NOT(ISBLANK(G6)),NOT(_xlfn.ISFORMULA(G6)))</formula>
    </cfRule>
  </conditionalFormatting>
  <conditionalFormatting sqref="G7">
    <cfRule type="expression" dxfId="28" priority="269" stopIfTrue="1">
      <formula>AND(NOT(ISBLANK(G7)),NOT(_xlfn.ISFORMULA(G7)))</formula>
    </cfRule>
  </conditionalFormatting>
  <conditionalFormatting sqref="G8">
    <cfRule type="expression" dxfId="27" priority="268" stopIfTrue="1">
      <formula>AND(NOT(ISBLANK(G8)),NOT(_xlfn.ISFORMULA(G8)))</formula>
    </cfRule>
  </conditionalFormatting>
  <conditionalFormatting sqref="G9">
    <cfRule type="expression" dxfId="26" priority="267" stopIfTrue="1">
      <formula>AND(NOT(ISBLANK(G9)),NOT(_xlfn.ISFORMULA(G9)))</formula>
    </cfRule>
  </conditionalFormatting>
  <conditionalFormatting sqref="G10">
    <cfRule type="expression" dxfId="25" priority="266" stopIfTrue="1">
      <formula>AND(NOT(ISBLANK(G10)),NOT(_xlfn.ISFORMULA(G10)))</formula>
    </cfRule>
  </conditionalFormatting>
  <conditionalFormatting sqref="G11">
    <cfRule type="expression" dxfId="24" priority="265" stopIfTrue="1">
      <formula>AND(NOT(ISBLANK(G11)),NOT(_xlfn.ISFORMULA(G11)))</formula>
    </cfRule>
  </conditionalFormatting>
  <conditionalFormatting sqref="G12">
    <cfRule type="expression" dxfId="23" priority="264" stopIfTrue="1">
      <formula>AND(NOT(ISBLANK(G12)),NOT(_xlfn.ISFORMULA(G12)))</formula>
    </cfRule>
  </conditionalFormatting>
  <conditionalFormatting sqref="G13">
    <cfRule type="expression" dxfId="22" priority="263" stopIfTrue="1">
      <formula>AND(NOT(ISBLANK(G13)),NOT(_xlfn.ISFORMULA(G13)))</formula>
    </cfRule>
  </conditionalFormatting>
  <conditionalFormatting sqref="H4">
    <cfRule type="expression" dxfId="21" priority="136" stopIfTrue="1">
      <formula>AND(NOT(ISBLANK(H4)),NOT(_xlfn.ISFORMULA(H4)))</formula>
    </cfRule>
  </conditionalFormatting>
  <conditionalFormatting sqref="H5">
    <cfRule type="expression" dxfId="20" priority="135" stopIfTrue="1">
      <formula>AND(NOT(ISBLANK(H5)),NOT(_xlfn.ISFORMULA(H5)))</formula>
    </cfRule>
  </conditionalFormatting>
  <conditionalFormatting sqref="H6">
    <cfRule type="expression" dxfId="19" priority="134" stopIfTrue="1">
      <formula>AND(NOT(ISBLANK(H6)),NOT(_xlfn.ISFORMULA(H6)))</formula>
    </cfRule>
  </conditionalFormatting>
  <conditionalFormatting sqref="H7">
    <cfRule type="expression" dxfId="18" priority="133" stopIfTrue="1">
      <formula>AND(NOT(ISBLANK(H7)),NOT(_xlfn.ISFORMULA(H7)))</formula>
    </cfRule>
  </conditionalFormatting>
  <conditionalFormatting sqref="H8">
    <cfRule type="expression" dxfId="17" priority="132" stopIfTrue="1">
      <formula>AND(NOT(ISBLANK(H8)),NOT(_xlfn.ISFORMULA(H8)))</formula>
    </cfRule>
  </conditionalFormatting>
  <conditionalFormatting sqref="H9">
    <cfRule type="expression" dxfId="16" priority="131" stopIfTrue="1">
      <formula>AND(NOT(ISBLANK(H9)),NOT(_xlfn.ISFORMULA(H9)))</formula>
    </cfRule>
  </conditionalFormatting>
  <conditionalFormatting sqref="H10">
    <cfRule type="expression" dxfId="15" priority="130" stopIfTrue="1">
      <formula>AND(NOT(ISBLANK(H10)),NOT(_xlfn.ISFORMULA(H10)))</formula>
    </cfRule>
  </conditionalFormatting>
  <conditionalFormatting sqref="H11">
    <cfRule type="expression" dxfId="14" priority="129" stopIfTrue="1">
      <formula>AND(NOT(ISBLANK(H11)),NOT(_xlfn.ISFORMULA(H11)))</formula>
    </cfRule>
  </conditionalFormatting>
  <conditionalFormatting sqref="H12">
    <cfRule type="expression" dxfId="13" priority="128" stopIfTrue="1">
      <formula>AND(NOT(ISBLANK(H12)),NOT(_xlfn.ISFORMULA(H12)))</formula>
    </cfRule>
  </conditionalFormatting>
  <conditionalFormatting sqref="H13">
    <cfRule type="expression" dxfId="12" priority="127" stopIfTrue="1">
      <formula>AND(NOT(ISBLANK(H13)),NOT(_xlfn.ISFORMULA(H13)))</formula>
    </cfRule>
  </conditionalFormatting>
  <conditionalFormatting sqref="C4">
    <cfRule type="expression" dxfId="11" priority="544" stopIfTrue="1">
      <formula>AND(NOT(ISBLANK(C4)),NOT(_xlfn.ISFORMULA(C4)))</formula>
    </cfRule>
  </conditionalFormatting>
  <conditionalFormatting sqref="C5">
    <cfRule type="expression" dxfId="10" priority="543" stopIfTrue="1">
      <formula>AND(NOT(ISBLANK(C5)),NOT(_xlfn.ISFORMULA(C5)))</formula>
    </cfRule>
  </conditionalFormatting>
  <conditionalFormatting sqref="C6">
    <cfRule type="expression" dxfId="9" priority="542" stopIfTrue="1">
      <formula>AND(NOT(ISBLANK(C6)),NOT(_xlfn.ISFORMULA(C6)))</formula>
    </cfRule>
  </conditionalFormatting>
  <conditionalFormatting sqref="C7">
    <cfRule type="expression" dxfId="8" priority="541" stopIfTrue="1">
      <formula>AND(NOT(ISBLANK(C7)),NOT(_xlfn.ISFORMULA(C7)))</formula>
    </cfRule>
  </conditionalFormatting>
  <conditionalFormatting sqref="C8">
    <cfRule type="expression" dxfId="7" priority="540" stopIfTrue="1">
      <formula>AND(NOT(ISBLANK(C8)),NOT(_xlfn.ISFORMULA(C8)))</formula>
    </cfRule>
  </conditionalFormatting>
  <conditionalFormatting sqref="C9">
    <cfRule type="expression" dxfId="6" priority="539" stopIfTrue="1">
      <formula>AND(NOT(ISBLANK(C9)),NOT(_xlfn.ISFORMULA(C9)))</formula>
    </cfRule>
  </conditionalFormatting>
  <conditionalFormatting sqref="C10">
    <cfRule type="expression" dxfId="5" priority="538" stopIfTrue="1">
      <formula>AND(NOT(ISBLANK(C10)),NOT(_xlfn.ISFORMULA(C10)))</formula>
    </cfRule>
  </conditionalFormatting>
  <conditionalFormatting sqref="C11">
    <cfRule type="expression" dxfId="4" priority="537" stopIfTrue="1">
      <formula>AND(NOT(ISBLANK(C11)),NOT(_xlfn.ISFORMULA(C11)))</formula>
    </cfRule>
  </conditionalFormatting>
  <conditionalFormatting sqref="C12">
    <cfRule type="expression" dxfId="3" priority="536" stopIfTrue="1">
      <formula>AND(NOT(ISBLANK(C12)),NOT(_xlfn.ISFORMULA(C12)))</formula>
    </cfRule>
  </conditionalFormatting>
  <conditionalFormatting sqref="C13">
    <cfRule type="expression" dxfId="2" priority="535" stopIfTrue="1">
      <formula>AND(NOT(ISBLANK(C13)),NOT(_xlfn.ISFORMULA(C13)))</formula>
    </cfRule>
  </conditionalFormatting>
  <conditionalFormatting sqref="D4">
    <cfRule type="expression" dxfId="1" priority="408" stopIfTrue="1">
      <formula>AND(NOT(ISBLANK(D4)),NOT(_xlfn.ISFORMULA(D4)))</formula>
    </cfRule>
  </conditionalFormatting>
  <conditionalFormatting sqref="D5">
    <cfRule type="expression" dxfId="0" priority="407" stopIfTrue="1">
      <formula>AND(NOT(ISBLANK(D5)),NOT(_xlfn.ISFORMULA(D5)))</formula>
    </cfRule>
  </conditionalFormatting>
  <dataValidations count="2">
    <dataValidation type="custom" allowBlank="1" showInputMessage="1" showErrorMessage="1" sqref="E41:F50 E30:F34 J41:L42 A30:B34 I30:L34 J43:J50 A41:B50 I41:I50 E4:F13 A4:B13 I4:J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27"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view="pageBreakPreview" zoomScaleNormal="100" zoomScaleSheetLayoutView="100" workbookViewId="0"/>
  </sheetViews>
  <sheetFormatPr defaultRowHeight="15" x14ac:dyDescent="0.25"/>
  <cols>
    <col min="1" max="1" width="9.140625" style="80"/>
  </cols>
  <sheetData/>
  <pageMargins left="0.7" right="0.7" top="0.75" bottom="0.75" header="0.3" footer="0.3"/>
  <pageSetup paperSize="9" orientation="portrait" r:id="rId1"/>
  <headerFooter>
    <oddHeader>&amp;R&amp;D. &amp;T. Страница &amp;P/&amp;N&amp;LШмыков</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ВставитьИРассчитать" altText="Проверка сумм">
                <anchor>
                  <from>
                    <xdr:col>12</xdr:col>
                    <xdr:colOff>133350</xdr:colOff>
                    <xdr:row>1</xdr:row>
                    <xdr:rowOff>114300</xdr:rowOff>
                  </from>
                  <to>
                    <xdr:col>15</xdr:col>
                    <xdr:colOff>409575</xdr:colOff>
                    <xdr:row>3</xdr:row>
                    <xdr:rowOff>152400</xdr:rowOff>
                  </to>
                </anchor>
              </controlPr>
            </control>
          </mc:Choice>
        </mc:AlternateContent>
        <mc:AlternateContent xmlns:mc="http://schemas.openxmlformats.org/markup-compatibility/2006">
          <mc:Choice Requires="x14">
            <control shapeId="46082" r:id="rId5" name="Button 2">
              <controlPr defaultSize="0" print="0" autoFill="0" autoPict="0" macro="[0]!ОчиститьВсюТаблицу" altText="Проверка сумм">
                <anchor>
                  <from>
                    <xdr:col>12</xdr:col>
                    <xdr:colOff>123825</xdr:colOff>
                    <xdr:row>4</xdr:row>
                    <xdr:rowOff>28575</xdr:rowOff>
                  </from>
                  <to>
                    <xdr:col>15</xdr:col>
                    <xdr:colOff>409575</xdr:colOff>
                    <xdr:row>6</xdr:row>
                    <xdr:rowOff>19050</xdr:rowOff>
                  </to>
                </anchor>
              </controlPr>
            </control>
          </mc:Choice>
        </mc:AlternateContent>
        <mc:AlternateContent xmlns:mc="http://schemas.openxmlformats.org/markup-compatibility/2006">
          <mc:Choice Requires="x14">
            <control shapeId="46083" r:id="rId6" name="Button 3">
              <controlPr defaultSize="0" print="0" autoFill="0" autoPict="0" macro="[0]!ЗапроситьСметуИзbCAD" altText="Проверка сумм">
                <anchor>
                  <from>
                    <xdr:col>15</xdr:col>
                    <xdr:colOff>523875</xdr:colOff>
                    <xdr:row>1</xdr:row>
                    <xdr:rowOff>133350</xdr:rowOff>
                  </from>
                  <to>
                    <xdr:col>18</xdr:col>
                    <xdr:colOff>514350</xdr:colOff>
                    <xdr:row>6</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vt:i4>
      </vt:variant>
      <vt:variant>
        <vt:lpstr>Именованные диапазоны</vt:lpstr>
      </vt:variant>
      <vt:variant>
        <vt:i4>1</vt:i4>
      </vt:variant>
    </vt:vector>
  </HeadingPairs>
  <TitlesOfParts>
    <vt:vector size="4" baseType="lpstr">
      <vt:lpstr>ИсходныйСкрытый</vt:lpstr>
      <vt:lpstr>Деталировка</vt:lpstr>
      <vt:lpstr>Склад</vt:lpstr>
      <vt:lpstr>Деталировка!Область_печати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2022-01-25T21:29:32Z</cp:lastPrinted>
  <dcterms:created xsi:type="dcterms:W3CDTF">2014-06-23T08:47:00Z</dcterms:created>
  <dcterms:modified xsi:type="dcterms:W3CDTF">2022-01-30T13:54:25Z</dcterms:modified>
</cp:coreProperties>
</file>
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F:\Проекты\tehnolog-sochi\"/>
    </mc:Choice>
  </mc:AlternateContent>
  <xr:revisionPtr revIDLastSave="0" documentId="13_ncr:1_{557CBFEF-1228-4BE8-9903-7E25793F40B5}" xr6:coauthVersionLast="45" xr6:coauthVersionMax="47" xr10:uidLastSave="{00000000-0000-0000-0000-000000000000}"/>
  <bookViews>
    <workbookView xWindow="-120" yWindow="-120" windowWidth="29040" windowHeight="15840" tabRatio="550" activeTab="1" xr2:uid="{00000000-000D-0000-FFFF-FFFF00000000}"/>
  </bookViews>
  <sheets>
    <sheet name="ИсходныйСкрытый" sheetId="662" r:id="rId1"/>
    <sheet name="Деталировка" sheetId="660" r:id="rId2"/>
    <sheet name="СКЛАД" sheetId="663" r:id="rId3"/>
    <sheet name="КРОМКА" sheetId="664" r:id="rId4"/>
    <sheet name="РАСПИЛ" sheetId="665" r:id="rId5"/>
    <sheet name="СБОРКА" sheetId="677" r:id="rId6"/>
  </sheets>
  <functionGroups builtInGroupCount="19"/>
  <definedNames>
    <definedName name="_xlnm._FilterDatabase" localSheetId="1" hidden="1">Деталировка!#REF!</definedName>
    <definedName name="_xlnm.Print_Area" localSheetId="1">Деталировка!$A$2:$M$25</definedName>
    <definedName name="_xlnm.Print_Area" localSheetId="3">КРОМКА!$A$1:$M$52</definedName>
    <definedName name="_xlnm.Print_Area" localSheetId="4">РАСПИЛ!$A$1:$J$212</definedName>
    <definedName name="_xlnm.Print_Area" localSheetId="5">СБОРКА!$A$1:$J$21</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33" i="664" l="1"/>
  <c r="I33" i="664"/>
  <c r="J19" i="677" l="1"/>
  <c r="E19" i="677"/>
  <c r="B2" i="677"/>
  <c r="E210" i="665" l="1"/>
  <c r="J210" i="665"/>
  <c r="B2" i="665"/>
  <c r="B2" i="664" l="1"/>
  <c r="M13" i="660" l="1"/>
  <c r="E13" i="660" s="1"/>
  <c r="N13" i="660" s="1"/>
  <c r="L13" i="660"/>
  <c r="K13" i="660"/>
  <c r="J13" i="660"/>
  <c r="I13" i="660"/>
  <c r="B13" i="660"/>
  <c r="M7" i="660"/>
  <c r="L7" i="660"/>
  <c r="K7" i="660"/>
  <c r="J7" i="660"/>
  <c r="A7" i="660" s="1"/>
  <c r="B7" i="660"/>
  <c r="M5" i="660"/>
  <c r="L5" i="660"/>
  <c r="K5" i="660"/>
  <c r="J5" i="660"/>
  <c r="A5" i="660" s="1"/>
  <c r="I5" i="660"/>
  <c r="B5" i="660"/>
  <c r="M11" i="660"/>
  <c r="L11" i="660"/>
  <c r="K11" i="660"/>
  <c r="J11" i="660"/>
  <c r="B11" i="660"/>
  <c r="M10" i="660"/>
  <c r="L10" i="660"/>
  <c r="K10" i="660"/>
  <c r="J10" i="660"/>
  <c r="I10" i="660"/>
  <c r="B10" i="660"/>
  <c r="M8" i="660"/>
  <c r="L8" i="660"/>
  <c r="K8" i="660"/>
  <c r="J8" i="660"/>
  <c r="A8" i="660" s="1"/>
  <c r="I8" i="660"/>
  <c r="B8" i="660"/>
  <c r="M12" i="660"/>
  <c r="F12" i="660" s="1"/>
  <c r="L12" i="660"/>
  <c r="K12" i="660"/>
  <c r="J12" i="660"/>
  <c r="I12" i="660"/>
  <c r="B12" i="660"/>
  <c r="M9" i="660"/>
  <c r="I9" i="660" s="1"/>
  <c r="L9" i="660"/>
  <c r="K9" i="660"/>
  <c r="J9" i="660"/>
  <c r="A9" i="660" s="1"/>
  <c r="B9" i="660"/>
  <c r="M4" i="660"/>
  <c r="L4" i="660"/>
  <c r="K4" i="660"/>
  <c r="J4" i="660"/>
  <c r="A4" i="660" s="1"/>
  <c r="I4" i="660"/>
  <c r="B4" i="660"/>
  <c r="M6" i="660"/>
  <c r="L6" i="660"/>
  <c r="K6" i="660"/>
  <c r="J6" i="660"/>
  <c r="A6" i="660" s="1"/>
  <c r="B6" i="660"/>
  <c r="E10" i="660" l="1"/>
  <c r="N10" i="660" s="1"/>
  <c r="E5" i="660"/>
  <c r="N5" i="660" s="1"/>
  <c r="E4" i="660"/>
  <c r="N4" i="660" s="1"/>
  <c r="E6" i="660"/>
  <c r="N6" i="660" s="1"/>
  <c r="E7" i="660"/>
  <c r="N7" i="660" s="1"/>
  <c r="I7" i="660"/>
  <c r="A12" i="660"/>
  <c r="A10" i="660"/>
  <c r="A11" i="660"/>
  <c r="F7" i="660"/>
  <c r="I6" i="660"/>
  <c r="F5" i="660"/>
  <c r="A13" i="660"/>
  <c r="E12" i="660"/>
  <c r="N12" i="660" s="1"/>
  <c r="F10" i="660"/>
  <c r="F13" i="660"/>
  <c r="F8" i="660"/>
  <c r="E8" i="660"/>
  <c r="N8" i="660" s="1"/>
  <c r="F11" i="660"/>
  <c r="E11" i="660"/>
  <c r="N11" i="660" s="1"/>
  <c r="F9" i="660"/>
  <c r="E9" i="660"/>
  <c r="N9" i="660" s="1"/>
  <c r="I11" i="660"/>
  <c r="F4" i="660"/>
  <c r="F6" i="660"/>
  <c r="A2" i="660"/>
  <c r="I14" i="660" l="1"/>
  <c r="M5" i="662"/>
  <c r="F5" i="662" s="1"/>
  <c r="L5" i="662"/>
  <c r="K5" i="662"/>
  <c r="J5" i="662"/>
  <c r="A5" i="662" s="1"/>
  <c r="B5" i="662"/>
  <c r="I5" i="662" l="1"/>
  <c r="E5" i="662"/>
  <c r="N5" i="662" s="1"/>
  <c r="M15" i="662"/>
  <c r="H15" i="662" s="1"/>
  <c r="J15" i="662"/>
  <c r="A15" i="662" s="1"/>
  <c r="I15" i="662"/>
  <c r="I49" i="660"/>
  <c r="I33" i="660"/>
  <c r="B3" i="660"/>
  <c r="D15" i="662" l="1"/>
  <c r="N15" i="662" s="1"/>
  <c r="E15" i="662"/>
  <c r="A22" i="660"/>
  <c r="A37" i="660"/>
  <c r="A26"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154A32A0-BBD5-4D2F-9AF2-954C64E1643B}">
      <text>
        <r>
          <rPr>
            <b/>
            <sz val="9"/>
            <color indexed="81"/>
            <rFont val="Tahoma"/>
            <family val="2"/>
            <charset val="204"/>
          </rPr>
          <t>сделать столбец скрываемым из диалога "ИНСТРУМЕНТЫ"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555A8491-2914-4C66-ACD5-8C0FE12934BB}">
      <text>
        <r>
          <rPr>
            <b/>
            <sz val="9"/>
            <color indexed="81"/>
            <rFont val="Tahoma"/>
            <family val="2"/>
            <charset val="204"/>
          </rPr>
          <t>сделать столбец скрываемым из диалога "ИНСТРУМЕНТЫ"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A2" authorId="0" shapeId="0" xr:uid="{03644103-ECB3-46B4-BC18-FC3FE998430E}">
      <text>
        <r>
          <rPr>
            <b/>
            <sz val="9"/>
            <color indexed="81"/>
            <rFont val="Tahoma"/>
            <family val="2"/>
            <charset val="204"/>
          </rPr>
          <t>сделать столбец скрываемым из диалога "ИНСТРУМЕНТЫ"</t>
        </r>
      </text>
    </comment>
  </commentList>
</comments>
</file>

<file path=xl/sharedStrings.xml><?xml version="1.0" encoding="utf-8"?>
<sst xmlns="http://schemas.openxmlformats.org/spreadsheetml/2006/main" count="190" uniqueCount="114">
  <si>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</si>
  <si>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</si>
  <si>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</si>
  <si>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</si>
  <si>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</si>
  <si>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</si>
  <si>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</si>
  <si>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</si>
  <si>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</si>
  <si>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</si>
  <si>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</si>
  <si>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</si>
  <si>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</si>
  <si>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</si>
  <si>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</si>
  <si>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</si>
  <si>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</si>
  <si>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</si>
  <si>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</si>
  <si>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</si>
  <si>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</si>
  <si>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</si>
  <si>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</si>
  <si>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</si>
  <si>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</si>
  <si>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</si>
  <si>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</si>
  <si>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</si>
  <si>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</si>
  <si>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</si>
  <si>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</si>
  <si>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</si>
  <si>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</si>
  <si>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</si>
  <si>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</si>
  <si>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</si>
  <si>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</si>
  <si>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</si>
  <si>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</si>
  <si>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</si>
  <si>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</si>
  <si>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</si>
  <si>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</si>
  <si>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</si>
  <si>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</si>
  <si>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</si>
  <si>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</si>
  <si>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</si>
  <si>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</si>
  <si>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</si>
  <si>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</si>
  <si>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</si>
  <si>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</si>
  <si>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</si>
  <si>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</si>
  <si>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</si>
  <si>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</si>
  <si>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</si>
  <si>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</si>
  <si>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</si>
  <si>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</si>
  <si>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</si>
  <si>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</si>
  <si>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</si>
  <si>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</si>
  <si>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</si>
  <si>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</si>
  <si>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</si>
  <si>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</si>
  <si>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</si>
  <si>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</si>
  <si>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</si>
  <si>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</si>
  <si>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</si>
  <si>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</si>
  <si>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</si>
  <si>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</si>
  <si>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</si>
  <si>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</si>
  <si>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</si>
  <si>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</si>
  <si>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</si>
  <si>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</si>
  <si>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</si>
  <si>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</si>
  <si>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</si>
  <si>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</si>
  <si>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</si>
  <si>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</si>
  <si>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</si>
  <si>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</si>
  <si>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</si>
  <si>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</si>
  <si>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</si>
  <si>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</si>
  <si>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ЛМДФ 2800*2070*19 Белый 2 ст. б/к</t>
  </si>
  <si>
    <t>склейка ДСП 2750*1830*26 шлиф. б/к</t>
  </si>
  <si>
    <t>Толщина</t>
  </si>
  <si>
    <t>Длина пильная</t>
  </si>
  <si>
    <t>Ширина пильная</t>
  </si>
  <si>
    <t>Итого деталей:</t>
  </si>
  <si>
    <t>Итого м.п. кромки б/к:</t>
  </si>
  <si>
    <t>Сортировка по "Кромке" сначала позиции только с кромкой 0,4 и далее по цветам отличным от базовой 0,4 с разделением пробелом</t>
  </si>
  <si>
    <t>Сюда не заносятся данные, где есть слово: "плёнка", "пленка"</t>
  </si>
  <si>
    <t>В КРОМКУ не пишем следующие виды кромок: эмаль и камень</t>
  </si>
  <si>
    <t>Итого м2 б/к:</t>
  </si>
  <si>
    <t>Присадка</t>
  </si>
  <si>
    <t>Длина готового</t>
  </si>
  <si>
    <t>Ширина готового</t>
  </si>
  <si>
    <t>Шт</t>
  </si>
  <si>
    <t>bCad-teh2</t>
  </si>
  <si>
    <t>КРОМКА bCad-teh2</t>
  </si>
  <si>
    <t>РАСПИЛ bCad-teh2</t>
  </si>
  <si>
    <t>СБОРКА bCad-teh2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</si>
</sst>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
      <b/>
      <i/>
      <sz val="10"/>
      <color theme="1"/>
      <name val="Calibri"/>
      <family val="2"/>
      <charset val="204"/>
      <scheme val="minor"/>
    </font>
    <font>
      <u val="double"/>
      <sz val="11"/>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11">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cellStyleXfs>
  <cellXfs count="110">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0" xfId="0" applyAlignment="1">
      <alignment horizontal="center"/>
    </xf>
    <xf numFmtId="0" fontId="0" fillId="0" borderId="0" xfId="0" applyAlignment="1">
      <alignment wrapText="1"/>
    </xf>
    <xf numFmtId="14" fontId="2" fillId="0" borderId="0" xfId="0" applyNumberFormat="1" applyFont="1"/>
    <xf numFmtId="14" fontId="2" fillId="0" borderId="0" xfId="0" applyNumberFormat="1" applyFont="1" applyAlignment="1">
      <alignment horizontal="right"/>
    </xf>
    <xf numFmtId="0" fontId="14" fillId="0" borderId="1" xfId="0" applyFont="1" applyBorder="1" applyAlignment="1">
      <alignment horizontal="center" vertical="center"/>
    </xf>
    <xf numFmtId="0" fontId="2"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2" fillId="0" borderId="0" xfId="0" applyFont="1" applyAlignment="1">
      <alignment horizontal="right" vertical="center"/>
    </xf>
    <xf numFmtId="1" fontId="2" fillId="0" borderId="0" xfId="0" applyNumberFormat="1" applyFont="1" applyAlignment="1">
      <alignment vertical="center" wrapText="1"/>
    </xf>
    <xf numFmtId="0" fontId="2" fillId="0" borderId="0" xfId="0" applyFont="1" applyAlignment="1">
      <alignment vertical="center" wrapText="1"/>
    </xf>
    <xf numFmtId="0" fontId="2" fillId="0" borderId="1" xfId="0" applyFont="1" applyBorder="1" applyAlignment="1">
      <alignment horizontal="center"/>
    </xf>
    <xf numFmtId="0" fontId="14" fillId="0" borderId="1" xfId="0" applyFont="1" applyBorder="1" applyAlignment="1">
      <alignment horizontal="center"/>
    </xf>
    <xf numFmtId="0" fontId="11" fillId="0" borderId="1" xfId="0" applyFont="1" applyBorder="1" applyAlignment="1">
      <alignment horizontal="center"/>
    </xf>
    <xf numFmtId="0" fontId="2" fillId="0" borderId="8" xfId="0" applyFont="1" applyBorder="1"/>
    <xf numFmtId="1" fontId="2" fillId="0" borderId="8" xfId="0" applyNumberFormat="1" applyFont="1" applyBorder="1" applyAlignment="1">
      <alignment vertical="center"/>
    </xf>
    <xf numFmtId="0" fontId="0" fillId="0" borderId="9" xfId="0" applyBorder="1"/>
    <xf numFmtId="49" fontId="15" fillId="0" borderId="9" xfId="0" applyNumberFormat="1" applyFont="1" applyBorder="1" applyAlignment="1">
      <alignment horizontal="center"/>
    </xf>
    <xf numFmtId="0" fontId="17" fillId="0" borderId="1" xfId="0" applyFont="1" applyBorder="1" applyAlignment="1">
      <alignment horizontal="center" vertical="center" wrapText="1"/>
    </xf>
    <xf numFmtId="0" fontId="0" fillId="0" borderId="9" xfId="0" applyBorder="1" applyAlignment="1">
      <alignment horizontal="center"/>
    </xf>
    <xf numFmtId="0" fontId="2" fillId="0" borderId="3"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center"/>
    </xf>
    <xf numFmtId="0" fontId="0" fillId="0" borderId="3" xfId="0" applyFont="1" applyBorder="1"/>
    <xf numFmtId="2" fontId="2" fillId="0" borderId="8" xfId="0" applyNumberFormat="1" applyFont="1" applyBorder="1"/>
    <xf numFmtId="0" fontId="0" fillId="0" borderId="9" xfId="0" applyBorder="1" applyAlignment="1">
      <alignment horizontal="left" wrapText="1"/>
    </xf>
    <xf numFmtId="0" fontId="18" fillId="0" borderId="9" xfId="0" applyFont="1" applyBorder="1" applyAlignment="1">
      <alignment horizontal="center"/>
    </xf>
    <xf numFmtId="0" fontId="2" fillId="0" borderId="9" xfId="0" applyFont="1" applyBorder="1" applyAlignment="1">
      <alignment horizontal="center"/>
    </xf>
    <xf numFmtId="0" fontId="11" fillId="0" borderId="1" xfId="0" applyFont="1" applyBorder="1" applyAlignment="1">
      <alignment horizontal="center" vertical="center" wrapText="1"/>
    </xf>
    <xf numFmtId="0" fontId="0" fillId="0" borderId="10" xfId="0" applyBorder="1"/>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0</xdr:row>
          <xdr:rowOff>171450</xdr:rowOff>
        </xdr:from>
        <xdr:to>
          <xdr:col>16</xdr:col>
          <xdr:colOff>1238250</xdr:colOff>
          <xdr:row>1</xdr:row>
          <xdr:rowOff>219075</xdr:rowOff>
        </xdr:to>
        <xdr:sp macro="" textlink="">
          <xdr:nvSpPr>
            <xdr:cNvPr id="44033" name="Button 1025" hidden="1">
              <a:extLst>
                <a:ext uri="{63B3BB69-23CF-44E3-9099-C40C66FF867C}">
                  <a14:compatExt spid="_x0000_s44033"/>
                </a:ext>
                <a:ext uri="{FF2B5EF4-FFF2-40B4-BE49-F238E27FC236}">
                  <a16:creationId xmlns:a16="http://schemas.microsoft.com/office/drawing/2014/main" id="{00000000-0008-0000-01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Ended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228600</xdr:colOff>
          <xdr:row>0</xdr:row>
          <xdr:rowOff>190500</xdr:rowOff>
        </xdr:from>
        <xdr:to>
          <xdr:col>21</xdr:col>
          <xdr:colOff>390525</xdr:colOff>
          <xdr:row>2</xdr:row>
          <xdr:rowOff>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300-000002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400050</xdr:colOff>
          <xdr:row>0</xdr:row>
          <xdr:rowOff>66675</xdr:rowOff>
        </xdr:from>
        <xdr:to>
          <xdr:col>16</xdr:col>
          <xdr:colOff>571500</xdr:colOff>
          <xdr:row>1</xdr:row>
          <xdr:rowOff>257175</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00000000-0008-0000-04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290305</xdr:colOff>
          <xdr:row>0</xdr:row>
          <xdr:rowOff>66675</xdr:rowOff>
        </xdr:from>
        <xdr:to>
          <xdr:col>15</xdr:col>
          <xdr:colOff>461755</xdr:colOff>
          <xdr:row>1</xdr:row>
          <xdr:rowOff>257175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5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Первый столбик скрыть/показать</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5.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89"/>
  <sheetViews>
    <sheetView workbookViewId="0">
      <selection activeCell="C37" sqref="C37"/>
    </sheetView>
  </sheetViews>
  <sheetFormatPr defaultRowHeight="15" x14ac:dyDescent="0.25"/>
  <cols>
    <col min="1" max="1" width="50.85546875" customWidth="1"/>
    <col min="2" max="2" width="52" customWidth="1"/>
  </cols>
  <sheetData>
    <row r="1" spans="1:30"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30"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30"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30"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30"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c r="AD5" s="18"/>
    </row>
    <row r="6" spans="1:30"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30"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30"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30"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30"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30"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30"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30"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30"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30"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90</v>
      </c>
    </row>
    <row r="54" spans="1:6" ht="18.75" x14ac:dyDescent="0.3">
      <c r="A54" s="1" t="s">
        <v>55</v>
      </c>
      <c r="B54" t="s">
        <v>92</v>
      </c>
      <c r="F54" t="s">
        <v>91</v>
      </c>
    </row>
    <row r="55" spans="1:6" x14ac:dyDescent="0.25">
      <c r="A55" s="64" t="s">
        <v>56</v>
      </c>
      <c r="B55" s="64" t="s">
        <v>57</v>
      </c>
    </row>
    <row r="56" spans="1:6" s="30" customFormat="1" x14ac:dyDescent="0.25">
      <c r="A56" s="97"/>
      <c r="B56" s="97"/>
    </row>
    <row r="57" spans="1:6" s="30" customFormat="1" x14ac:dyDescent="0.25">
      <c r="A57" s="97"/>
      <c r="B57" s="97"/>
    </row>
    <row r="58" spans="1:6" s="30" customFormat="1" x14ac:dyDescent="0.25">
      <c r="A58" s="97"/>
      <c r="B58" s="97"/>
    </row>
    <row r="59" spans="1:6" s="30" customFormat="1" x14ac:dyDescent="0.25">
      <c r="A59" s="97"/>
      <c r="B59" s="97"/>
    </row>
    <row r="60" spans="1:6" s="30" customFormat="1" x14ac:dyDescent="0.25">
      <c r="A60" s="97"/>
      <c r="B60" s="97"/>
    </row>
    <row r="61" spans="1:6" s="30" customFormat="1" x14ac:dyDescent="0.25">
      <c r="A61" s="97"/>
      <c r="B61" s="97"/>
    </row>
    <row r="62" spans="1:6" s="30" customFormat="1" x14ac:dyDescent="0.25">
      <c r="A62" s="97"/>
      <c r="B62" s="97"/>
    </row>
    <row r="63" spans="1:6" s="30" customFormat="1" x14ac:dyDescent="0.25">
      <c r="A63" s="97"/>
      <c r="B63" s="97"/>
    </row>
    <row r="64" spans="1:6" s="30" customFormat="1" x14ac:dyDescent="0.25">
      <c r="A64" s="97"/>
      <c r="B64" s="97"/>
    </row>
    <row r="65" spans="1:2" s="30" customFormat="1" x14ac:dyDescent="0.25">
      <c r="A65" s="97"/>
      <c r="B65" s="97"/>
    </row>
    <row r="66" spans="1:2" s="30" customFormat="1" x14ac:dyDescent="0.25">
      <c r="A66" s="97"/>
      <c r="B66" s="97"/>
    </row>
    <row r="67" spans="1:2" s="30" customFormat="1" x14ac:dyDescent="0.25">
      <c r="A67" s="97"/>
      <c r="B67" s="97"/>
    </row>
    <row r="68" spans="1:2" s="30" customFormat="1" x14ac:dyDescent="0.25">
      <c r="A68" s="97"/>
      <c r="B68" s="97"/>
    </row>
    <row r="69" spans="1:2" s="30" customFormat="1" x14ac:dyDescent="0.25">
      <c r="A69" s="97"/>
      <c r="B69" s="97"/>
    </row>
    <row r="70" spans="1:2" s="30" customFormat="1" x14ac:dyDescent="0.25">
      <c r="A70" s="97"/>
      <c r="B70" s="97"/>
    </row>
    <row r="71" spans="1:2" s="30" customFormat="1" x14ac:dyDescent="0.25">
      <c r="A71" s="97"/>
      <c r="B71" s="97"/>
    </row>
    <row r="72" spans="1:2" s="30" customFormat="1" x14ac:dyDescent="0.25">
      <c r="A72" s="97"/>
      <c r="B72" s="97"/>
    </row>
    <row r="73" spans="1:2" s="30" customFormat="1" x14ac:dyDescent="0.25">
      <c r="A73" s="97"/>
      <c r="B73" s="97"/>
    </row>
    <row r="74" spans="1:2" s="30" customFormat="1" x14ac:dyDescent="0.25">
      <c r="A74" s="97"/>
      <c r="B74" s="97"/>
    </row>
    <row r="75" spans="1:2" s="30" customFormat="1" x14ac:dyDescent="0.25">
      <c r="A75" s="97"/>
      <c r="B75" s="97"/>
    </row>
    <row r="76" spans="1:2" s="30" customFormat="1" x14ac:dyDescent="0.25">
      <c r="A76" s="97"/>
      <c r="B76" s="97"/>
    </row>
    <row r="77" spans="1:2" s="30" customFormat="1" x14ac:dyDescent="0.25">
      <c r="A77" s="97"/>
      <c r="B77" s="97"/>
    </row>
    <row r="78" spans="1:2" s="30" customFormat="1" x14ac:dyDescent="0.25">
      <c r="A78" s="97"/>
      <c r="B78" s="97"/>
    </row>
    <row r="79" spans="1:2" s="30" customFormat="1" x14ac:dyDescent="0.25">
      <c r="A79" s="97"/>
      <c r="B79" s="97"/>
    </row>
    <row r="80" spans="1:2" s="30" customFormat="1" x14ac:dyDescent="0.25">
      <c r="A80" s="97"/>
      <c r="B80" s="97"/>
    </row>
    <row r="81" spans="1:2" s="30" customFormat="1" x14ac:dyDescent="0.25">
      <c r="A81" s="97"/>
      <c r="B81" s="97"/>
    </row>
    <row r="82" spans="1:2" s="30" customFormat="1" x14ac:dyDescent="0.25">
      <c r="A82" s="97"/>
      <c r="B82" s="97"/>
    </row>
    <row r="83" spans="1:2" s="30" customFormat="1" x14ac:dyDescent="0.25">
      <c r="A83" s="97"/>
      <c r="B83" s="97"/>
    </row>
    <row r="84" spans="1:2" s="30" customFormat="1" x14ac:dyDescent="0.25">
      <c r="A84" s="97"/>
      <c r="B84" s="97"/>
    </row>
    <row r="85" spans="1:2" s="30" customFormat="1" x14ac:dyDescent="0.25">
      <c r="A85" s="97"/>
      <c r="B85" s="97"/>
    </row>
    <row r="86" spans="1:2" s="30" customFormat="1" x14ac:dyDescent="0.25">
      <c r="A86" s="97"/>
      <c r="B86" s="97"/>
    </row>
    <row r="87" spans="1:2" s="30" customFormat="1" x14ac:dyDescent="0.25">
      <c r="A87" s="97"/>
      <c r="B87" s="97"/>
    </row>
    <row r="88" spans="1:2" s="30" customFormat="1" x14ac:dyDescent="0.25">
      <c r="A88" s="97"/>
      <c r="B88" s="97"/>
    </row>
    <row r="89" spans="1:2" s="30" customFormat="1" x14ac:dyDescent="0.25">
      <c r="A89" s="97"/>
      <c r="B89" s="97"/>
    </row>
    <row r="90" spans="1:2" s="30" customFormat="1" x14ac:dyDescent="0.25">
      <c r="A90" s="97"/>
      <c r="B90" s="97"/>
    </row>
    <row r="91" spans="1:2" s="30" customFormat="1" x14ac:dyDescent="0.25">
      <c r="A91" s="97"/>
      <c r="B91" s="97"/>
    </row>
    <row r="92" spans="1:2" s="30" customFormat="1" x14ac:dyDescent="0.25">
      <c r="A92" s="97"/>
      <c r="B92" s="97"/>
    </row>
    <row r="93" spans="1:2" s="30" customFormat="1" x14ac:dyDescent="0.25">
      <c r="A93" s="97"/>
      <c r="B93" s="97"/>
    </row>
    <row r="94" spans="1:2" s="30" customFormat="1" x14ac:dyDescent="0.25">
      <c r="A94" s="97"/>
      <c r="B94" s="97"/>
    </row>
    <row r="95" spans="1:2" s="30" customFormat="1" x14ac:dyDescent="0.25">
      <c r="A95" s="97"/>
      <c r="B95" s="97"/>
    </row>
    <row r="96" spans="1:2" s="30" customFormat="1" x14ac:dyDescent="0.25">
      <c r="A96" s="97"/>
      <c r="B96" s="97"/>
    </row>
    <row r="97" spans="1:2" s="30" customFormat="1" x14ac:dyDescent="0.25">
      <c r="A97" s="97"/>
      <c r="B97" s="97"/>
    </row>
    <row r="98" spans="1:2" s="30" customFormat="1" x14ac:dyDescent="0.25">
      <c r="A98" s="97"/>
      <c r="B98" s="97"/>
    </row>
    <row r="99" spans="1:2" s="30" customFormat="1" x14ac:dyDescent="0.25">
      <c r="A99" s="97"/>
      <c r="B99" s="97"/>
    </row>
    <row r="100" spans="1:2" s="30" customFormat="1" x14ac:dyDescent="0.25">
      <c r="A100" s="97"/>
      <c r="B100" s="97"/>
    </row>
    <row r="101" spans="1:2" s="30" customFormat="1" x14ac:dyDescent="0.25">
      <c r="A101" s="97"/>
      <c r="B101" s="97"/>
    </row>
    <row r="102" spans="1:2" s="30" customFormat="1" x14ac:dyDescent="0.25">
      <c r="A102" s="97"/>
      <c r="B102" s="97"/>
    </row>
    <row r="103" spans="1:2" s="30" customFormat="1" x14ac:dyDescent="0.25">
      <c r="A103" s="97"/>
      <c r="B103" s="97"/>
    </row>
    <row r="104" spans="1:2" s="30" customFormat="1" x14ac:dyDescent="0.25">
      <c r="A104" s="97"/>
      <c r="B104" s="97"/>
    </row>
    <row r="105" spans="1:2" s="30" customFormat="1" x14ac:dyDescent="0.25">
      <c r="A105" s="97"/>
      <c r="B105" s="97"/>
    </row>
    <row r="106" spans="1:2" s="30" customFormat="1" x14ac:dyDescent="0.25">
      <c r="A106" s="97"/>
      <c r="B106" s="97"/>
    </row>
    <row r="107" spans="1:2" s="30" customFormat="1" x14ac:dyDescent="0.25">
      <c r="A107" s="97"/>
      <c r="B107" s="97"/>
    </row>
    <row r="108" spans="1:2" s="30" customFormat="1" x14ac:dyDescent="0.25">
      <c r="A108" s="97"/>
      <c r="B108" s="97"/>
    </row>
    <row r="109" spans="1:2" s="30" customFormat="1" x14ac:dyDescent="0.25">
      <c r="A109" s="97"/>
      <c r="B109" s="97"/>
    </row>
    <row r="110" spans="1:2" s="30" customFormat="1" x14ac:dyDescent="0.25">
      <c r="A110" s="97"/>
      <c r="B110" s="97"/>
    </row>
    <row r="111" spans="1:2" s="30" customFormat="1" x14ac:dyDescent="0.25">
      <c r="A111" s="97"/>
      <c r="B111" s="97"/>
    </row>
    <row r="112" spans="1:2" s="30" customFormat="1" x14ac:dyDescent="0.25">
      <c r="A112" s="97"/>
      <c r="B112" s="97"/>
    </row>
    <row r="113" spans="1:2" s="30" customFormat="1" x14ac:dyDescent="0.25">
      <c r="A113" s="97"/>
      <c r="B113" s="97"/>
    </row>
    <row r="114" spans="1:2" s="30" customFormat="1" x14ac:dyDescent="0.25">
      <c r="A114" s="97"/>
      <c r="B114" s="97"/>
    </row>
    <row r="115" spans="1:2" s="30" customFormat="1" x14ac:dyDescent="0.25">
      <c r="A115" s="97"/>
      <c r="B115" s="97"/>
    </row>
    <row r="116" spans="1:2" s="30" customFormat="1" x14ac:dyDescent="0.25">
      <c r="A116" s="97"/>
      <c r="B116" s="97"/>
    </row>
    <row r="117" spans="1:2" s="30" customFormat="1" x14ac:dyDescent="0.25">
      <c r="A117" s="97"/>
      <c r="B117" s="97"/>
    </row>
    <row r="118" spans="1:2" s="30" customFormat="1" x14ac:dyDescent="0.25">
      <c r="A118" s="97"/>
      <c r="B118" s="97"/>
    </row>
    <row r="119" spans="1:2" s="30" customFormat="1" x14ac:dyDescent="0.25">
      <c r="A119" s="97"/>
      <c r="B119" s="97"/>
    </row>
    <row r="120" spans="1:2" s="30" customFormat="1" x14ac:dyDescent="0.25">
      <c r="A120" s="97"/>
      <c r="B120" s="97"/>
    </row>
    <row r="121" spans="1:2" s="30" customFormat="1" x14ac:dyDescent="0.25">
      <c r="A121" s="97"/>
      <c r="B121" s="97"/>
    </row>
    <row r="122" spans="1:2" s="30" customFormat="1" x14ac:dyDescent="0.25">
      <c r="A122" s="97"/>
      <c r="B122" s="97"/>
    </row>
    <row r="123" spans="1:2" s="30" customFormat="1" x14ac:dyDescent="0.25">
      <c r="A123" s="97"/>
      <c r="B123" s="97"/>
    </row>
    <row r="124" spans="1:2" s="30" customFormat="1" x14ac:dyDescent="0.25">
      <c r="A124" s="97"/>
      <c r="B124" s="97"/>
    </row>
    <row r="125" spans="1:2" s="30" customFormat="1" x14ac:dyDescent="0.25">
      <c r="A125" s="97"/>
      <c r="B125" s="97"/>
    </row>
    <row r="126" spans="1:2" s="30" customFormat="1" x14ac:dyDescent="0.25">
      <c r="A126" s="97"/>
      <c r="B126" s="97"/>
    </row>
    <row r="127" spans="1:2" s="30" customFormat="1" x14ac:dyDescent="0.25">
      <c r="A127" s="97"/>
      <c r="B127" s="97"/>
    </row>
    <row r="128" spans="1:2" s="30" customFormat="1" x14ac:dyDescent="0.25">
      <c r="A128" s="97"/>
      <c r="B128" s="97"/>
    </row>
    <row r="129" spans="1:2" s="30" customFormat="1" x14ac:dyDescent="0.25">
      <c r="A129" s="97"/>
      <c r="B129" s="97"/>
    </row>
    <row r="130" spans="1:2" s="30" customFormat="1" x14ac:dyDescent="0.25">
      <c r="A130" s="97"/>
      <c r="B130" s="97"/>
    </row>
    <row r="131" spans="1:2" s="30" customFormat="1" x14ac:dyDescent="0.25">
      <c r="A131" s="97"/>
      <c r="B131" s="97"/>
    </row>
    <row r="132" spans="1:2" s="30" customFormat="1" x14ac:dyDescent="0.25">
      <c r="A132" s="97"/>
      <c r="B132" s="97"/>
    </row>
    <row r="133" spans="1:2" s="30" customFormat="1" x14ac:dyDescent="0.25">
      <c r="A133" s="97"/>
      <c r="B133" s="97"/>
    </row>
    <row r="134" spans="1:2" s="30" customFormat="1" x14ac:dyDescent="0.25">
      <c r="A134" s="97"/>
      <c r="B134" s="97"/>
    </row>
    <row r="135" spans="1:2" s="30" customFormat="1" x14ac:dyDescent="0.25">
      <c r="A135" s="97"/>
      <c r="B135" s="97"/>
    </row>
    <row r="136" spans="1:2" s="30" customFormat="1" x14ac:dyDescent="0.25">
      <c r="A136" s="97"/>
      <c r="B136" s="97"/>
    </row>
    <row r="137" spans="1:2" s="30" customFormat="1" x14ac:dyDescent="0.25">
      <c r="A137" s="97"/>
      <c r="B137" s="97"/>
    </row>
    <row r="138" spans="1:2" s="30" customFormat="1" x14ac:dyDescent="0.25">
      <c r="A138" s="97"/>
      <c r="B138" s="97"/>
    </row>
    <row r="139" spans="1:2" s="30" customFormat="1" x14ac:dyDescent="0.25">
      <c r="A139" s="97"/>
      <c r="B139" s="97"/>
    </row>
    <row r="140" spans="1:2" s="30" customFormat="1" x14ac:dyDescent="0.25">
      <c r="A140" s="97"/>
      <c r="B140" s="97"/>
    </row>
    <row r="141" spans="1:2" s="30" customFormat="1" x14ac:dyDescent="0.25">
      <c r="A141" s="97"/>
      <c r="B141" s="97"/>
    </row>
    <row r="142" spans="1:2" s="30" customFormat="1" x14ac:dyDescent="0.25">
      <c r="A142" s="97"/>
      <c r="B142" s="97"/>
    </row>
    <row r="143" spans="1:2" s="30" customFormat="1" x14ac:dyDescent="0.25">
      <c r="A143" s="97"/>
      <c r="B143" s="97"/>
    </row>
    <row r="144" spans="1:2" s="30" customFormat="1" x14ac:dyDescent="0.25">
      <c r="A144" s="97"/>
      <c r="B144" s="97"/>
    </row>
    <row r="145" spans="1:2" s="30" customFormat="1" x14ac:dyDescent="0.25">
      <c r="A145" s="97"/>
      <c r="B145" s="97"/>
    </row>
    <row r="146" spans="1:2" s="30" customFormat="1" x14ac:dyDescent="0.25">
      <c r="A146" s="97"/>
      <c r="B146" s="97"/>
    </row>
    <row r="147" spans="1:2" s="30" customFormat="1" x14ac:dyDescent="0.25">
      <c r="A147" s="97"/>
      <c r="B147" s="97"/>
    </row>
    <row r="148" spans="1:2" s="30" customFormat="1" x14ac:dyDescent="0.25">
      <c r="A148" s="97"/>
      <c r="B148" s="97"/>
    </row>
    <row r="149" spans="1:2" s="30" customFormat="1" x14ac:dyDescent="0.25">
      <c r="A149" s="97"/>
      <c r="B149" s="97"/>
    </row>
    <row r="150" spans="1:2" s="30" customFormat="1" x14ac:dyDescent="0.25">
      <c r="A150" s="18"/>
      <c r="B150" s="18"/>
    </row>
    <row r="151" spans="1:2" s="30" customFormat="1" x14ac:dyDescent="0.25">
      <c r="A151" s="18"/>
      <c r="B151" s="18"/>
    </row>
    <row r="152" spans="1:2" s="30" customFormat="1"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170" spans="1:2" x14ac:dyDescent="0.25">
      <c r="A170" s="18"/>
      <c r="B170" s="18"/>
    </row>
    <row r="171" spans="1:2" x14ac:dyDescent="0.25">
      <c r="A171" s="18"/>
      <c r="B171" s="18"/>
    </row>
    <row r="172" spans="1:2" x14ac:dyDescent="0.25">
      <c r="A172" s="18"/>
      <c r="B172" s="18"/>
    </row>
    <row r="173" spans="1:2" x14ac:dyDescent="0.25">
      <c r="A173" s="18"/>
      <c r="B173" s="18"/>
    </row>
    <row r="174" spans="1:2" x14ac:dyDescent="0.25">
      <c r="A174" s="18"/>
      <c r="B174" s="18"/>
    </row>
    <row r="175" spans="1:2" x14ac:dyDescent="0.25">
      <c r="A175" s="18"/>
      <c r="B175" s="18"/>
    </row>
    <row r="176" spans="1:2" x14ac:dyDescent="0.25">
      <c r="A176" s="18"/>
      <c r="B176" s="18"/>
    </row>
    <row r="177" spans="1:2" x14ac:dyDescent="0.25">
      <c r="A177" s="18"/>
      <c r="B177" s="18"/>
    </row>
    <row r="178" spans="1:2" x14ac:dyDescent="0.25">
      <c r="A178" s="18"/>
      <c r="B178" s="18"/>
    </row>
    <row r="179" spans="1:2" x14ac:dyDescent="0.25">
      <c r="A179" s="18"/>
      <c r="B179" s="18"/>
    </row>
    <row r="180" spans="1:2" x14ac:dyDescent="0.25">
      <c r="A180" s="18"/>
      <c r="B180" s="18"/>
    </row>
    <row r="181" spans="1:2" x14ac:dyDescent="0.25">
      <c r="A181" s="18"/>
      <c r="B181" s="18"/>
    </row>
    <row r="182" spans="1:2" x14ac:dyDescent="0.25">
      <c r="A182" s="18"/>
      <c r="B182" s="18"/>
    </row>
    <row r="183" spans="1:2" x14ac:dyDescent="0.25">
      <c r="A183" s="18"/>
      <c r="B183" s="18"/>
    </row>
    <row r="184" spans="1:2" x14ac:dyDescent="0.25">
      <c r="A184" s="18"/>
      <c r="B184" s="18"/>
    </row>
    <row r="185" spans="1:2" x14ac:dyDescent="0.25">
      <c r="A185" s="18"/>
      <c r="B185" s="18"/>
    </row>
    <row r="186" spans="1:2" x14ac:dyDescent="0.25">
      <c r="A186" s="18"/>
      <c r="B186" s="18"/>
    </row>
    <row r="187" spans="1:2" x14ac:dyDescent="0.25">
      <c r="A187" s="18"/>
      <c r="B187" s="18"/>
    </row>
    <row r="188" spans="1:2" x14ac:dyDescent="0.25">
      <c r="A188" s="18"/>
      <c r="B188" s="18"/>
    </row>
    <row r="189" spans="1:2" x14ac:dyDescent="0.25">
      <c r="A189" s="18"/>
      <c r="B189" s="18"/>
    </row>
    <row r="190" spans="1:2" x14ac:dyDescent="0.25">
      <c r="A190" s="18"/>
      <c r="B190" s="18"/>
    </row>
    <row r="191" spans="1:2" x14ac:dyDescent="0.25">
      <c r="A191" s="18"/>
      <c r="B191" s="18"/>
    </row>
    <row r="192" spans="1:2" x14ac:dyDescent="0.25">
      <c r="A192" s="18"/>
      <c r="B192" s="18"/>
    </row>
    <row r="193" spans="1:2" x14ac:dyDescent="0.25">
      <c r="A193" s="18"/>
      <c r="B193" s="18"/>
    </row>
    <row r="194" spans="1:2" x14ac:dyDescent="0.25">
      <c r="A194" s="18"/>
      <c r="B194" s="18"/>
    </row>
    <row r="195" spans="1:2" x14ac:dyDescent="0.25">
      <c r="A195" s="18"/>
      <c r="B195" s="18"/>
    </row>
    <row r="196" spans="1:2" x14ac:dyDescent="0.25">
      <c r="A196" s="18"/>
      <c r="B196" s="18"/>
    </row>
    <row r="197" spans="1:2" x14ac:dyDescent="0.25">
      <c r="A197" s="18"/>
      <c r="B197" s="18"/>
    </row>
    <row r="198" spans="1:2" x14ac:dyDescent="0.25">
      <c r="A198" s="18"/>
      <c r="B198" s="18"/>
    </row>
    <row r="199" spans="1:2" x14ac:dyDescent="0.25">
      <c r="A199" s="18"/>
      <c r="B199" s="18"/>
    </row>
    <row r="200" spans="1:2" x14ac:dyDescent="0.25">
      <c r="A200" s="18"/>
      <c r="B200" s="18"/>
    </row>
    <row r="201" spans="1:2" x14ac:dyDescent="0.25">
      <c r="A201" s="18"/>
      <c r="B201" s="18"/>
    </row>
    <row r="202" spans="1:2" x14ac:dyDescent="0.25">
      <c r="A202" s="18"/>
      <c r="B202" s="18"/>
    </row>
    <row r="203" spans="1:2" x14ac:dyDescent="0.25">
      <c r="A203" s="18"/>
      <c r="B203" s="18"/>
    </row>
    <row r="204" spans="1:2" x14ac:dyDescent="0.25">
      <c r="A204" s="18"/>
      <c r="B204" s="18"/>
    </row>
    <row r="205" spans="1:2" x14ac:dyDescent="0.25">
      <c r="A205" s="18"/>
      <c r="B205" s="18"/>
    </row>
    <row r="206" spans="1:2" x14ac:dyDescent="0.25">
      <c r="A206" s="18"/>
      <c r="B206" s="18"/>
    </row>
    <row r="207" spans="1:2" x14ac:dyDescent="0.25">
      <c r="A207" s="18"/>
      <c r="B207" s="18"/>
    </row>
    <row r="208" spans="1:2" x14ac:dyDescent="0.25">
      <c r="A208" s="18"/>
      <c r="B208" s="18"/>
    </row>
    <row r="209" spans="1:2" x14ac:dyDescent="0.25">
      <c r="A209" s="18"/>
      <c r="B209" s="18"/>
    </row>
    <row r="289" spans="35:35" x14ac:dyDescent="0.25">
      <c r="AI289" t="s">
        <v>59</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27"/>
  <sheetViews>
    <sheetView tabSelected="1" view="pageBreakPreview" zoomScale="70" zoomScaleNormal="100" zoomScaleSheetLayoutView="70" workbookViewId="0">
      <selection activeCell="P13" sqref="P13"/>
    </sheetView>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t="s">
        <v>110</v>
      </c>
      <c r="C1" s="38">
        <v>1</v>
      </c>
      <c r="J1" s="19"/>
      <c r="O1" s="20" t="s">
        <v>27</v>
      </c>
      <c r="P1" s="30">
        <v>10</v>
      </c>
      <c r="Q1" s="30">
        <v>20</v>
      </c>
      <c r="S1" s="30" t="s">
        <v>51</v>
      </c>
      <c r="X1" s="30" t="s">
        <v>54</v>
      </c>
      <c r="AA1"/>
      <c r="AB1"/>
      <c r="AC1"/>
      <c r="AD1"/>
      <c r="AE1"/>
      <c r="AG1" s="30" t="s">
        <v>36</v>
      </c>
    </row>
    <row r="2" spans="1:56" ht="18.75" x14ac:dyDescent="0.3">
      <c r="A2" s="1" t="str">
        <f>A1</f>
        <v>bCad-teh2</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D3" s="3" t="s">
        <v>97</v>
      </c>
      <c r="AE3" s="3" t="s">
        <v>106</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AD4" s="18"/>
      <c r="AE4" s="18"/>
      <c r="BB4" s="30" t="s">
        <v>88</v>
      </c>
      <c r="BC4" s="30">
        <v>1</v>
      </c>
      <c r="BD4" s="30">
        <v>145</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AD5" s="18"/>
      <c r="AE5" s="18"/>
      <c r="BB5" s="30" t="s">
        <v>94</v>
      </c>
      <c r="BC5" s="30">
        <v>1</v>
      </c>
      <c r="BD5" s="30">
        <v>156</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18"/>
      <c r="Y6" s="18"/>
      <c r="Z6" s="18"/>
      <c r="AA6" s="18"/>
      <c r="AB6" s="18"/>
      <c r="AC6" s="18"/>
      <c r="AD6" s="18"/>
      <c r="AE6" s="18"/>
      <c r="BB6" s="30" t="s">
        <v>89</v>
      </c>
      <c r="BC6" s="30">
        <v>1</v>
      </c>
      <c r="BD6" s="30">
        <v>121</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AD7" s="18"/>
      <c r="AE7" s="18"/>
      <c r="BB7" s="30" t="s">
        <v>95</v>
      </c>
      <c r="BC7" s="30">
        <v>1</v>
      </c>
      <c r="BD7" s="30">
        <v>75</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18"/>
      <c r="Y8" s="18"/>
      <c r="Z8" s="18"/>
      <c r="AA8" s="18"/>
      <c r="AB8" s="18"/>
      <c r="AC8" s="18"/>
      <c r="AD8" s="18"/>
      <c r="AE8" s="18"/>
      <c r="BB8" s="30" t="s">
        <v>96</v>
      </c>
      <c r="BC8" s="30">
        <v>1</v>
      </c>
      <c r="BD8" s="30">
        <v>153</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AD9" s="18"/>
      <c r="AE9" s="18"/>
      <c r="BB9" s="30" t="s">
        <v>93</v>
      </c>
      <c r="BC9" s="30">
        <v>1</v>
      </c>
      <c r="BD9" s="30">
        <v>149</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c r="AD10" s="18"/>
      <c r="AE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c r="AD11" s="18"/>
      <c r="AE11" s="18"/>
    </row>
    <row r="12" spans="1:56"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30" t="str">
        <f t="shared" si="9"/>
        <v/>
      </c>
      <c r="O12" s="22"/>
      <c r="P12" s="18"/>
      <c r="Q12" s="18"/>
      <c r="R12" s="18"/>
      <c r="S12" s="18"/>
      <c r="T12" s="3"/>
      <c r="U12" s="3"/>
      <c r="V12" s="23"/>
      <c r="W12" s="23"/>
      <c r="X12" s="26"/>
      <c r="Y12" s="18"/>
      <c r="Z12" s="18"/>
      <c r="AA12" s="18"/>
      <c r="AB12" s="18"/>
      <c r="AC12" s="18"/>
      <c r="AD12" s="18"/>
      <c r="AE12" s="18"/>
    </row>
    <row r="13" spans="1:56"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30" t="str">
        <f t="shared" si="9"/>
        <v/>
      </c>
      <c r="O13" s="22"/>
      <c r="P13" s="18"/>
      <c r="Q13" s="18"/>
      <c r="R13" s="18"/>
      <c r="S13" s="18"/>
      <c r="T13" s="3"/>
      <c r="U13" s="3"/>
      <c r="V13" s="23"/>
      <c r="W13" s="23"/>
      <c r="X13" s="26"/>
      <c r="Y13" s="18"/>
      <c r="Z13" s="18"/>
      <c r="AA13" s="18"/>
      <c r="AB13" s="18"/>
      <c r="AC13" s="18"/>
      <c r="AD13" s="18"/>
      <c r="AE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9" x14ac:dyDescent="0.25">
      <c r="A17" s="30" t="s">
        <v>32</v>
      </c>
      <c r="B17" s="13"/>
      <c r="C17" s="42"/>
      <c r="D17" s="42"/>
      <c r="E17" s="33"/>
      <c r="F17" s="33"/>
      <c r="G17" s="42"/>
      <c r="H17" s="42"/>
      <c r="I17" s="25"/>
      <c r="J17" s="37"/>
      <c r="K17" s="13"/>
      <c r="L17" s="13"/>
      <c r="M17" s="36"/>
      <c r="O17" s="24"/>
      <c r="V17" s="17"/>
      <c r="W17" s="17"/>
    </row>
    <row r="18" spans="1:29" x14ac:dyDescent="0.25">
      <c r="A18" s="13" t="s">
        <v>33</v>
      </c>
    </row>
    <row r="19" spans="1:29" x14ac:dyDescent="0.25">
      <c r="A19" s="13" t="s">
        <v>16</v>
      </c>
    </row>
    <row r="20" spans="1:29" x14ac:dyDescent="0.25">
      <c r="A20" s="13" t="s">
        <v>28</v>
      </c>
    </row>
    <row r="21" spans="1:29" x14ac:dyDescent="0.25">
      <c r="A21" s="13"/>
    </row>
    <row r="22" spans="1:29" ht="18.75" x14ac:dyDescent="0.3">
      <c r="A22" s="1" t="str">
        <f>CONCATENATE(A2, ". Соответствие кромки и ДСП")</f>
        <v>bCad-teh2. Соответствие кромки и ДСП</v>
      </c>
      <c r="N22" s="30" t="s">
        <v>35</v>
      </c>
    </row>
    <row r="23" spans="1:29" x14ac:dyDescent="0.25">
      <c r="A23" s="3" t="s">
        <v>6</v>
      </c>
      <c r="B23" s="4" t="s">
        <v>14</v>
      </c>
      <c r="C23" s="40"/>
      <c r="D23" s="60"/>
      <c r="E23" s="61"/>
      <c r="F23" s="5"/>
      <c r="G23" s="44"/>
      <c r="H23" s="57" t="s">
        <v>31</v>
      </c>
      <c r="I23" s="58" t="s">
        <v>30</v>
      </c>
      <c r="J23" s="3" t="s">
        <v>13</v>
      </c>
      <c r="K23" s="3" t="s">
        <v>52</v>
      </c>
      <c r="L23" s="55"/>
      <c r="M23" s="56"/>
    </row>
    <row r="24" spans="1:29" x14ac:dyDescent="0.25">
      <c r="A24" s="3"/>
      <c r="B24" s="4"/>
      <c r="C24" s="46"/>
      <c r="D24" s="62"/>
      <c r="E24" s="63"/>
      <c r="F24" s="5"/>
      <c r="G24" s="43"/>
      <c r="H24" s="59"/>
      <c r="I24" s="18"/>
      <c r="J24" s="3"/>
      <c r="K24" s="3"/>
      <c r="L24" s="55"/>
      <c r="M24" s="56"/>
    </row>
    <row r="25" spans="1:29" x14ac:dyDescent="0.25">
      <c r="A25" s="3"/>
      <c r="B25" s="4"/>
      <c r="C25" s="46"/>
      <c r="D25" s="62"/>
      <c r="E25" s="63"/>
      <c r="F25" s="5"/>
      <c r="G25" s="43"/>
      <c r="H25" s="59"/>
      <c r="I25" s="18"/>
      <c r="J25" s="80"/>
      <c r="K25" s="3"/>
      <c r="L25" s="55"/>
      <c r="M25" s="56"/>
    </row>
    <row r="26" spans="1:29" ht="18.75" x14ac:dyDescent="0.3">
      <c r="A26" s="1" t="str">
        <f>CONCATENATE(A2, ". Стекло")</f>
        <v>bCad-teh2. Стекло</v>
      </c>
    </row>
    <row r="27" spans="1:29" x14ac:dyDescent="0.25">
      <c r="A27" s="3" t="s">
        <v>6</v>
      </c>
      <c r="B27" s="4" t="s">
        <v>5</v>
      </c>
      <c r="C27" s="39" t="s">
        <v>9</v>
      </c>
      <c r="D27" s="40" t="s">
        <v>11</v>
      </c>
      <c r="E27" s="6" t="s">
        <v>1</v>
      </c>
      <c r="F27" s="7" t="s">
        <v>0</v>
      </c>
      <c r="G27" s="40" t="s">
        <v>10</v>
      </c>
      <c r="H27" s="44" t="s">
        <v>12</v>
      </c>
      <c r="I27" s="8" t="s">
        <v>2</v>
      </c>
      <c r="J27" s="3" t="s">
        <v>3</v>
      </c>
      <c r="K27" s="4"/>
      <c r="L27" s="4"/>
      <c r="M27" s="3" t="s">
        <v>4</v>
      </c>
    </row>
    <row r="28" spans="1:29" x14ac:dyDescent="0.25">
      <c r="A28" s="9"/>
      <c r="B28" s="32"/>
      <c r="C28" s="41"/>
      <c r="D28" s="41"/>
      <c r="E28" s="14"/>
      <c r="F28" s="14"/>
      <c r="G28" s="41"/>
      <c r="H28" s="41"/>
      <c r="I28" s="10"/>
      <c r="J28" s="11"/>
      <c r="K28" s="32"/>
      <c r="L28" s="32"/>
      <c r="M28" s="28"/>
      <c r="O28" s="22"/>
      <c r="P28" s="18"/>
      <c r="Q28" s="18"/>
      <c r="R28" s="18"/>
      <c r="S28" s="18"/>
      <c r="T28" s="3"/>
      <c r="U28" s="3"/>
      <c r="V28" s="23"/>
      <c r="W28" s="23"/>
      <c r="X28" s="18"/>
      <c r="Y28" s="18"/>
      <c r="Z28" s="18"/>
      <c r="AA28" s="18"/>
      <c r="AB28" s="18"/>
      <c r="AC28" s="18"/>
    </row>
    <row r="29" spans="1:29" x14ac:dyDescent="0.25">
      <c r="A29" s="9"/>
      <c r="B29" s="32"/>
      <c r="C29" s="41"/>
      <c r="D29" s="41"/>
      <c r="E29" s="14"/>
      <c r="F29" s="14"/>
      <c r="G29" s="41"/>
      <c r="H29" s="41"/>
      <c r="I29" s="10"/>
      <c r="J29" s="11"/>
      <c r="K29" s="32"/>
      <c r="L29" s="32"/>
      <c r="M29" s="28"/>
      <c r="O29" s="22"/>
      <c r="P29" s="18"/>
      <c r="Q29" s="18"/>
      <c r="R29" s="18"/>
      <c r="S29" s="18"/>
      <c r="T29" s="3"/>
      <c r="U29" s="3"/>
      <c r="V29" s="23"/>
      <c r="W29" s="23"/>
      <c r="X29" s="18"/>
      <c r="Y29" s="18"/>
      <c r="Z29" s="18"/>
      <c r="AA29" s="18"/>
      <c r="AB29" s="18"/>
      <c r="AC29" s="18"/>
    </row>
    <row r="30" spans="1:29" x14ac:dyDescent="0.25">
      <c r="A30" s="9"/>
      <c r="B30" s="32"/>
      <c r="C30" s="41"/>
      <c r="D30" s="41"/>
      <c r="E30" s="14"/>
      <c r="F30" s="14"/>
      <c r="G30" s="41"/>
      <c r="H30" s="41"/>
      <c r="I30" s="10"/>
      <c r="J30" s="11"/>
      <c r="K30" s="32"/>
      <c r="L30" s="32"/>
      <c r="M30" s="28"/>
      <c r="O30" s="22"/>
      <c r="P30" s="18"/>
      <c r="Q30" s="18"/>
      <c r="R30" s="18"/>
      <c r="S30" s="18"/>
      <c r="T30" s="3"/>
      <c r="U30" s="3"/>
      <c r="V30" s="23"/>
      <c r="W30" s="23"/>
      <c r="X30" s="18"/>
      <c r="Y30" s="18"/>
      <c r="Z30" s="18"/>
      <c r="AA30" s="18"/>
      <c r="AB30" s="18"/>
      <c r="AC30" s="18"/>
    </row>
    <row r="31" spans="1:29" x14ac:dyDescent="0.25">
      <c r="A31" s="9"/>
      <c r="B31" s="32"/>
      <c r="C31" s="41"/>
      <c r="D31" s="41"/>
      <c r="E31" s="14"/>
      <c r="F31" s="14"/>
      <c r="G31" s="41"/>
      <c r="H31" s="41"/>
      <c r="I31" s="10"/>
      <c r="J31" s="11"/>
      <c r="K31" s="32"/>
      <c r="L31" s="32"/>
      <c r="M31" s="28"/>
      <c r="O31" s="22"/>
      <c r="P31" s="18"/>
      <c r="Q31" s="18"/>
      <c r="R31" s="18"/>
      <c r="S31" s="18"/>
      <c r="T31" s="3"/>
      <c r="U31" s="3"/>
      <c r="V31" s="23"/>
      <c r="W31" s="23"/>
      <c r="X31" s="18"/>
      <c r="Y31" s="18"/>
      <c r="Z31" s="18"/>
      <c r="AA31" s="18"/>
      <c r="AB31" s="18"/>
      <c r="AC31" s="18"/>
    </row>
    <row r="32" spans="1:29" x14ac:dyDescent="0.25">
      <c r="A32" s="9"/>
      <c r="B32" s="32"/>
      <c r="C32" s="41"/>
      <c r="D32" s="41"/>
      <c r="E32" s="14"/>
      <c r="F32" s="14"/>
      <c r="G32" s="41"/>
      <c r="H32" s="41"/>
      <c r="I32" s="10"/>
      <c r="J32" s="11"/>
      <c r="K32" s="32"/>
      <c r="L32" s="32"/>
      <c r="M32" s="28"/>
      <c r="O32" s="22"/>
      <c r="P32" s="18"/>
      <c r="Q32" s="18"/>
      <c r="R32" s="18"/>
      <c r="S32" s="18"/>
      <c r="T32" s="3"/>
      <c r="U32" s="3"/>
      <c r="V32" s="23"/>
      <c r="W32" s="23"/>
      <c r="X32" s="18"/>
      <c r="Y32" s="18"/>
      <c r="Z32" s="18"/>
      <c r="AA32" s="18"/>
      <c r="AB32" s="18"/>
      <c r="AC32" s="18"/>
    </row>
    <row r="33" spans="1:29" x14ac:dyDescent="0.25">
      <c r="A33" s="13"/>
      <c r="B33" s="9"/>
      <c r="C33" s="41"/>
      <c r="D33" s="41"/>
      <c r="E33" s="14"/>
      <c r="F33" s="14"/>
      <c r="G33" s="41"/>
      <c r="H33" s="45" t="s">
        <v>15</v>
      </c>
      <c r="I33" s="25">
        <f>SUM(I28:I32)</f>
        <v>0</v>
      </c>
      <c r="J33" s="11"/>
      <c r="K33" s="9"/>
      <c r="L33" s="9"/>
      <c r="M33" s="12"/>
      <c r="O33" s="24"/>
      <c r="V33" s="17"/>
      <c r="W33" s="17"/>
    </row>
    <row r="34" spans="1:29" x14ac:dyDescent="0.25">
      <c r="A34" s="16" t="s">
        <v>8</v>
      </c>
      <c r="B34" s="9"/>
      <c r="C34" s="41"/>
      <c r="D34" s="41"/>
      <c r="E34" s="14"/>
      <c r="F34" s="14"/>
      <c r="G34" s="41"/>
      <c r="H34" s="41"/>
      <c r="I34" s="10"/>
      <c r="J34" s="15"/>
      <c r="K34" s="9"/>
      <c r="L34" s="9"/>
      <c r="M34" s="12"/>
    </row>
    <row r="35" spans="1:29" x14ac:dyDescent="0.25">
      <c r="A35" s="13" t="s">
        <v>40</v>
      </c>
      <c r="B35" s="9"/>
      <c r="C35" s="41"/>
      <c r="D35" s="41"/>
      <c r="E35" s="14"/>
      <c r="F35" s="14"/>
      <c r="G35" s="41"/>
      <c r="H35" s="41"/>
      <c r="I35" s="10"/>
      <c r="J35" s="15"/>
      <c r="K35" s="9"/>
      <c r="L35" s="9"/>
      <c r="M35" s="12"/>
    </row>
    <row r="37" spans="1:29" ht="18.75" x14ac:dyDescent="0.3">
      <c r="A37" s="1" t="str">
        <f>CONCATENATE(A2, ". Пластик")</f>
        <v>bCad-teh2. Пластик</v>
      </c>
    </row>
    <row r="38" spans="1:29" x14ac:dyDescent="0.25">
      <c r="A38" s="3" t="s">
        <v>6</v>
      </c>
      <c r="B38" s="4" t="s">
        <v>5</v>
      </c>
      <c r="C38" s="39" t="s">
        <v>9</v>
      </c>
      <c r="D38" s="40" t="s">
        <v>11</v>
      </c>
      <c r="E38" s="6" t="s">
        <v>1</v>
      </c>
      <c r="F38" s="7" t="s">
        <v>0</v>
      </c>
      <c r="G38" s="40" t="s">
        <v>10</v>
      </c>
      <c r="H38" s="44" t="s">
        <v>12</v>
      </c>
      <c r="I38" s="8" t="s">
        <v>2</v>
      </c>
      <c r="J38" s="3" t="s">
        <v>3</v>
      </c>
      <c r="K38" s="4"/>
      <c r="L38" s="4"/>
      <c r="M38" s="3" t="s">
        <v>4</v>
      </c>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15"/>
      <c r="L41" s="15"/>
      <c r="M41" s="11"/>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15"/>
      <c r="L42" s="15"/>
      <c r="M42" s="11"/>
      <c r="O42" s="22"/>
      <c r="P42" s="18"/>
      <c r="Q42" s="18"/>
      <c r="R42" s="18"/>
      <c r="S42" s="18"/>
      <c r="T42" s="3"/>
      <c r="U42" s="3"/>
      <c r="V42" s="23"/>
      <c r="W42" s="23"/>
      <c r="X42" s="18"/>
      <c r="Y42" s="18"/>
      <c r="Z42" s="18"/>
      <c r="AA42" s="18"/>
      <c r="AB42" s="18"/>
      <c r="AC42" s="18"/>
    </row>
    <row r="43" spans="1:29" x14ac:dyDescent="0.25">
      <c r="A43" s="9"/>
      <c r="B43" s="32"/>
      <c r="C43" s="41"/>
      <c r="D43" s="41"/>
      <c r="E43" s="14"/>
      <c r="F43" s="14"/>
      <c r="G43" s="41"/>
      <c r="H43" s="41"/>
      <c r="I43" s="10"/>
      <c r="J43" s="11"/>
      <c r="K43" s="15"/>
      <c r="L43" s="15"/>
      <c r="M43" s="11"/>
      <c r="O43" s="22"/>
      <c r="P43" s="18"/>
      <c r="Q43" s="18"/>
      <c r="R43" s="18"/>
      <c r="S43" s="18"/>
      <c r="T43" s="3"/>
      <c r="U43" s="3"/>
      <c r="V43" s="23"/>
      <c r="W43" s="23"/>
      <c r="X43" s="18"/>
      <c r="Y43" s="18"/>
      <c r="Z43" s="18"/>
      <c r="AA43" s="18"/>
      <c r="AB43" s="18"/>
      <c r="AC43" s="18"/>
    </row>
    <row r="44" spans="1:29" x14ac:dyDescent="0.25">
      <c r="A44" s="9"/>
      <c r="B44" s="32"/>
      <c r="C44" s="41"/>
      <c r="D44" s="41"/>
      <c r="E44" s="14"/>
      <c r="F44" s="14"/>
      <c r="G44" s="41"/>
      <c r="H44" s="41"/>
      <c r="I44" s="10"/>
      <c r="J44" s="11"/>
      <c r="K44" s="15"/>
      <c r="L44" s="15"/>
      <c r="M44" s="11"/>
      <c r="O44" s="22"/>
      <c r="P44" s="18"/>
      <c r="Q44" s="18"/>
      <c r="R44" s="18"/>
      <c r="S44" s="18"/>
      <c r="T44" s="3"/>
      <c r="U44" s="3"/>
      <c r="V44" s="23"/>
      <c r="W44" s="23"/>
      <c r="X44" s="18"/>
      <c r="Y44" s="18"/>
      <c r="Z44" s="18"/>
      <c r="AA44" s="18"/>
      <c r="AB44" s="18"/>
      <c r="AC44" s="18"/>
    </row>
    <row r="45" spans="1:29" x14ac:dyDescent="0.25">
      <c r="A45" s="9"/>
      <c r="B45" s="32"/>
      <c r="C45" s="41"/>
      <c r="D45" s="41"/>
      <c r="E45" s="14"/>
      <c r="F45" s="14"/>
      <c r="G45" s="41"/>
      <c r="H45" s="41"/>
      <c r="I45" s="10"/>
      <c r="J45" s="11"/>
      <c r="K45" s="15"/>
      <c r="L45" s="15"/>
      <c r="M45" s="11"/>
      <c r="O45" s="22"/>
      <c r="P45" s="18"/>
      <c r="Q45" s="18"/>
      <c r="R45" s="18"/>
      <c r="S45" s="18"/>
      <c r="T45" s="3"/>
      <c r="U45" s="3"/>
      <c r="V45" s="23"/>
      <c r="W45" s="23"/>
      <c r="X45" s="18"/>
      <c r="Y45" s="18"/>
      <c r="Z45" s="18"/>
      <c r="AA45" s="18"/>
      <c r="AB45" s="18"/>
      <c r="AC45" s="18"/>
    </row>
    <row r="46" spans="1:29" x14ac:dyDescent="0.25">
      <c r="A46" s="9"/>
      <c r="B46" s="32"/>
      <c r="C46" s="41"/>
      <c r="D46" s="41"/>
      <c r="E46" s="14"/>
      <c r="F46" s="14"/>
      <c r="G46" s="41"/>
      <c r="H46" s="41"/>
      <c r="I46" s="10"/>
      <c r="J46" s="11"/>
      <c r="K46" s="15"/>
      <c r="L46" s="15"/>
      <c r="M46" s="11"/>
      <c r="O46" s="22"/>
      <c r="P46" s="18"/>
      <c r="Q46" s="18"/>
      <c r="R46" s="18"/>
      <c r="S46" s="18"/>
      <c r="T46" s="3"/>
      <c r="U46" s="3"/>
      <c r="V46" s="23"/>
      <c r="W46" s="23"/>
      <c r="X46" s="18"/>
      <c r="Y46" s="18"/>
      <c r="Z46" s="18"/>
      <c r="AA46" s="18"/>
      <c r="AB46" s="18"/>
      <c r="AC46" s="18"/>
    </row>
    <row r="47" spans="1:29" x14ac:dyDescent="0.25">
      <c r="A47" s="9"/>
      <c r="B47" s="32"/>
      <c r="C47" s="41"/>
      <c r="D47" s="41"/>
      <c r="E47" s="14"/>
      <c r="F47" s="14"/>
      <c r="G47" s="41"/>
      <c r="H47" s="41"/>
      <c r="I47" s="10"/>
      <c r="J47" s="11"/>
      <c r="K47" s="15"/>
      <c r="L47" s="15"/>
      <c r="M47" s="11"/>
      <c r="O47" s="22"/>
      <c r="P47" s="18"/>
      <c r="Q47" s="18"/>
      <c r="R47" s="18"/>
      <c r="S47" s="18"/>
      <c r="T47" s="3"/>
      <c r="U47" s="3"/>
      <c r="V47" s="23"/>
      <c r="W47" s="23"/>
      <c r="X47" s="18"/>
      <c r="Y47" s="18"/>
      <c r="Z47" s="18"/>
      <c r="AA47" s="18"/>
      <c r="AB47" s="18"/>
      <c r="AC47" s="18"/>
    </row>
    <row r="48" spans="1:29" x14ac:dyDescent="0.25">
      <c r="A48" s="9"/>
      <c r="B48" s="32"/>
      <c r="C48" s="41"/>
      <c r="D48" s="41"/>
      <c r="E48" s="14"/>
      <c r="F48" s="14"/>
      <c r="G48" s="41"/>
      <c r="H48" s="41"/>
      <c r="I48" s="10"/>
      <c r="J48" s="11"/>
      <c r="K48" s="15"/>
      <c r="L48" s="15"/>
      <c r="M48" s="11"/>
      <c r="O48" s="22"/>
      <c r="P48" s="18"/>
      <c r="Q48" s="18"/>
      <c r="R48" s="18"/>
      <c r="S48" s="18"/>
      <c r="T48" s="3"/>
      <c r="U48" s="3"/>
      <c r="V48" s="23"/>
      <c r="W48" s="23"/>
      <c r="X48" s="18"/>
      <c r="Y48" s="18"/>
      <c r="Z48" s="18"/>
      <c r="AA48" s="18"/>
      <c r="AB48" s="18"/>
      <c r="AC48" s="18"/>
    </row>
    <row r="49" spans="1:57" x14ac:dyDescent="0.25">
      <c r="A49" s="13"/>
      <c r="B49" s="9"/>
      <c r="C49" s="41"/>
      <c r="D49" s="41"/>
      <c r="E49" s="14"/>
      <c r="F49" s="14"/>
      <c r="G49" s="41"/>
      <c r="H49" s="45" t="s">
        <v>15</v>
      </c>
      <c r="I49" s="25">
        <f>SUM(I39:I48)</f>
        <v>0</v>
      </c>
      <c r="J49" s="11"/>
      <c r="K49" s="9"/>
      <c r="L49" s="9"/>
      <c r="M49" s="12"/>
    </row>
    <row r="50" spans="1:57" x14ac:dyDescent="0.25">
      <c r="A50" s="16" t="s">
        <v>8</v>
      </c>
      <c r="B50" s="9"/>
      <c r="C50" s="41"/>
      <c r="D50" s="41"/>
      <c r="E50" s="14"/>
      <c r="F50" s="14"/>
      <c r="G50" s="41"/>
      <c r="H50" s="41"/>
      <c r="I50" s="10"/>
      <c r="J50" s="15"/>
      <c r="K50" s="9"/>
      <c r="L50" s="9"/>
      <c r="M50" s="12"/>
    </row>
    <row r="51" spans="1:57" x14ac:dyDescent="0.25">
      <c r="A51" s="13" t="s">
        <v>40</v>
      </c>
      <c r="B51" s="9"/>
      <c r="C51" s="41"/>
      <c r="D51" s="41"/>
      <c r="E51" s="14"/>
      <c r="F51" s="14"/>
      <c r="G51" s="41"/>
      <c r="H51" s="41"/>
      <c r="I51" s="10"/>
      <c r="J51" s="15"/>
      <c r="K51" s="9"/>
      <c r="L51" s="9"/>
      <c r="M51" s="12"/>
    </row>
    <row r="56" spans="1:57" ht="18.75" x14ac:dyDescent="0.3">
      <c r="A56" s="1" t="s">
        <v>29</v>
      </c>
    </row>
    <row r="57" spans="1:57" x14ac:dyDescent="0.25">
      <c r="A57" s="30" t="s">
        <v>37</v>
      </c>
    </row>
    <row r="58" spans="1:57" x14ac:dyDescent="0.25">
      <c r="M58" s="30"/>
      <c r="T58" s="30"/>
      <c r="U58" s="30"/>
    </row>
    <row r="59" spans="1:57" x14ac:dyDescent="0.25">
      <c r="M59" s="30"/>
      <c r="T59" s="30"/>
      <c r="U59" s="30"/>
    </row>
    <row r="60" spans="1:57" x14ac:dyDescent="0.25">
      <c r="M60" s="30"/>
      <c r="T60" s="30"/>
      <c r="U60" s="30"/>
    </row>
    <row r="61" spans="1:57"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row>
    <row r="63" spans="1:57"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row>
    <row r="64" spans="1:5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row>
    <row r="65" spans="1:8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1:8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row>
    <row r="67" spans="1:8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row>
    <row r="68" spans="1:8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row>
    <row r="69" spans="1:8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row>
    <row r="70" spans="1:8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1:8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sheetData>
  <sortState xmlns:xlrd2="http://schemas.microsoft.com/office/spreadsheetml/2017/richdata2" ref="A4:AC13">
    <sortCondition ref="Q4:Q13"/>
    <sortCondition ref="X4:X13"/>
    <sortCondition ref="P4:P13"/>
  </sortState>
  <phoneticPr fontId="10" type="noConversion"/>
  <conditionalFormatting sqref="C48">
    <cfRule type="expression" dxfId="199" priority="20594" stopIfTrue="1">
      <formula>AND(NOT(ISBLANK(C48)),NOT(_xlfn.ISFORMULA(C48)))</formula>
    </cfRule>
  </conditionalFormatting>
  <conditionalFormatting sqref="D48">
    <cfRule type="expression" dxfId="198" priority="20593" stopIfTrue="1">
      <formula>AND(NOT(ISBLANK(D48)),NOT(_xlfn.ISFORMULA(D48)))</formula>
    </cfRule>
  </conditionalFormatting>
  <conditionalFormatting sqref="G48">
    <cfRule type="expression" dxfId="197" priority="20592" stopIfTrue="1">
      <formula>AND(NOT(ISBLANK(G48)),NOT(_xlfn.ISFORMULA(G48)))</formula>
    </cfRule>
  </conditionalFormatting>
  <conditionalFormatting sqref="H48">
    <cfRule type="expression" dxfId="196" priority="20591" stopIfTrue="1">
      <formula>AND(NOT(ISBLANK(H48)),NOT(_xlfn.ISFORMULA(H48)))</formula>
    </cfRule>
  </conditionalFormatting>
  <conditionalFormatting sqref="D39">
    <cfRule type="expression" dxfId="195" priority="20709" stopIfTrue="1">
      <formula>AND(NOT(ISBLANK(D39)),NOT(_xlfn.ISFORMULA(D39)))</formula>
    </cfRule>
  </conditionalFormatting>
  <conditionalFormatting sqref="G39">
    <cfRule type="expression" dxfId="194" priority="20708" stopIfTrue="1">
      <formula>AND(NOT(ISBLANK(G39)),NOT(_xlfn.ISFORMULA(G39)))</formula>
    </cfRule>
  </conditionalFormatting>
  <conditionalFormatting sqref="H39">
    <cfRule type="expression" dxfId="193" priority="20707" stopIfTrue="1">
      <formula>AND(NOT(ISBLANK(H39)),NOT(_xlfn.ISFORMULA(H39)))</formula>
    </cfRule>
  </conditionalFormatting>
  <conditionalFormatting sqref="E28">
    <cfRule type="expression" dxfId="192" priority="20705">
      <formula>AND(AND(NOT(ISBLANK(D28)),NOT(D28=$O$1)),AND(NOT(ISBLANK(C28)),NOT(C28=$O$1)))</formula>
    </cfRule>
    <cfRule type="expression" dxfId="191" priority="20706">
      <formula>OR(AND(NOT(ISBLANK(D28)),NOT(D28=$O$1)),AND(NOT(ISBLANK(C28)),NOT(C28=$O$1)))</formula>
    </cfRule>
  </conditionalFormatting>
  <conditionalFormatting sqref="F28">
    <cfRule type="expression" dxfId="190" priority="20703">
      <formula>AND(AND(NOT(ISBLANK(G28)),NOT(G28=$O$1)),AND(NOT(ISBLANK(H28)),NOT(H28=$O$1)))</formula>
    </cfRule>
    <cfRule type="expression" dxfId="189" priority="20704">
      <formula>OR(AND(NOT(ISBLANK(G28)),NOT(G28=$O$1)),AND(NOT(ISBLANK(H28)),NOT(H28=$O$1)))</formula>
    </cfRule>
  </conditionalFormatting>
  <conditionalFormatting sqref="C28">
    <cfRule type="expression" dxfId="188" priority="20702" stopIfTrue="1">
      <formula>AND(NOT(ISBLANK(C28)),NOT(_xlfn.ISFORMULA(C28)))</formula>
    </cfRule>
  </conditionalFormatting>
  <conditionalFormatting sqref="D28">
    <cfRule type="expression" dxfId="187" priority="20701" stopIfTrue="1">
      <formula>AND(NOT(ISBLANK(D28)),NOT(_xlfn.ISFORMULA(D28)))</formula>
    </cfRule>
  </conditionalFormatting>
  <conditionalFormatting sqref="G28">
    <cfRule type="expression" dxfId="186" priority="20700" stopIfTrue="1">
      <formula>AND(NOT(ISBLANK(G28)),NOT(_xlfn.ISFORMULA(G28)))</formula>
    </cfRule>
  </conditionalFormatting>
  <conditionalFormatting sqref="H28">
    <cfRule type="expression" dxfId="185" priority="20699" stopIfTrue="1">
      <formula>AND(NOT(ISBLANK(H28)),NOT(_xlfn.ISFORMULA(H28)))</formula>
    </cfRule>
  </conditionalFormatting>
  <conditionalFormatting sqref="E39">
    <cfRule type="expression" dxfId="184" priority="20713">
      <formula>AND(AND(NOT(ISBLANK(D39)),NOT(D39=$O$1)),AND(NOT(ISBLANK(C39)),NOT(C39=$O$1)))</formula>
    </cfRule>
    <cfRule type="expression" dxfId="183" priority="20714">
      <formula>OR(AND(NOT(ISBLANK(D39)),NOT(D39=$O$1)),AND(NOT(ISBLANK(C39)),NOT(C39=$O$1)))</formula>
    </cfRule>
  </conditionalFormatting>
  <conditionalFormatting sqref="F39">
    <cfRule type="expression" dxfId="182" priority="20711">
      <formula>AND(AND(NOT(ISBLANK(G39)),NOT(G39=$O$1)),AND(NOT(ISBLANK(H39)),NOT(H39=$O$1)))</formula>
    </cfRule>
    <cfRule type="expression" dxfId="181" priority="20712">
      <formula>OR(AND(NOT(ISBLANK(G39)),NOT(G39=$O$1)),AND(NOT(ISBLANK(H39)),NOT(H39=$O$1)))</formula>
    </cfRule>
  </conditionalFormatting>
  <conditionalFormatting sqref="C39">
    <cfRule type="expression" dxfId="180" priority="20710" stopIfTrue="1">
      <formula>AND(NOT(ISBLANK(C39)),NOT(_xlfn.ISFORMULA(C39)))</formula>
    </cfRule>
  </conditionalFormatting>
  <conditionalFormatting sqref="E40">
    <cfRule type="expression" dxfId="179" priority="20697">
      <formula>AND(AND(NOT(ISBLANK(D40)),NOT(D40=$O$1)),AND(NOT(ISBLANK(C40)),NOT(C40=$O$1)))</formula>
    </cfRule>
    <cfRule type="expression" dxfId="178" priority="20698">
      <formula>OR(AND(NOT(ISBLANK(D40)),NOT(D40=$O$1)),AND(NOT(ISBLANK(C40)),NOT(C40=$O$1)))</formula>
    </cfRule>
  </conditionalFormatting>
  <conditionalFormatting sqref="F40">
    <cfRule type="expression" dxfId="177" priority="20695">
      <formula>AND(AND(NOT(ISBLANK(G40)),NOT(G40=$O$1)),AND(NOT(ISBLANK(H40)),NOT(H40=$O$1)))</formula>
    </cfRule>
    <cfRule type="expression" dxfId="176" priority="20696">
      <formula>OR(AND(NOT(ISBLANK(G40)),NOT(G40=$O$1)),AND(NOT(ISBLANK(H40)),NOT(H40=$O$1)))</formula>
    </cfRule>
  </conditionalFormatting>
  <conditionalFormatting sqref="C40">
    <cfRule type="expression" dxfId="175" priority="20694" stopIfTrue="1">
      <formula>AND(NOT(ISBLANK(C40)),NOT(_xlfn.ISFORMULA(C40)))</formula>
    </cfRule>
  </conditionalFormatting>
  <conditionalFormatting sqref="D40">
    <cfRule type="expression" dxfId="174" priority="20693" stopIfTrue="1">
      <formula>AND(NOT(ISBLANK(D40)),NOT(_xlfn.ISFORMULA(D40)))</formula>
    </cfRule>
  </conditionalFormatting>
  <conditionalFormatting sqref="G40">
    <cfRule type="expression" dxfId="173" priority="20692" stopIfTrue="1">
      <formula>AND(NOT(ISBLANK(G40)),NOT(_xlfn.ISFORMULA(G40)))</formula>
    </cfRule>
  </conditionalFormatting>
  <conditionalFormatting sqref="H40">
    <cfRule type="expression" dxfId="172" priority="20691" stopIfTrue="1">
      <formula>AND(NOT(ISBLANK(H40)),NOT(_xlfn.ISFORMULA(H40)))</formula>
    </cfRule>
  </conditionalFormatting>
  <conditionalFormatting sqref="C41">
    <cfRule type="expression" dxfId="171" priority="20686" stopIfTrue="1">
      <formula>AND(NOT(ISBLANK(C41)),NOT(_xlfn.ISFORMULA(C41)))</formula>
    </cfRule>
  </conditionalFormatting>
  <conditionalFormatting sqref="D41">
    <cfRule type="expression" dxfId="170" priority="20685" stopIfTrue="1">
      <formula>AND(NOT(ISBLANK(D41)),NOT(_xlfn.ISFORMULA(D41)))</formula>
    </cfRule>
  </conditionalFormatting>
  <conditionalFormatting sqref="G41">
    <cfRule type="expression" dxfId="169" priority="20684" stopIfTrue="1">
      <formula>AND(NOT(ISBLANK(G41)),NOT(_xlfn.ISFORMULA(G41)))</formula>
    </cfRule>
  </conditionalFormatting>
  <conditionalFormatting sqref="E41">
    <cfRule type="expression" dxfId="168" priority="20689">
      <formula>AND(AND(NOT(ISBLANK(D41)),NOT(D41=$O$1)),AND(NOT(ISBLANK(C41)),NOT(C41=$O$1)))</formula>
    </cfRule>
    <cfRule type="expression" dxfId="167" priority="20690">
      <formula>OR(AND(NOT(ISBLANK(D41)),NOT(D41=$O$1)),AND(NOT(ISBLANK(C41)),NOT(C41=$O$1)))</formula>
    </cfRule>
  </conditionalFormatting>
  <conditionalFormatting sqref="F41">
    <cfRule type="expression" dxfId="166" priority="20687">
      <formula>AND(AND(NOT(ISBLANK(G41)),NOT(G41=$O$1)),AND(NOT(ISBLANK(H41)),NOT(H41=$O$1)))</formula>
    </cfRule>
    <cfRule type="expression" dxfId="165" priority="20688">
      <formula>OR(AND(NOT(ISBLANK(G41)),NOT(G41=$O$1)),AND(NOT(ISBLANK(H41)),NOT(H41=$O$1)))</formula>
    </cfRule>
  </conditionalFormatting>
  <conditionalFormatting sqref="C29">
    <cfRule type="expression" dxfId="164" priority="20678" stopIfTrue="1">
      <formula>AND(NOT(ISBLANK(C29)),NOT(_xlfn.ISFORMULA(C29)))</formula>
    </cfRule>
  </conditionalFormatting>
  <conditionalFormatting sqref="D29">
    <cfRule type="expression" dxfId="163" priority="20677" stopIfTrue="1">
      <formula>AND(NOT(ISBLANK(D29)),NOT(_xlfn.ISFORMULA(D29)))</formula>
    </cfRule>
  </conditionalFormatting>
  <conditionalFormatting sqref="G29">
    <cfRule type="expression" dxfId="162" priority="20676" stopIfTrue="1">
      <formula>AND(NOT(ISBLANK(G29)),NOT(_xlfn.ISFORMULA(G29)))</formula>
    </cfRule>
  </conditionalFormatting>
  <conditionalFormatting sqref="H41">
    <cfRule type="expression" dxfId="161" priority="20683" stopIfTrue="1">
      <formula>AND(NOT(ISBLANK(H41)),NOT(_xlfn.ISFORMULA(H41)))</formula>
    </cfRule>
  </conditionalFormatting>
  <conditionalFormatting sqref="E29">
    <cfRule type="expression" dxfId="160" priority="20681">
      <formula>AND(AND(NOT(ISBLANK(D29)),NOT(D29=$O$1)),AND(NOT(ISBLANK(C29)),NOT(C29=$O$1)))</formula>
    </cfRule>
    <cfRule type="expression" dxfId="159" priority="20682">
      <formula>OR(AND(NOT(ISBLANK(D29)),NOT(D29=$O$1)),AND(NOT(ISBLANK(C29)),NOT(C29=$O$1)))</formula>
    </cfRule>
  </conditionalFormatting>
  <conditionalFormatting sqref="F29">
    <cfRule type="expression" dxfId="158" priority="20679">
      <formula>AND(AND(NOT(ISBLANK(G29)),NOT(G29=$O$1)),AND(NOT(ISBLANK(H29)),NOT(H29=$O$1)))</formula>
    </cfRule>
    <cfRule type="expression" dxfId="157" priority="20680">
      <formula>OR(AND(NOT(ISBLANK(G29)),NOT(G29=$O$1)),AND(NOT(ISBLANK(H29)),NOT(H29=$O$1)))</formula>
    </cfRule>
  </conditionalFormatting>
  <conditionalFormatting sqref="C42">
    <cfRule type="expression" dxfId="156" priority="20670" stopIfTrue="1">
      <formula>AND(NOT(ISBLANK(C42)),NOT(_xlfn.ISFORMULA(C42)))</formula>
    </cfRule>
  </conditionalFormatting>
  <conditionalFormatting sqref="D42">
    <cfRule type="expression" dxfId="155" priority="20669" stopIfTrue="1">
      <formula>AND(NOT(ISBLANK(D42)),NOT(_xlfn.ISFORMULA(D42)))</formula>
    </cfRule>
  </conditionalFormatting>
  <conditionalFormatting sqref="G42">
    <cfRule type="expression" dxfId="154" priority="20668" stopIfTrue="1">
      <formula>AND(NOT(ISBLANK(G42)),NOT(_xlfn.ISFORMULA(G42)))</formula>
    </cfRule>
  </conditionalFormatting>
  <conditionalFormatting sqref="H29">
    <cfRule type="expression" dxfId="153" priority="20675" stopIfTrue="1">
      <formula>AND(NOT(ISBLANK(H29)),NOT(_xlfn.ISFORMULA(H29)))</formula>
    </cfRule>
  </conditionalFormatting>
  <conditionalFormatting sqref="E42">
    <cfRule type="expression" dxfId="152" priority="20673">
      <formula>AND(AND(NOT(ISBLANK(D42)),NOT(D42=$O$1)),AND(NOT(ISBLANK(C42)),NOT(C42=$O$1)))</formula>
    </cfRule>
    <cfRule type="expression" dxfId="151" priority="20674">
      <formula>OR(AND(NOT(ISBLANK(D42)),NOT(D42=$O$1)),AND(NOT(ISBLANK(C42)),NOT(C42=$O$1)))</formula>
    </cfRule>
  </conditionalFormatting>
  <conditionalFormatting sqref="F42">
    <cfRule type="expression" dxfId="150" priority="20671">
      <formula>AND(AND(NOT(ISBLANK(G42)),NOT(G42=$O$1)),AND(NOT(ISBLANK(H42)),NOT(H42=$O$1)))</formula>
    </cfRule>
    <cfRule type="expression" dxfId="149" priority="20672">
      <formula>OR(AND(NOT(ISBLANK(G42)),NOT(G42=$O$1)),AND(NOT(ISBLANK(H42)),NOT(H42=$O$1)))</formula>
    </cfRule>
  </conditionalFormatting>
  <conditionalFormatting sqref="H42">
    <cfRule type="expression" dxfId="148" priority="20667" stopIfTrue="1">
      <formula>AND(NOT(ISBLANK(H42)),NOT(_xlfn.ISFORMULA(H42)))</formula>
    </cfRule>
  </conditionalFormatting>
  <conditionalFormatting sqref="H43">
    <cfRule type="expression" dxfId="147" priority="20659" stopIfTrue="1">
      <formula>AND(NOT(ISBLANK(H43)),NOT(_xlfn.ISFORMULA(H43)))</formula>
    </cfRule>
  </conditionalFormatting>
  <conditionalFormatting sqref="E43">
    <cfRule type="expression" dxfId="146" priority="20665">
      <formula>AND(AND(NOT(ISBLANK(D43)),NOT(D43=$O$1)),AND(NOT(ISBLANK(C43)),NOT(C43=$O$1)))</formula>
    </cfRule>
    <cfRule type="expression" dxfId="145" priority="20666">
      <formula>OR(AND(NOT(ISBLANK(D43)),NOT(D43=$O$1)),AND(NOT(ISBLANK(C43)),NOT(C43=$O$1)))</formula>
    </cfRule>
  </conditionalFormatting>
  <conditionalFormatting sqref="F43">
    <cfRule type="expression" dxfId="144" priority="20663">
      <formula>AND(AND(NOT(ISBLANK(G43)),NOT(G43=$O$1)),AND(NOT(ISBLANK(H43)),NOT(H43=$O$1)))</formula>
    </cfRule>
    <cfRule type="expression" dxfId="143" priority="20664">
      <formula>OR(AND(NOT(ISBLANK(G43)),NOT(G43=$O$1)),AND(NOT(ISBLANK(H43)),NOT(H43=$O$1)))</formula>
    </cfRule>
  </conditionalFormatting>
  <conditionalFormatting sqref="C43">
    <cfRule type="expression" dxfId="142" priority="20662" stopIfTrue="1">
      <formula>AND(NOT(ISBLANK(C43)),NOT(_xlfn.ISFORMULA(C43)))</formula>
    </cfRule>
  </conditionalFormatting>
  <conditionalFormatting sqref="D43">
    <cfRule type="expression" dxfId="141" priority="20661" stopIfTrue="1">
      <formula>AND(NOT(ISBLANK(D43)),NOT(_xlfn.ISFORMULA(D43)))</formula>
    </cfRule>
  </conditionalFormatting>
  <conditionalFormatting sqref="G43">
    <cfRule type="expression" dxfId="140" priority="20660" stopIfTrue="1">
      <formula>AND(NOT(ISBLANK(G43)),NOT(_xlfn.ISFORMULA(G43)))</formula>
    </cfRule>
  </conditionalFormatting>
  <conditionalFormatting sqref="E30">
    <cfRule type="expression" dxfId="139" priority="20657">
      <formula>AND(AND(NOT(ISBLANK(D30)),NOT(D30=$O$1)),AND(NOT(ISBLANK(C30)),NOT(C30=$O$1)))</formula>
    </cfRule>
    <cfRule type="expression" dxfId="138" priority="20658">
      <formula>OR(AND(NOT(ISBLANK(D30)),NOT(D30=$O$1)),AND(NOT(ISBLANK(C30)),NOT(C30=$O$1)))</formula>
    </cfRule>
  </conditionalFormatting>
  <conditionalFormatting sqref="F30">
    <cfRule type="expression" dxfId="137" priority="20655">
      <formula>AND(AND(NOT(ISBLANK(G30)),NOT(G30=$O$1)),AND(NOT(ISBLANK(H30)),NOT(H30=$O$1)))</formula>
    </cfRule>
    <cfRule type="expression" dxfId="136" priority="20656">
      <formula>OR(AND(NOT(ISBLANK(G30)),NOT(G30=$O$1)),AND(NOT(ISBLANK(H30)),NOT(H30=$O$1)))</formula>
    </cfRule>
  </conditionalFormatting>
  <conditionalFormatting sqref="C30">
    <cfRule type="expression" dxfId="135" priority="20654" stopIfTrue="1">
      <formula>AND(NOT(ISBLANK(C30)),NOT(_xlfn.ISFORMULA(C30)))</formula>
    </cfRule>
  </conditionalFormatting>
  <conditionalFormatting sqref="D30">
    <cfRule type="expression" dxfId="134" priority="20653" stopIfTrue="1">
      <formula>AND(NOT(ISBLANK(D30)),NOT(_xlfn.ISFORMULA(D30)))</formula>
    </cfRule>
  </conditionalFormatting>
  <conditionalFormatting sqref="G30">
    <cfRule type="expression" dxfId="133" priority="20652" stopIfTrue="1">
      <formula>AND(NOT(ISBLANK(G30)),NOT(_xlfn.ISFORMULA(G30)))</formula>
    </cfRule>
  </conditionalFormatting>
  <conditionalFormatting sqref="H30">
    <cfRule type="expression" dxfId="132" priority="20651" stopIfTrue="1">
      <formula>AND(NOT(ISBLANK(H30)),NOT(_xlfn.ISFORMULA(H30)))</formula>
    </cfRule>
  </conditionalFormatting>
  <conditionalFormatting sqref="E44">
    <cfRule type="expression" dxfId="131" priority="20649">
      <formula>AND(AND(NOT(ISBLANK(D44)),NOT(D44=$O$1)),AND(NOT(ISBLANK(C44)),NOT(C44=$O$1)))</formula>
    </cfRule>
    <cfRule type="expression" dxfId="130" priority="20650">
      <formula>OR(AND(NOT(ISBLANK(D44)),NOT(D44=$O$1)),AND(NOT(ISBLANK(C44)),NOT(C44=$O$1)))</formula>
    </cfRule>
  </conditionalFormatting>
  <conditionalFormatting sqref="F44">
    <cfRule type="expression" dxfId="129" priority="20647">
      <formula>AND(AND(NOT(ISBLANK(G44)),NOT(G44=$O$1)),AND(NOT(ISBLANK(H44)),NOT(H44=$O$1)))</formula>
    </cfRule>
    <cfRule type="expression" dxfId="128" priority="20648">
      <formula>OR(AND(NOT(ISBLANK(G44)),NOT(G44=$O$1)),AND(NOT(ISBLANK(H44)),NOT(H44=$O$1)))</formula>
    </cfRule>
  </conditionalFormatting>
  <conditionalFormatting sqref="C44">
    <cfRule type="expression" dxfId="127" priority="20646" stopIfTrue="1">
      <formula>AND(NOT(ISBLANK(C44)),NOT(_xlfn.ISFORMULA(C44)))</formula>
    </cfRule>
  </conditionalFormatting>
  <conditionalFormatting sqref="D44">
    <cfRule type="expression" dxfId="126" priority="20645" stopIfTrue="1">
      <formula>AND(NOT(ISBLANK(D44)),NOT(_xlfn.ISFORMULA(D44)))</formula>
    </cfRule>
  </conditionalFormatting>
  <conditionalFormatting sqref="G44">
    <cfRule type="expression" dxfId="125" priority="20644" stopIfTrue="1">
      <formula>AND(NOT(ISBLANK(G44)),NOT(_xlfn.ISFORMULA(G44)))</formula>
    </cfRule>
  </conditionalFormatting>
  <conditionalFormatting sqref="H44">
    <cfRule type="expression" dxfId="124" priority="20643" stopIfTrue="1">
      <formula>AND(NOT(ISBLANK(H44)),NOT(_xlfn.ISFORMULA(H44)))</formula>
    </cfRule>
  </conditionalFormatting>
  <conditionalFormatting sqref="H45">
    <cfRule type="expression" dxfId="123" priority="20631" stopIfTrue="1">
      <formula>AND(NOT(ISBLANK(H45)),NOT(_xlfn.ISFORMULA(H45)))</formula>
    </cfRule>
  </conditionalFormatting>
  <conditionalFormatting sqref="E45">
    <cfRule type="expression" dxfId="122" priority="20637">
      <formula>AND(AND(NOT(ISBLANK(D45)),NOT(D45=$O$1)),AND(NOT(ISBLANK(C45)),NOT(C45=$O$1)))</formula>
    </cfRule>
    <cfRule type="expression" dxfId="121" priority="20638">
      <formula>OR(AND(NOT(ISBLANK(D45)),NOT(D45=$O$1)),AND(NOT(ISBLANK(C45)),NOT(C45=$O$1)))</formula>
    </cfRule>
  </conditionalFormatting>
  <conditionalFormatting sqref="F45">
    <cfRule type="expression" dxfId="120" priority="20635">
      <formula>AND(AND(NOT(ISBLANK(G45)),NOT(G45=$O$1)),AND(NOT(ISBLANK(H45)),NOT(H45=$O$1)))</formula>
    </cfRule>
    <cfRule type="expression" dxfId="119" priority="20636">
      <formula>OR(AND(NOT(ISBLANK(G45)),NOT(G45=$O$1)),AND(NOT(ISBLANK(H45)),NOT(H45=$O$1)))</formula>
    </cfRule>
  </conditionalFormatting>
  <conditionalFormatting sqref="C45">
    <cfRule type="expression" dxfId="118" priority="20634" stopIfTrue="1">
      <formula>AND(NOT(ISBLANK(C45)),NOT(_xlfn.ISFORMULA(C45)))</formula>
    </cfRule>
  </conditionalFormatting>
  <conditionalFormatting sqref="D45">
    <cfRule type="expression" dxfId="117" priority="20633" stopIfTrue="1">
      <formula>AND(NOT(ISBLANK(D45)),NOT(_xlfn.ISFORMULA(D45)))</formula>
    </cfRule>
  </conditionalFormatting>
  <conditionalFormatting sqref="G45">
    <cfRule type="expression" dxfId="116" priority="20632" stopIfTrue="1">
      <formula>AND(NOT(ISBLANK(G45)),NOT(_xlfn.ISFORMULA(G45)))</formula>
    </cfRule>
  </conditionalFormatting>
  <conditionalFormatting sqref="E31">
    <cfRule type="expression" dxfId="115" priority="20629">
      <formula>AND(AND(NOT(ISBLANK(D31)),NOT(D31=$O$1)),AND(NOT(ISBLANK(C31)),NOT(C31=$O$1)))</formula>
    </cfRule>
    <cfRule type="expression" dxfId="114" priority="20630">
      <formula>OR(AND(NOT(ISBLANK(D31)),NOT(D31=$O$1)),AND(NOT(ISBLANK(C31)),NOT(C31=$O$1)))</formula>
    </cfRule>
  </conditionalFormatting>
  <conditionalFormatting sqref="F31">
    <cfRule type="expression" dxfId="113" priority="20627">
      <formula>AND(AND(NOT(ISBLANK(G31)),NOT(G31=$O$1)),AND(NOT(ISBLANK(H31)),NOT(H31=$O$1)))</formula>
    </cfRule>
    <cfRule type="expression" dxfId="112" priority="20628">
      <formula>OR(AND(NOT(ISBLANK(G31)),NOT(G31=$O$1)),AND(NOT(ISBLANK(H31)),NOT(H31=$O$1)))</formula>
    </cfRule>
  </conditionalFormatting>
  <conditionalFormatting sqref="C31">
    <cfRule type="expression" dxfId="111" priority="20626" stopIfTrue="1">
      <formula>AND(NOT(ISBLANK(C31)),NOT(_xlfn.ISFORMULA(C31)))</formula>
    </cfRule>
  </conditionalFormatting>
  <conditionalFormatting sqref="D31">
    <cfRule type="expression" dxfId="110" priority="20625" stopIfTrue="1">
      <formula>AND(NOT(ISBLANK(D31)),NOT(_xlfn.ISFORMULA(D31)))</formula>
    </cfRule>
  </conditionalFormatting>
  <conditionalFormatting sqref="G31">
    <cfRule type="expression" dxfId="109" priority="20624" stopIfTrue="1">
      <formula>AND(NOT(ISBLANK(G31)),NOT(_xlfn.ISFORMULA(G31)))</formula>
    </cfRule>
  </conditionalFormatting>
  <conditionalFormatting sqref="H31">
    <cfRule type="expression" dxfId="108" priority="20623" stopIfTrue="1">
      <formula>AND(NOT(ISBLANK(H31)),NOT(_xlfn.ISFORMULA(H31)))</formula>
    </cfRule>
  </conditionalFormatting>
  <conditionalFormatting sqref="E46">
    <cfRule type="expression" dxfId="107" priority="20621">
      <formula>AND(AND(NOT(ISBLANK(D46)),NOT(D46=$O$1)),AND(NOT(ISBLANK(C46)),NOT(C46=$O$1)))</formula>
    </cfRule>
    <cfRule type="expression" dxfId="106" priority="20622">
      <formula>OR(AND(NOT(ISBLANK(D46)),NOT(D46=$O$1)),AND(NOT(ISBLANK(C46)),NOT(C46=$O$1)))</formula>
    </cfRule>
  </conditionalFormatting>
  <conditionalFormatting sqref="F46">
    <cfRule type="expression" dxfId="105" priority="20619">
      <formula>AND(AND(NOT(ISBLANK(G46)),NOT(G46=$O$1)),AND(NOT(ISBLANK(H46)),NOT(H46=$O$1)))</formula>
    </cfRule>
    <cfRule type="expression" dxfId="104" priority="20620">
      <formula>OR(AND(NOT(ISBLANK(G46)),NOT(G46=$O$1)),AND(NOT(ISBLANK(H46)),NOT(H46=$O$1)))</formula>
    </cfRule>
  </conditionalFormatting>
  <conditionalFormatting sqref="C46">
    <cfRule type="expression" dxfId="103" priority="20618" stopIfTrue="1">
      <formula>AND(NOT(ISBLANK(C46)),NOT(_xlfn.ISFORMULA(C46)))</formula>
    </cfRule>
  </conditionalFormatting>
  <conditionalFormatting sqref="D46">
    <cfRule type="expression" dxfId="102" priority="20617" stopIfTrue="1">
      <formula>AND(NOT(ISBLANK(D46)),NOT(_xlfn.ISFORMULA(D46)))</formula>
    </cfRule>
  </conditionalFormatting>
  <conditionalFormatting sqref="G46">
    <cfRule type="expression" dxfId="101" priority="20616" stopIfTrue="1">
      <formula>AND(NOT(ISBLANK(G46)),NOT(_xlfn.ISFORMULA(G46)))</formula>
    </cfRule>
  </conditionalFormatting>
  <conditionalFormatting sqref="H46">
    <cfRule type="expression" dxfId="100" priority="20615" stopIfTrue="1">
      <formula>AND(NOT(ISBLANK(H46)),NOT(_xlfn.ISFORMULA(H46)))</formula>
    </cfRule>
  </conditionalFormatting>
  <conditionalFormatting sqref="E47">
    <cfRule type="expression" dxfId="99" priority="20613">
      <formula>AND(AND(NOT(ISBLANK(D47)),NOT(D47=$O$1)),AND(NOT(ISBLANK(C47)),NOT(C47=$O$1)))</formula>
    </cfRule>
    <cfRule type="expression" dxfId="98" priority="20614">
      <formula>OR(AND(NOT(ISBLANK(D47)),NOT(D47=$O$1)),AND(NOT(ISBLANK(C47)),NOT(C47=$O$1)))</formula>
    </cfRule>
  </conditionalFormatting>
  <conditionalFormatting sqref="F47">
    <cfRule type="expression" dxfId="97" priority="20611">
      <formula>AND(AND(NOT(ISBLANK(G47)),NOT(G47=$O$1)),AND(NOT(ISBLANK(H47)),NOT(H47=$O$1)))</formula>
    </cfRule>
    <cfRule type="expression" dxfId="96" priority="20612">
      <formula>OR(AND(NOT(ISBLANK(G47)),NOT(G47=$O$1)),AND(NOT(ISBLANK(H47)),NOT(H47=$O$1)))</formula>
    </cfRule>
  </conditionalFormatting>
  <conditionalFormatting sqref="E32">
    <cfRule type="expression" dxfId="95" priority="20605">
      <formula>AND(AND(NOT(ISBLANK(D32)),NOT(D32=$O$1)),AND(NOT(ISBLANK(C32)),NOT(C32=$O$1)))</formula>
    </cfRule>
    <cfRule type="expression" dxfId="94" priority="20606">
      <formula>OR(AND(NOT(ISBLANK(D32)),NOT(D32=$O$1)),AND(NOT(ISBLANK(C32)),NOT(C32=$O$1)))</formula>
    </cfRule>
  </conditionalFormatting>
  <conditionalFormatting sqref="F32">
    <cfRule type="expression" dxfId="93" priority="20603">
      <formula>AND(AND(NOT(ISBLANK(G32)),NOT(G32=$O$1)),AND(NOT(ISBLANK(H32)),NOT(H32=$O$1)))</formula>
    </cfRule>
    <cfRule type="expression" dxfId="92" priority="20604">
      <formula>OR(AND(NOT(ISBLANK(G32)),NOT(G32=$O$1)),AND(NOT(ISBLANK(H32)),NOT(H32=$O$1)))</formula>
    </cfRule>
  </conditionalFormatting>
  <conditionalFormatting sqref="C47">
    <cfRule type="expression" dxfId="91" priority="20610" stopIfTrue="1">
      <formula>AND(NOT(ISBLANK(C47)),NOT(_xlfn.ISFORMULA(C47)))</formula>
    </cfRule>
  </conditionalFormatting>
  <conditionalFormatting sqref="D47">
    <cfRule type="expression" dxfId="90" priority="20609" stopIfTrue="1">
      <formula>AND(NOT(ISBLANK(D47)),NOT(_xlfn.ISFORMULA(D47)))</formula>
    </cfRule>
  </conditionalFormatting>
  <conditionalFormatting sqref="G47">
    <cfRule type="expression" dxfId="89" priority="20608" stopIfTrue="1">
      <formula>AND(NOT(ISBLANK(G47)),NOT(_xlfn.ISFORMULA(G47)))</formula>
    </cfRule>
  </conditionalFormatting>
  <conditionalFormatting sqref="H47">
    <cfRule type="expression" dxfId="88" priority="20607" stopIfTrue="1">
      <formula>AND(NOT(ISBLANK(H47)),NOT(_xlfn.ISFORMULA(H47)))</formula>
    </cfRule>
  </conditionalFormatting>
  <conditionalFormatting sqref="C32">
    <cfRule type="expression" dxfId="87" priority="20602" stopIfTrue="1">
      <formula>AND(NOT(ISBLANK(C32)),NOT(_xlfn.ISFORMULA(C32)))</formula>
    </cfRule>
  </conditionalFormatting>
  <conditionalFormatting sqref="D32">
    <cfRule type="expression" dxfId="86" priority="20601" stopIfTrue="1">
      <formula>AND(NOT(ISBLANK(D32)),NOT(_xlfn.ISFORMULA(D32)))</formula>
    </cfRule>
  </conditionalFormatting>
  <conditionalFormatting sqref="G32">
    <cfRule type="expression" dxfId="85" priority="20600" stopIfTrue="1">
      <formula>AND(NOT(ISBLANK(G32)),NOT(_xlfn.ISFORMULA(G32)))</formula>
    </cfRule>
  </conditionalFormatting>
  <conditionalFormatting sqref="H32">
    <cfRule type="expression" dxfId="84" priority="20599" stopIfTrue="1">
      <formula>AND(NOT(ISBLANK(H32)),NOT(_xlfn.ISFORMULA(H32)))</formula>
    </cfRule>
  </conditionalFormatting>
  <conditionalFormatting sqref="E48">
    <cfRule type="expression" dxfId="83" priority="20597">
      <formula>AND(AND(NOT(ISBLANK(D48)),NOT(D48=$O$1)),AND(NOT(ISBLANK(C48)),NOT(C48=$O$1)))</formula>
    </cfRule>
    <cfRule type="expression" dxfId="82" priority="20598">
      <formula>OR(AND(NOT(ISBLANK(D48)),NOT(D48=$O$1)),AND(NOT(ISBLANK(C48)),NOT(C48=$O$1)))</formula>
    </cfRule>
  </conditionalFormatting>
  <conditionalFormatting sqref="F48">
    <cfRule type="expression" dxfId="81" priority="20595">
      <formula>AND(AND(NOT(ISBLANK(G48)),NOT(G48=$O$1)),AND(NOT(ISBLANK(H48)),NOT(H48=$O$1)))</formula>
    </cfRule>
    <cfRule type="expression" dxfId="80" priority="20596">
      <formula>OR(AND(NOT(ISBLANK(G48)),NOT(G48=$O$1)),AND(NOT(ISBLANK(H48)),NOT(H48=$O$1)))</formula>
    </cfRule>
  </conditionalFormatting>
  <conditionalFormatting sqref="E4">
    <cfRule type="expression" dxfId="79" priority="19937">
      <formula>AND(AND(NOT(ISBLANK(D4)),NOT(D4=$O$1)),AND(NOT(ISBLANK(C4)),NOT(C4=$O$1)))</formula>
    </cfRule>
    <cfRule type="expression" dxfId="78" priority="19938">
      <formula>OR(AND(NOT(ISBLANK(D4)),NOT(D4=$O$1)),AND(NOT(ISBLANK(C4)),NOT(C4=$O$1)))</formula>
    </cfRule>
  </conditionalFormatting>
  <conditionalFormatting sqref="F4">
    <cfRule type="expression" dxfId="77" priority="19935">
      <formula>AND(AND(NOT(ISBLANK(G4)),NOT(G4=$O$1)),AND(NOT(ISBLANK(H4)),NOT(H4=$O$1)))</formula>
    </cfRule>
    <cfRule type="expression" dxfId="76" priority="19936">
      <formula>OR(AND(NOT(ISBLANK(G4)),NOT(G4=$O$1)),AND(NOT(ISBLANK(H4)),NOT(H4=$O$1)))</formula>
    </cfRule>
  </conditionalFormatting>
  <conditionalFormatting sqref="E5">
    <cfRule type="expression" dxfId="75" priority="19933">
      <formula>AND(AND(NOT(ISBLANK(D5)),NOT(D5=$O$1)),AND(NOT(ISBLANK(C5)),NOT(C5=$O$1)))</formula>
    </cfRule>
    <cfRule type="expression" dxfId="74" priority="19934">
      <formula>OR(AND(NOT(ISBLANK(D5)),NOT(D5=$O$1)),AND(NOT(ISBLANK(C5)),NOT(C5=$O$1)))</formula>
    </cfRule>
  </conditionalFormatting>
  <conditionalFormatting sqref="F5">
    <cfRule type="expression" dxfId="73" priority="19931">
      <formula>AND(AND(NOT(ISBLANK(G5)),NOT(G5=$O$1)),AND(NOT(ISBLANK(H5)),NOT(H5=$O$1)))</formula>
    </cfRule>
    <cfRule type="expression" dxfId="72" priority="19932">
      <formula>OR(AND(NOT(ISBLANK(G5)),NOT(G5=$O$1)),AND(NOT(ISBLANK(H5)),NOT(H5=$O$1)))</formula>
    </cfRule>
  </conditionalFormatting>
  <conditionalFormatting sqref="E6">
    <cfRule type="expression" dxfId="71" priority="19929">
      <formula>AND(AND(NOT(ISBLANK(D6)),NOT(D6=$O$1)),AND(NOT(ISBLANK(C6)),NOT(C6=$O$1)))</formula>
    </cfRule>
    <cfRule type="expression" dxfId="70" priority="19930">
      <formula>OR(AND(NOT(ISBLANK(D6)),NOT(D6=$O$1)),AND(NOT(ISBLANK(C6)),NOT(C6=$O$1)))</formula>
    </cfRule>
  </conditionalFormatting>
  <conditionalFormatting sqref="F6">
    <cfRule type="expression" dxfId="69" priority="19927">
      <formula>AND(AND(NOT(ISBLANK(G6)),NOT(G6=$O$1)),AND(NOT(ISBLANK(H6)),NOT(H6=$O$1)))</formula>
    </cfRule>
    <cfRule type="expression" dxfId="68" priority="19928">
      <formula>OR(AND(NOT(ISBLANK(G6)),NOT(G6=$O$1)),AND(NOT(ISBLANK(H6)),NOT(H6=$O$1)))</formula>
    </cfRule>
  </conditionalFormatting>
  <conditionalFormatting sqref="E7">
    <cfRule type="expression" dxfId="67" priority="13713">
      <formula>AND(AND(NOT(ISBLANK(D7)),NOT(D7=$O$1)),AND(NOT(ISBLANK(C7)),NOT(C7=$O$1)))</formula>
    </cfRule>
    <cfRule type="expression" dxfId="66" priority="13714">
      <formula>OR(AND(NOT(ISBLANK(D7)),NOT(D7=$O$1)),AND(NOT(ISBLANK(C7)),NOT(C7=$O$1)))</formula>
    </cfRule>
  </conditionalFormatting>
  <conditionalFormatting sqref="F7">
    <cfRule type="expression" dxfId="65" priority="13711">
      <formula>AND(AND(NOT(ISBLANK(G7)),NOT(G7=$O$1)),AND(NOT(ISBLANK(H7)),NOT(H7=$O$1)))</formula>
    </cfRule>
    <cfRule type="expression" dxfId="64" priority="13712">
      <formula>OR(AND(NOT(ISBLANK(G7)),NOT(G7=$O$1)),AND(NOT(ISBLANK(H7)),NOT(H7=$O$1)))</formula>
    </cfRule>
  </conditionalFormatting>
  <conditionalFormatting sqref="E8">
    <cfRule type="expression" dxfId="63" priority="2743">
      <formula>AND(AND(NOT(ISBLANK(D8)),NOT(D8=$O$1)),AND(NOT(ISBLANK(C8)),NOT(C8=$O$1)))</formula>
    </cfRule>
    <cfRule type="expression" dxfId="62" priority="2744">
      <formula>OR(AND(NOT(ISBLANK(D8)),NOT(D8=$O$1)),AND(NOT(ISBLANK(C8)),NOT(C8=$O$1)))</formula>
    </cfRule>
  </conditionalFormatting>
  <conditionalFormatting sqref="F8">
    <cfRule type="expression" dxfId="61" priority="2741">
      <formula>AND(AND(NOT(ISBLANK(G8)),NOT(G8=$O$1)),AND(NOT(ISBLANK(H8)),NOT(H8=$O$1)))</formula>
    </cfRule>
    <cfRule type="expression" dxfId="60" priority="2742">
      <formula>OR(AND(NOT(ISBLANK(G8)),NOT(G8=$O$1)),AND(NOT(ISBLANK(H8)),NOT(H8=$O$1)))</formula>
    </cfRule>
  </conditionalFormatting>
  <conditionalFormatting sqref="E9">
    <cfRule type="expression" dxfId="59" priority="2739">
      <formula>AND(AND(NOT(ISBLANK(D9)),NOT(D9=$O$1)),AND(NOT(ISBLANK(C9)),NOT(C9=$O$1)))</formula>
    </cfRule>
    <cfRule type="expression" dxfId="58" priority="2740">
      <formula>OR(AND(NOT(ISBLANK(D9)),NOT(D9=$O$1)),AND(NOT(ISBLANK(C9)),NOT(C9=$O$1)))</formula>
    </cfRule>
  </conditionalFormatting>
  <conditionalFormatting sqref="F9">
    <cfRule type="expression" dxfId="57" priority="2737">
      <formula>AND(AND(NOT(ISBLANK(G9)),NOT(G9=$O$1)),AND(NOT(ISBLANK(H9)),NOT(H9=$O$1)))</formula>
    </cfRule>
    <cfRule type="expression" dxfId="56" priority="2738">
      <formula>OR(AND(NOT(ISBLANK(G9)),NOT(G9=$O$1)),AND(NOT(ISBLANK(H9)),NOT(H9=$O$1)))</formula>
    </cfRule>
  </conditionalFormatting>
  <conditionalFormatting sqref="E10">
    <cfRule type="expression" dxfId="55" priority="2735">
      <formula>AND(AND(NOT(ISBLANK(D10)),NOT(D10=$O$1)),AND(NOT(ISBLANK(C10)),NOT(C10=$O$1)))</formula>
    </cfRule>
    <cfRule type="expression" dxfId="54" priority="2736">
      <formula>OR(AND(NOT(ISBLANK(D10)),NOT(D10=$O$1)),AND(NOT(ISBLANK(C10)),NOT(C10=$O$1)))</formula>
    </cfRule>
  </conditionalFormatting>
  <conditionalFormatting sqref="F10">
    <cfRule type="expression" dxfId="53" priority="2733">
      <formula>AND(AND(NOT(ISBLANK(G10)),NOT(G10=$O$1)),AND(NOT(ISBLANK(H10)),NOT(H10=$O$1)))</formula>
    </cfRule>
    <cfRule type="expression" dxfId="52" priority="2734">
      <formula>OR(AND(NOT(ISBLANK(G10)),NOT(G10=$O$1)),AND(NOT(ISBLANK(H10)),NOT(H10=$O$1)))</formula>
    </cfRule>
  </conditionalFormatting>
  <conditionalFormatting sqref="E11">
    <cfRule type="expression" dxfId="51" priority="2731">
      <formula>AND(AND(NOT(ISBLANK(D11)),NOT(D11=$O$1)),AND(NOT(ISBLANK(C11)),NOT(C11=$O$1)))</formula>
    </cfRule>
    <cfRule type="expression" dxfId="50" priority="2732">
      <formula>OR(AND(NOT(ISBLANK(D11)),NOT(D11=$O$1)),AND(NOT(ISBLANK(C11)),NOT(C11=$O$1)))</formula>
    </cfRule>
  </conditionalFormatting>
  <conditionalFormatting sqref="F11">
    <cfRule type="expression" dxfId="49" priority="2729">
      <formula>AND(AND(NOT(ISBLANK(G11)),NOT(G11=$O$1)),AND(NOT(ISBLANK(H11)),NOT(H11=$O$1)))</formula>
    </cfRule>
    <cfRule type="expression" dxfId="48" priority="2730">
      <formula>OR(AND(NOT(ISBLANK(G11)),NOT(G11=$O$1)),AND(NOT(ISBLANK(H11)),NOT(H11=$O$1)))</formula>
    </cfRule>
  </conditionalFormatting>
  <conditionalFormatting sqref="E12">
    <cfRule type="expression" dxfId="47" priority="1659">
      <formula>AND(AND(NOT(ISBLANK(D12)),NOT(D12=$O$1)),AND(NOT(ISBLANK(C12)),NOT(C12=$O$1)))</formula>
    </cfRule>
    <cfRule type="expression" dxfId="46" priority="1660">
      <formula>OR(AND(NOT(ISBLANK(D12)),NOT(D12=$O$1)),AND(NOT(ISBLANK(C12)),NOT(C12=$O$1)))</formula>
    </cfRule>
  </conditionalFormatting>
  <conditionalFormatting sqref="F12">
    <cfRule type="expression" dxfId="45" priority="1657">
      <formula>AND(AND(NOT(ISBLANK(G12)),NOT(G12=$O$1)),AND(NOT(ISBLANK(H12)),NOT(H12=$O$1)))</formula>
    </cfRule>
    <cfRule type="expression" dxfId="44" priority="1658">
      <formula>OR(AND(NOT(ISBLANK(G12)),NOT(G12=$O$1)),AND(NOT(ISBLANK(H12)),NOT(H12=$O$1)))</formula>
    </cfRule>
  </conditionalFormatting>
  <conditionalFormatting sqref="E13">
    <cfRule type="expression" dxfId="43" priority="1655">
      <formula>AND(AND(NOT(ISBLANK(D13)),NOT(D13=$O$1)),AND(NOT(ISBLANK(C13)),NOT(C13=$O$1)))</formula>
    </cfRule>
    <cfRule type="expression" dxfId="42" priority="1656">
      <formula>OR(AND(NOT(ISBLANK(D13)),NOT(D13=$O$1)),AND(NOT(ISBLANK(C13)),NOT(C13=$O$1)))</formula>
    </cfRule>
  </conditionalFormatting>
  <conditionalFormatting sqref="F13">
    <cfRule type="expression" dxfId="41" priority="1653">
      <formula>AND(AND(NOT(ISBLANK(G13)),NOT(G13=$O$1)),AND(NOT(ISBLANK(H13)),NOT(H13=$O$1)))</formula>
    </cfRule>
    <cfRule type="expression" dxfId="40" priority="1654">
      <formula>OR(AND(NOT(ISBLANK(G13)),NOT(G13=$O$1)),AND(NOT(ISBLANK(H13)),NOT(H13=$O$1)))</formula>
    </cfRule>
  </conditionalFormatting>
  <conditionalFormatting sqref="G4">
    <cfRule type="expression" dxfId="39" priority="306" stopIfTrue="1">
      <formula>AND(NOT(ISBLANK(G4)),NOT(_xlfn.ISFORMULA(G4)))</formula>
    </cfRule>
  </conditionalFormatting>
  <conditionalFormatting sqref="G5">
    <cfRule type="expression" dxfId="38" priority="305" stopIfTrue="1">
      <formula>AND(NOT(ISBLANK(G5)),NOT(_xlfn.ISFORMULA(G5)))</formula>
    </cfRule>
  </conditionalFormatting>
  <conditionalFormatting sqref="G6">
    <cfRule type="expression" dxfId="37" priority="304" stopIfTrue="1">
      <formula>AND(NOT(ISBLANK(G6)),NOT(_xlfn.ISFORMULA(G6)))</formula>
    </cfRule>
  </conditionalFormatting>
  <conditionalFormatting sqref="G7">
    <cfRule type="expression" dxfId="36" priority="303" stopIfTrue="1">
      <formula>AND(NOT(ISBLANK(G7)),NOT(_xlfn.ISFORMULA(G7)))</formula>
    </cfRule>
  </conditionalFormatting>
  <conditionalFormatting sqref="G8">
    <cfRule type="expression" dxfId="35" priority="302" stopIfTrue="1">
      <formula>AND(NOT(ISBLANK(G8)),NOT(_xlfn.ISFORMULA(G8)))</formula>
    </cfRule>
  </conditionalFormatting>
  <conditionalFormatting sqref="G9">
    <cfRule type="expression" dxfId="34" priority="301" stopIfTrue="1">
      <formula>AND(NOT(ISBLANK(G9)),NOT(_xlfn.ISFORMULA(G9)))</formula>
    </cfRule>
  </conditionalFormatting>
  <conditionalFormatting sqref="G10">
    <cfRule type="expression" dxfId="33" priority="300" stopIfTrue="1">
      <formula>AND(NOT(ISBLANK(G10)),NOT(_xlfn.ISFORMULA(G10)))</formula>
    </cfRule>
  </conditionalFormatting>
  <conditionalFormatting sqref="G11">
    <cfRule type="expression" dxfId="32" priority="299" stopIfTrue="1">
      <formula>AND(NOT(ISBLANK(G11)),NOT(_xlfn.ISFORMULA(G11)))</formula>
    </cfRule>
  </conditionalFormatting>
  <conditionalFormatting sqref="G12">
    <cfRule type="expression" dxfId="31" priority="298" stopIfTrue="1">
      <formula>AND(NOT(ISBLANK(G12)),NOT(_xlfn.ISFORMULA(G12)))</formula>
    </cfRule>
  </conditionalFormatting>
  <conditionalFormatting sqref="G13">
    <cfRule type="expression" dxfId="30" priority="297" stopIfTrue="1">
      <formula>AND(NOT(ISBLANK(G13)),NOT(_xlfn.ISFORMULA(G13)))</formula>
    </cfRule>
  </conditionalFormatting>
  <conditionalFormatting sqref="H4">
    <cfRule type="expression" dxfId="29" priority="153" stopIfTrue="1">
      <formula>AND(NOT(ISBLANK(H4)),NOT(_xlfn.ISFORMULA(H4)))</formula>
    </cfRule>
  </conditionalFormatting>
  <conditionalFormatting sqref="H5">
    <cfRule type="expression" dxfId="28" priority="152" stopIfTrue="1">
      <formula>AND(NOT(ISBLANK(H5)),NOT(_xlfn.ISFORMULA(H5)))</formula>
    </cfRule>
  </conditionalFormatting>
  <conditionalFormatting sqref="H6">
    <cfRule type="expression" dxfId="27" priority="151" stopIfTrue="1">
      <formula>AND(NOT(ISBLANK(H6)),NOT(_xlfn.ISFORMULA(H6)))</formula>
    </cfRule>
  </conditionalFormatting>
  <conditionalFormatting sqref="H7">
    <cfRule type="expression" dxfId="26" priority="150" stopIfTrue="1">
      <formula>AND(NOT(ISBLANK(H7)),NOT(_xlfn.ISFORMULA(H7)))</formula>
    </cfRule>
  </conditionalFormatting>
  <conditionalFormatting sqref="H8">
    <cfRule type="expression" dxfId="25" priority="149" stopIfTrue="1">
      <formula>AND(NOT(ISBLANK(H8)),NOT(_xlfn.ISFORMULA(H8)))</formula>
    </cfRule>
  </conditionalFormatting>
  <conditionalFormatting sqref="H9">
    <cfRule type="expression" dxfId="24" priority="148" stopIfTrue="1">
      <formula>AND(NOT(ISBLANK(H9)),NOT(_xlfn.ISFORMULA(H9)))</formula>
    </cfRule>
  </conditionalFormatting>
  <conditionalFormatting sqref="H10">
    <cfRule type="expression" dxfId="23" priority="147" stopIfTrue="1">
      <formula>AND(NOT(ISBLANK(H10)),NOT(_xlfn.ISFORMULA(H10)))</formula>
    </cfRule>
  </conditionalFormatting>
  <conditionalFormatting sqref="H11">
    <cfRule type="expression" dxfId="22" priority="146" stopIfTrue="1">
      <formula>AND(NOT(ISBLANK(H11)),NOT(_xlfn.ISFORMULA(H11)))</formula>
    </cfRule>
  </conditionalFormatting>
  <conditionalFormatting sqref="H12">
    <cfRule type="expression" dxfId="21" priority="145" stopIfTrue="1">
      <formula>AND(NOT(ISBLANK(H12)),NOT(_xlfn.ISFORMULA(H12)))</formula>
    </cfRule>
  </conditionalFormatting>
  <conditionalFormatting sqref="H13">
    <cfRule type="expression" dxfId="20" priority="144" stopIfTrue="1">
      <formula>AND(NOT(ISBLANK(H13)),NOT(_xlfn.ISFORMULA(H13)))</formula>
    </cfRule>
  </conditionalFormatting>
  <conditionalFormatting sqref="D4">
    <cfRule type="expression" dxfId="19" priority="459" stopIfTrue="1">
      <formula>AND(NOT(ISBLANK(D4)),NOT(_xlfn.ISFORMULA(D4)))</formula>
    </cfRule>
  </conditionalFormatting>
  <conditionalFormatting sqref="D5">
    <cfRule type="expression" dxfId="18" priority="458" stopIfTrue="1">
      <formula>AND(NOT(ISBLANK(D5)),NOT(_xlfn.ISFORMULA(D5)))</formula>
    </cfRule>
  </conditionalFormatting>
  <conditionalFormatting sqref="D6">
    <cfRule type="expression" dxfId="17" priority="457" stopIfTrue="1">
      <formula>AND(NOT(ISBLANK(D6)),NOT(_xlfn.ISFORMULA(D6)))</formula>
    </cfRule>
  </conditionalFormatting>
  <conditionalFormatting sqref="D7">
    <cfRule type="expression" dxfId="16" priority="456" stopIfTrue="1">
      <formula>AND(NOT(ISBLANK(D7)),NOT(_xlfn.ISFORMULA(D7)))</formula>
    </cfRule>
  </conditionalFormatting>
  <conditionalFormatting sqref="D8">
    <cfRule type="expression" dxfId="15" priority="455" stopIfTrue="1">
      <formula>AND(NOT(ISBLANK(D8)),NOT(_xlfn.ISFORMULA(D8)))</formula>
    </cfRule>
  </conditionalFormatting>
  <conditionalFormatting sqref="D9">
    <cfRule type="expression" dxfId="14" priority="454" stopIfTrue="1">
      <formula>AND(NOT(ISBLANK(D9)),NOT(_xlfn.ISFORMULA(D9)))</formula>
    </cfRule>
  </conditionalFormatting>
  <conditionalFormatting sqref="D10">
    <cfRule type="expression" dxfId="13" priority="453" stopIfTrue="1">
      <formula>AND(NOT(ISBLANK(D10)),NOT(_xlfn.ISFORMULA(D10)))</formula>
    </cfRule>
  </conditionalFormatting>
  <conditionalFormatting sqref="D11">
    <cfRule type="expression" dxfId="12" priority="452" stopIfTrue="1">
      <formula>AND(NOT(ISBLANK(D11)),NOT(_xlfn.ISFORMULA(D11)))</formula>
    </cfRule>
  </conditionalFormatting>
  <conditionalFormatting sqref="D12">
    <cfRule type="expression" dxfId="11" priority="451" stopIfTrue="1">
      <formula>AND(NOT(ISBLANK(D12)),NOT(_xlfn.ISFORMULA(D12)))</formula>
    </cfRule>
  </conditionalFormatting>
  <conditionalFormatting sqref="D13">
    <cfRule type="expression" dxfId="10" priority="450" stopIfTrue="1">
      <formula>AND(NOT(ISBLANK(D13)),NOT(_xlfn.ISFORMULA(D13)))</formula>
    </cfRule>
  </conditionalFormatting>
  <conditionalFormatting sqref="C4">
    <cfRule type="expression" dxfId="9" priority="612" stopIfTrue="1">
      <formula>AND(NOT(ISBLANK(C4)),NOT(_xlfn.ISFORMULA(C4)))</formula>
    </cfRule>
  </conditionalFormatting>
  <conditionalFormatting sqref="C5">
    <cfRule type="expression" dxfId="8" priority="611" stopIfTrue="1">
      <formula>AND(NOT(ISBLANK(C5)),NOT(_xlfn.ISFORMULA(C5)))</formula>
    </cfRule>
  </conditionalFormatting>
  <conditionalFormatting sqref="C6">
    <cfRule type="expression" dxfId="7" priority="610" stopIfTrue="1">
      <formula>AND(NOT(ISBLANK(C6)),NOT(_xlfn.ISFORMULA(C6)))</formula>
    </cfRule>
  </conditionalFormatting>
  <conditionalFormatting sqref="C7">
    <cfRule type="expression" dxfId="6" priority="609" stopIfTrue="1">
      <formula>AND(NOT(ISBLANK(C7)),NOT(_xlfn.ISFORMULA(C7)))</formula>
    </cfRule>
  </conditionalFormatting>
  <conditionalFormatting sqref="C8">
    <cfRule type="expression" dxfId="5" priority="608" stopIfTrue="1">
      <formula>AND(NOT(ISBLANK(C8)),NOT(_xlfn.ISFORMULA(C8)))</formula>
    </cfRule>
  </conditionalFormatting>
  <conditionalFormatting sqref="C9">
    <cfRule type="expression" dxfId="4" priority="607" stopIfTrue="1">
      <formula>AND(NOT(ISBLANK(C9)),NOT(_xlfn.ISFORMULA(C9)))</formula>
    </cfRule>
  </conditionalFormatting>
  <conditionalFormatting sqref="C10">
    <cfRule type="expression" dxfId="3" priority="606" stopIfTrue="1">
      <formula>AND(NOT(ISBLANK(C10)),NOT(_xlfn.ISFORMULA(C10)))</formula>
    </cfRule>
  </conditionalFormatting>
  <conditionalFormatting sqref="C11">
    <cfRule type="expression" dxfId="2" priority="605" stopIfTrue="1">
      <formula>AND(NOT(ISBLANK(C11)),NOT(_xlfn.ISFORMULA(C11)))</formula>
    </cfRule>
  </conditionalFormatting>
  <conditionalFormatting sqref="C12">
    <cfRule type="expression" dxfId="1" priority="604" stopIfTrue="1">
      <formula>AND(NOT(ISBLANK(C12)),NOT(_xlfn.ISFORMULA(C12)))</formula>
    </cfRule>
  </conditionalFormatting>
  <conditionalFormatting sqref="C13">
    <cfRule type="expression" dxfId="0" priority="603" stopIfTrue="1">
      <formula>AND(NOT(ISBLANK(C13)),NOT(_xlfn.ISFORMULA(C13)))</formula>
    </cfRule>
  </conditionalFormatting>
  <dataValidations count="2">
    <dataValidation type="custom" allowBlank="1" showInputMessage="1" showErrorMessage="1" sqref="E39:F48 E28:F32 J39:L40 A28:B32 I28:L32 J41:J48 A39:B48 I39:I48 I4:J13 E4:F13 A4:B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2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mc:AlternateContent xmlns:mc="http://schemas.openxmlformats.org/markup-compatibility/2006">
          <mc:Choice Requires="x14">
            <control shapeId="44033" r:id="rId5" name="Button 1025">
              <controlPr defaultSize="0" print="0" autoFill="0" autoPict="0" macro="[0]!Ended">
                <anchor moveWithCells="1">
                  <from>
                    <xdr:col>16</xdr:col>
                    <xdr:colOff>123825</xdr:colOff>
                    <xdr:row>0</xdr:row>
                    <xdr:rowOff>171450</xdr:rowOff>
                  </from>
                  <to>
                    <xdr:col>16</xdr:col>
                    <xdr:colOff>1238250</xdr:colOff>
                    <xdr:row>1</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view="pageBreakPreview" zoomScaleNormal="100" zoomScaleSheetLayoutView="100" workbookViewId="0">
      <selection activeCell="E37" sqref="E37"/>
    </sheetView>
  </sheetViews>
  <sheetFormatPr defaultRowHeight="15" x14ac:dyDescent="0.25"/>
  <cols>
    <col min="1" max="1" width="9.140625" style="81"/>
  </cols>
  <sheetData/>
  <pageMargins left="0.7" right="0.7" top="0.75" bottom="0.75" header="0.3" footer="0.3"/>
  <pageSetup paperSize="9" orientation="portrait" r:id="rId1"/>
  <headerFooter>
    <oddHeader>&amp;R&amp;D. &amp;T. Страница &amp;P/&amp;N&amp;LСКЛАД bCad-teh2</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3F4F7-12A1-4090-A226-67A4B5804FF1}">
  <sheetPr codeName="Лист3"/>
  <dimension ref="A1:O52"/>
  <sheetViews>
    <sheetView view="pageBreakPreview" zoomScale="85" zoomScaleNormal="100" zoomScaleSheetLayoutView="85" workbookViewId="0">
      <selection activeCell="F44" sqref="F44"/>
    </sheetView>
  </sheetViews>
  <sheetFormatPr defaultRowHeight="15" x14ac:dyDescent="0.25"/>
  <cols>
    <col min="2" max="2" width="21.85546875" customWidth="1"/>
    <col min="10" max="10" width="15.7109375" customWidth="1"/>
    <col min="13" max="13" width="23.5703125" bestFit="1" customWidth="1"/>
  </cols>
  <sheetData>
    <row r="1" spans="1:15" ht="18.75" x14ac:dyDescent="0.3">
      <c r="A1" s="1" t="s">
        <v>111</v>
      </c>
      <c r="C1" s="82"/>
      <c r="D1" s="82"/>
      <c r="E1" s="30"/>
      <c r="F1" s="30"/>
      <c r="G1" s="30"/>
      <c r="H1" s="83"/>
      <c r="I1" s="83"/>
      <c r="J1" s="30"/>
      <c r="K1" s="30"/>
      <c r="L1" s="30"/>
      <c r="M1" s="84"/>
    </row>
    <row r="2" spans="1:15" ht="30" x14ac:dyDescent="0.25">
      <c r="A2" s="65" t="s">
        <v>6</v>
      </c>
      <c r="B2" s="65" t="str">
        <f>"Наименование"</f>
        <v>Наименование</v>
      </c>
      <c r="C2" s="85" t="s">
        <v>9</v>
      </c>
      <c r="D2" s="85" t="s">
        <v>11</v>
      </c>
      <c r="E2" s="86" t="s">
        <v>98</v>
      </c>
      <c r="F2" s="85" t="s">
        <v>10</v>
      </c>
      <c r="G2" s="85" t="s">
        <v>12</v>
      </c>
      <c r="H2" s="87" t="s">
        <v>99</v>
      </c>
      <c r="I2" s="65" t="s">
        <v>109</v>
      </c>
      <c r="J2" s="65" t="s">
        <v>48</v>
      </c>
      <c r="K2" s="65" t="s">
        <v>49</v>
      </c>
      <c r="L2" s="65" t="s">
        <v>50</v>
      </c>
      <c r="M2" s="65" t="s">
        <v>4</v>
      </c>
    </row>
    <row r="3" spans="1:15" s="30" customFormat="1" x14ac:dyDescent="0.25">
      <c r="A3" s="109"/>
      <c r="B3" s="109"/>
      <c r="C3" s="109"/>
      <c r="D3" s="109"/>
      <c r="E3" s="109"/>
      <c r="F3" s="109"/>
      <c r="G3" s="109"/>
      <c r="H3" s="109"/>
      <c r="I3" s="109"/>
      <c r="J3" s="109"/>
      <c r="K3" s="109"/>
      <c r="L3" s="109"/>
      <c r="M3" s="109"/>
      <c r="N3" s="109"/>
      <c r="O3" s="109"/>
    </row>
    <row r="4" spans="1:15" s="30" customFormat="1" x14ac:dyDescent="0.25">
      <c r="A4" s="109"/>
      <c r="B4" s="109"/>
      <c r="C4" s="109"/>
      <c r="D4" s="109"/>
      <c r="E4" s="109"/>
      <c r="F4" s="109"/>
      <c r="G4" s="109"/>
      <c r="H4" s="109"/>
      <c r="I4" s="109"/>
      <c r="J4" s="109"/>
      <c r="K4" s="109"/>
      <c r="L4" s="109"/>
      <c r="M4" s="109"/>
      <c r="N4" s="109"/>
      <c r="O4" s="109"/>
    </row>
    <row r="5" spans="1:15" s="30" customFormat="1" x14ac:dyDescent="0.25">
      <c r="A5" s="109"/>
      <c r="B5" s="109"/>
      <c r="C5" s="109"/>
      <c r="D5" s="109"/>
      <c r="E5" s="109"/>
      <c r="F5" s="109"/>
      <c r="G5" s="109"/>
      <c r="H5" s="109"/>
      <c r="I5" s="109"/>
      <c r="J5" s="109"/>
      <c r="K5" s="109"/>
      <c r="L5" s="109"/>
      <c r="M5" s="109"/>
      <c r="N5" s="109"/>
      <c r="O5" s="109"/>
    </row>
    <row r="6" spans="1:15" s="30" customFormat="1" x14ac:dyDescent="0.25">
      <c r="A6" s="109"/>
      <c r="B6" s="109"/>
      <c r="C6" s="109"/>
      <c r="D6" s="109"/>
      <c r="E6" s="109"/>
      <c r="F6" s="109"/>
      <c r="G6" s="109"/>
      <c r="H6" s="109"/>
      <c r="I6" s="109"/>
      <c r="J6" s="109"/>
      <c r="K6" s="109"/>
      <c r="L6" s="109"/>
      <c r="M6" s="109"/>
      <c r="N6" s="109"/>
      <c r="O6" s="109"/>
    </row>
    <row r="7" spans="1:15" s="30" customFormat="1" x14ac:dyDescent="0.25">
      <c r="A7" s="109"/>
      <c r="B7" s="109"/>
      <c r="C7" s="109"/>
      <c r="D7" s="109"/>
      <c r="E7" s="109"/>
      <c r="F7" s="109"/>
      <c r="G7" s="109"/>
      <c r="H7" s="109"/>
      <c r="I7" s="109"/>
      <c r="J7" s="109"/>
      <c r="K7" s="109"/>
      <c r="L7" s="109"/>
      <c r="M7" s="109"/>
      <c r="N7" s="109"/>
      <c r="O7" s="109"/>
    </row>
    <row r="8" spans="1:15" s="30" customFormat="1" x14ac:dyDescent="0.25">
      <c r="A8" s="109"/>
      <c r="B8" s="109"/>
      <c r="C8" s="109"/>
      <c r="D8" s="109"/>
      <c r="E8" s="109"/>
      <c r="F8" s="109"/>
      <c r="G8" s="109"/>
      <c r="H8" s="109"/>
      <c r="I8" s="109"/>
      <c r="J8" s="109"/>
      <c r="K8" s="109"/>
      <c r="L8" s="109"/>
      <c r="M8" s="109"/>
      <c r="N8" s="109"/>
      <c r="O8" s="109"/>
    </row>
    <row r="9" spans="1:15" s="30" customFormat="1" x14ac:dyDescent="0.25">
      <c r="A9" s="109"/>
      <c r="B9" s="109"/>
      <c r="C9" s="109"/>
      <c r="D9" s="109"/>
      <c r="E9" s="109"/>
      <c r="F9" s="109"/>
      <c r="G9" s="109"/>
      <c r="H9" s="109"/>
      <c r="I9" s="109"/>
      <c r="J9" s="109"/>
      <c r="K9" s="109"/>
      <c r="L9" s="109"/>
      <c r="M9" s="109"/>
      <c r="N9" s="109"/>
      <c r="O9" s="109"/>
    </row>
    <row r="10" spans="1:15" s="30" customFormat="1" x14ac:dyDescent="0.25">
      <c r="A10" s="109"/>
      <c r="B10" s="109"/>
      <c r="C10" s="109"/>
      <c r="D10" s="109"/>
      <c r="E10" s="109"/>
      <c r="F10" s="109"/>
      <c r="G10" s="109"/>
      <c r="H10" s="109"/>
      <c r="I10" s="109"/>
      <c r="J10" s="109"/>
      <c r="K10" s="109"/>
      <c r="L10" s="109"/>
      <c r="M10" s="109"/>
      <c r="N10" s="109"/>
      <c r="O10" s="109"/>
    </row>
    <row r="11" spans="1:15" s="30" customFormat="1" x14ac:dyDescent="0.25">
      <c r="A11" s="109"/>
      <c r="B11" s="109"/>
      <c r="C11" s="109"/>
      <c r="D11" s="109"/>
      <c r="E11" s="109"/>
      <c r="F11" s="109"/>
      <c r="G11" s="109"/>
      <c r="H11" s="109"/>
      <c r="I11" s="109"/>
      <c r="J11" s="109"/>
      <c r="K11" s="109"/>
      <c r="L11" s="109"/>
      <c r="M11" s="109"/>
      <c r="N11" s="109"/>
      <c r="O11" s="109"/>
    </row>
    <row r="12" spans="1:15" s="30" customFormat="1" x14ac:dyDescent="0.25">
      <c r="A12" s="109"/>
      <c r="B12" s="109"/>
      <c r="C12" s="109"/>
      <c r="D12" s="109"/>
      <c r="E12" s="109"/>
      <c r="F12" s="109"/>
      <c r="G12" s="109"/>
      <c r="H12" s="109"/>
      <c r="I12" s="109"/>
      <c r="J12" s="109"/>
      <c r="K12" s="109"/>
      <c r="L12" s="109"/>
      <c r="M12" s="109"/>
      <c r="N12" s="109"/>
      <c r="O12" s="109"/>
    </row>
    <row r="13" spans="1:15" s="30" customFormat="1" x14ac:dyDescent="0.25">
      <c r="A13" s="109"/>
      <c r="B13" s="109"/>
      <c r="C13" s="109"/>
      <c r="D13" s="109"/>
      <c r="E13" s="109"/>
      <c r="F13" s="109"/>
      <c r="G13" s="109"/>
      <c r="H13" s="109"/>
      <c r="I13" s="109"/>
      <c r="J13" s="109"/>
      <c r="K13" s="109"/>
      <c r="L13" s="109"/>
      <c r="M13" s="109"/>
      <c r="N13" s="109"/>
      <c r="O13" s="109"/>
    </row>
    <row r="14" spans="1:15" s="30" customFormat="1" x14ac:dyDescent="0.25">
      <c r="A14" s="109"/>
      <c r="B14" s="109"/>
      <c r="C14" s="109"/>
      <c r="D14" s="109"/>
      <c r="E14" s="109"/>
      <c r="F14" s="109"/>
      <c r="G14" s="109"/>
      <c r="H14" s="109"/>
      <c r="I14" s="109"/>
      <c r="J14" s="109"/>
      <c r="K14" s="109"/>
      <c r="L14" s="109"/>
      <c r="M14" s="109"/>
      <c r="N14" s="109"/>
      <c r="O14" s="109"/>
    </row>
    <row r="15" spans="1:15" s="30" customFormat="1" x14ac:dyDescent="0.25">
      <c r="A15" s="109"/>
      <c r="B15" s="109"/>
      <c r="C15" s="109"/>
      <c r="D15" s="109"/>
      <c r="E15" s="109"/>
      <c r="F15" s="109"/>
      <c r="G15" s="109"/>
      <c r="H15" s="109"/>
      <c r="I15" s="109"/>
      <c r="J15" s="109"/>
      <c r="K15" s="109"/>
      <c r="L15" s="109"/>
      <c r="M15" s="109"/>
      <c r="N15" s="109"/>
      <c r="O15" s="109"/>
    </row>
    <row r="16" spans="1:15" s="30" customFormat="1" x14ac:dyDescent="0.25">
      <c r="A16" s="109"/>
      <c r="B16" s="109"/>
      <c r="C16" s="109"/>
      <c r="D16" s="109"/>
      <c r="E16" s="109"/>
      <c r="F16" s="109"/>
      <c r="G16" s="109"/>
      <c r="H16" s="109"/>
      <c r="I16" s="109"/>
      <c r="J16" s="109"/>
      <c r="K16" s="109"/>
      <c r="L16" s="109"/>
      <c r="M16" s="109"/>
      <c r="N16" s="109"/>
      <c r="O16" s="109"/>
    </row>
    <row r="17" spans="1:15" s="30" customFormat="1" x14ac:dyDescent="0.25">
      <c r="A17" s="109"/>
      <c r="B17" s="109"/>
      <c r="C17" s="109"/>
      <c r="D17" s="109"/>
      <c r="E17" s="109"/>
      <c r="F17" s="109"/>
      <c r="G17" s="109"/>
      <c r="H17" s="109"/>
      <c r="I17" s="109"/>
      <c r="J17" s="109"/>
      <c r="K17" s="109"/>
      <c r="L17" s="109"/>
      <c r="M17" s="109"/>
      <c r="N17" s="109"/>
      <c r="O17" s="109"/>
    </row>
    <row r="18" spans="1:15" s="30" customFormat="1" x14ac:dyDescent="0.25">
      <c r="A18" s="109"/>
      <c r="B18" s="109"/>
      <c r="C18" s="109"/>
      <c r="D18" s="109"/>
      <c r="E18" s="109"/>
      <c r="F18" s="109"/>
      <c r="G18" s="109"/>
      <c r="H18" s="109"/>
      <c r="I18" s="109"/>
      <c r="J18" s="109"/>
      <c r="K18" s="109"/>
      <c r="L18" s="109"/>
      <c r="M18" s="109"/>
      <c r="N18" s="109"/>
      <c r="O18" s="109"/>
    </row>
    <row r="19" spans="1:15" s="30" customFormat="1" x14ac:dyDescent="0.25">
      <c r="A19" s="109"/>
      <c r="B19" s="109"/>
      <c r="C19" s="109"/>
      <c r="D19" s="109"/>
      <c r="E19" s="109"/>
      <c r="F19" s="109"/>
      <c r="G19" s="109"/>
      <c r="H19" s="109"/>
      <c r="I19" s="109"/>
      <c r="J19" s="109"/>
      <c r="K19" s="109"/>
      <c r="L19" s="109"/>
      <c r="M19" s="109"/>
      <c r="N19" s="109"/>
      <c r="O19" s="109"/>
    </row>
    <row r="20" spans="1:15" s="30" customFormat="1" x14ac:dyDescent="0.25">
      <c r="A20" s="109"/>
      <c r="B20" s="109"/>
      <c r="C20" s="109"/>
      <c r="D20" s="109"/>
      <c r="E20" s="109"/>
      <c r="F20" s="109"/>
      <c r="G20" s="109"/>
      <c r="H20" s="109"/>
      <c r="I20" s="109"/>
      <c r="J20" s="109"/>
      <c r="K20" s="109"/>
      <c r="L20" s="109"/>
      <c r="M20" s="109"/>
      <c r="N20" s="109"/>
      <c r="O20" s="109"/>
    </row>
    <row r="21" spans="1:15" s="30" customFormat="1" x14ac:dyDescent="0.25">
      <c r="A21" s="109"/>
      <c r="B21" s="109"/>
      <c r="C21" s="109"/>
      <c r="D21" s="109"/>
      <c r="E21" s="109"/>
      <c r="F21" s="109"/>
      <c r="G21" s="109"/>
      <c r="H21" s="109"/>
      <c r="I21" s="109"/>
      <c r="J21" s="109"/>
      <c r="K21" s="109"/>
      <c r="L21" s="109"/>
      <c r="M21" s="109"/>
      <c r="N21" s="109"/>
      <c r="O21" s="109"/>
    </row>
    <row r="22" spans="1:15" s="30" customFormat="1" x14ac:dyDescent="0.25">
      <c r="A22" s="109"/>
      <c r="B22" s="109"/>
      <c r="C22" s="109"/>
      <c r="D22" s="109"/>
      <c r="E22" s="109"/>
      <c r="F22" s="109"/>
      <c r="G22" s="109"/>
      <c r="H22" s="109"/>
      <c r="I22" s="109"/>
      <c r="J22" s="109"/>
      <c r="K22" s="109"/>
      <c r="L22" s="109"/>
      <c r="M22" s="109"/>
      <c r="N22" s="109"/>
      <c r="O22" s="109"/>
    </row>
    <row r="23" spans="1:15" s="30" customFormat="1" x14ac:dyDescent="0.25">
      <c r="A23" s="109"/>
      <c r="B23" s="109"/>
      <c r="C23" s="109"/>
      <c r="D23" s="109"/>
      <c r="E23" s="109"/>
      <c r="F23" s="109"/>
      <c r="G23" s="109"/>
      <c r="H23" s="109"/>
      <c r="I23" s="109"/>
      <c r="J23" s="109"/>
      <c r="K23" s="109"/>
      <c r="L23" s="109"/>
      <c r="M23" s="109"/>
      <c r="N23" s="109"/>
      <c r="O23" s="109"/>
    </row>
    <row r="24" spans="1:15" s="30" customFormat="1" x14ac:dyDescent="0.25">
      <c r="A24" s="109"/>
      <c r="B24" s="109"/>
      <c r="C24" s="109"/>
      <c r="D24" s="109"/>
      <c r="E24" s="109"/>
      <c r="F24" s="109"/>
      <c r="G24" s="109"/>
      <c r="H24" s="109"/>
      <c r="I24" s="109"/>
      <c r="J24" s="109"/>
      <c r="K24" s="109"/>
      <c r="L24" s="109"/>
      <c r="M24" s="109"/>
      <c r="N24" s="109"/>
      <c r="O24" s="109"/>
    </row>
    <row r="25" spans="1:15" s="30" customFormat="1" x14ac:dyDescent="0.25">
      <c r="A25" s="109"/>
      <c r="B25" s="109"/>
      <c r="C25" s="109"/>
      <c r="D25" s="109"/>
      <c r="E25" s="109"/>
      <c r="F25" s="109"/>
      <c r="G25" s="109"/>
      <c r="H25" s="109"/>
      <c r="I25" s="109"/>
      <c r="J25" s="109"/>
      <c r="K25" s="109"/>
      <c r="L25" s="109"/>
      <c r="M25" s="109"/>
      <c r="N25" s="109"/>
      <c r="O25" s="109"/>
    </row>
    <row r="26" spans="1:15" s="30" customFormat="1" x14ac:dyDescent="0.25">
      <c r="A26" s="109"/>
      <c r="B26" s="109"/>
      <c r="C26" s="109"/>
      <c r="D26" s="109"/>
      <c r="E26" s="109"/>
      <c r="F26" s="109"/>
      <c r="G26" s="109"/>
      <c r="H26" s="109"/>
      <c r="I26" s="109"/>
      <c r="J26" s="109"/>
      <c r="K26" s="109"/>
      <c r="L26" s="109"/>
      <c r="M26" s="109"/>
      <c r="N26" s="109"/>
      <c r="O26" s="109"/>
    </row>
    <row r="27" spans="1:15" s="30" customFormat="1" x14ac:dyDescent="0.25">
      <c r="A27" s="109"/>
      <c r="B27" s="109"/>
      <c r="C27" s="109"/>
      <c r="D27" s="109"/>
      <c r="E27" s="109"/>
      <c r="F27" s="109"/>
      <c r="G27" s="109"/>
      <c r="H27" s="109"/>
      <c r="I27" s="109"/>
      <c r="J27" s="109"/>
      <c r="K27" s="109"/>
      <c r="L27" s="109"/>
      <c r="M27" s="109"/>
      <c r="N27" s="109"/>
      <c r="O27" s="109"/>
    </row>
    <row r="28" spans="1:15" s="30" customFormat="1" x14ac:dyDescent="0.25">
      <c r="A28" s="109"/>
      <c r="B28" s="109"/>
      <c r="C28" s="109"/>
      <c r="D28" s="109"/>
      <c r="E28" s="109"/>
      <c r="F28" s="109"/>
      <c r="G28" s="109"/>
      <c r="H28" s="109"/>
      <c r="I28" s="109"/>
      <c r="J28" s="109"/>
      <c r="K28" s="109"/>
      <c r="L28" s="109"/>
      <c r="M28" s="109"/>
      <c r="N28" s="109"/>
      <c r="O28" s="109"/>
    </row>
    <row r="29" spans="1:15" s="30" customFormat="1" x14ac:dyDescent="0.25">
      <c r="A29" s="109"/>
      <c r="B29" s="109"/>
      <c r="C29" s="109"/>
      <c r="D29" s="109"/>
      <c r="E29" s="109"/>
      <c r="F29" s="109"/>
      <c r="G29" s="109"/>
      <c r="H29" s="109"/>
      <c r="I29" s="109"/>
      <c r="J29" s="109"/>
      <c r="K29" s="109"/>
      <c r="L29" s="109"/>
      <c r="M29" s="109"/>
      <c r="N29" s="109"/>
      <c r="O29" s="109"/>
    </row>
    <row r="30" spans="1:15" s="30" customFormat="1" x14ac:dyDescent="0.25">
      <c r="A30" s="109"/>
      <c r="B30" s="109"/>
      <c r="C30" s="109"/>
      <c r="D30" s="109"/>
      <c r="E30" s="109"/>
      <c r="F30" s="109"/>
      <c r="G30" s="109"/>
      <c r="H30" s="109"/>
      <c r="I30" s="109"/>
      <c r="J30" s="109"/>
      <c r="K30" s="109"/>
      <c r="L30" s="109"/>
      <c r="M30" s="109"/>
      <c r="N30" s="109"/>
      <c r="O30" s="109"/>
    </row>
    <row r="31" spans="1:15" s="30" customFormat="1" x14ac:dyDescent="0.25">
      <c r="A31" s="109"/>
      <c r="B31" s="109"/>
      <c r="C31" s="109"/>
      <c r="D31" s="109"/>
      <c r="E31" s="109"/>
      <c r="F31" s="109"/>
      <c r="G31" s="109"/>
      <c r="H31" s="109"/>
      <c r="I31" s="109"/>
      <c r="J31" s="109"/>
      <c r="K31" s="109"/>
      <c r="L31" s="109"/>
      <c r="M31" s="109"/>
      <c r="N31" s="109"/>
      <c r="O31" s="109"/>
    </row>
    <row r="32" spans="1:15" s="30" customFormat="1" x14ac:dyDescent="0.25">
      <c r="A32" s="109"/>
      <c r="B32" s="109"/>
      <c r="C32" s="109"/>
      <c r="D32" s="109"/>
      <c r="E32" s="109"/>
      <c r="F32" s="109"/>
      <c r="G32" s="109"/>
      <c r="H32" s="109"/>
      <c r="I32" s="109"/>
      <c r="J32" s="109"/>
      <c r="K32" s="109"/>
      <c r="L32" s="109"/>
      <c r="M32" s="109"/>
      <c r="N32" s="109"/>
      <c r="O32" s="109"/>
    </row>
    <row r="33" spans="1:13" x14ac:dyDescent="0.25">
      <c r="A33" s="13"/>
      <c r="B33" s="30"/>
      <c r="C33" s="30"/>
      <c r="D33" s="30"/>
      <c r="E33" s="50"/>
      <c r="F33" s="35"/>
      <c r="G33" s="34"/>
      <c r="H33" s="88" t="s">
        <v>100</v>
      </c>
      <c r="I33" s="94">
        <f>SUM(I3:I32)</f>
        <v>0</v>
      </c>
      <c r="J33" s="88"/>
      <c r="K33" s="88"/>
      <c r="L33" s="88" t="s">
        <v>101</v>
      </c>
      <c r="M33" s="94">
        <f>SUM(N3:N32)</f>
        <v>0</v>
      </c>
    </row>
    <row r="34" spans="1:13" x14ac:dyDescent="0.25">
      <c r="A34" s="34"/>
      <c r="B34" s="34"/>
      <c r="C34" s="89"/>
      <c r="D34" s="90"/>
      <c r="E34" s="35"/>
      <c r="F34" s="34"/>
      <c r="G34" s="34"/>
      <c r="H34" s="36"/>
      <c r="I34" s="30"/>
      <c r="J34" s="30"/>
      <c r="K34" s="30"/>
      <c r="L34" s="30"/>
      <c r="M34" s="30"/>
    </row>
    <row r="35" spans="1:13" x14ac:dyDescent="0.25">
      <c r="A35" s="2" t="s">
        <v>8</v>
      </c>
      <c r="B35" s="30"/>
      <c r="C35" s="30"/>
      <c r="D35" s="30"/>
      <c r="E35" s="30"/>
      <c r="F35" s="30"/>
      <c r="G35" s="30"/>
      <c r="H35" s="30"/>
      <c r="I35" s="30"/>
      <c r="J35" s="30"/>
      <c r="K35" s="30"/>
      <c r="L35" s="30"/>
      <c r="M35" s="30"/>
    </row>
    <row r="36" spans="1:13" x14ac:dyDescent="0.25">
      <c r="A36" s="30" t="s">
        <v>102</v>
      </c>
      <c r="B36" s="30"/>
      <c r="C36" s="30"/>
      <c r="D36" s="30"/>
      <c r="E36" s="30"/>
      <c r="F36" s="30"/>
      <c r="G36" s="30"/>
      <c r="H36" s="30"/>
      <c r="I36" s="30"/>
      <c r="J36" s="30"/>
      <c r="K36" s="30"/>
      <c r="L36" s="30"/>
      <c r="M36" s="30"/>
    </row>
    <row r="37" spans="1:13" x14ac:dyDescent="0.25">
      <c r="A37" s="30" t="s">
        <v>103</v>
      </c>
      <c r="B37" s="30"/>
      <c r="C37" s="30"/>
      <c r="D37" s="30"/>
      <c r="E37" s="30"/>
      <c r="F37" s="30"/>
      <c r="G37" s="30"/>
      <c r="H37" s="30"/>
      <c r="I37" s="30"/>
      <c r="J37" s="30"/>
      <c r="K37" s="30"/>
      <c r="L37" s="30"/>
      <c r="M37" s="30"/>
    </row>
    <row r="38" spans="1:13" x14ac:dyDescent="0.25">
      <c r="A38" s="30" t="s">
        <v>104</v>
      </c>
      <c r="B38" s="30"/>
      <c r="C38" s="30"/>
      <c r="D38" s="30"/>
      <c r="E38" s="30"/>
      <c r="F38" s="30"/>
      <c r="G38" s="30"/>
      <c r="H38" s="30"/>
      <c r="I38" s="30"/>
      <c r="J38" s="30"/>
      <c r="K38" s="30"/>
      <c r="L38" s="30"/>
      <c r="M38" s="30"/>
    </row>
    <row r="39" spans="1:13" x14ac:dyDescent="0.25">
      <c r="A39" s="30"/>
      <c r="B39" s="30"/>
      <c r="C39" s="30"/>
      <c r="D39" s="30"/>
      <c r="E39" s="30"/>
      <c r="F39" s="30"/>
      <c r="G39" s="30"/>
      <c r="H39" s="30"/>
      <c r="I39" s="30"/>
      <c r="J39" s="30"/>
      <c r="K39" s="30"/>
      <c r="L39" s="30"/>
      <c r="M39" s="30"/>
    </row>
    <row r="40" spans="1:13" ht="18.75" x14ac:dyDescent="0.3">
      <c r="B40" s="1" t="s">
        <v>41</v>
      </c>
      <c r="C40" s="38"/>
      <c r="D40" s="30"/>
      <c r="E40" s="30"/>
      <c r="F40" s="38"/>
      <c r="G40" s="38"/>
      <c r="H40" s="30"/>
      <c r="I40" s="30"/>
      <c r="J40" s="30"/>
      <c r="K40" s="30"/>
      <c r="L40" s="30"/>
      <c r="M40" s="30"/>
    </row>
    <row r="41" spans="1:13" x14ac:dyDescent="0.25">
      <c r="A41" s="91" t="s">
        <v>6</v>
      </c>
      <c r="B41" s="100" t="s">
        <v>14</v>
      </c>
      <c r="C41" s="101"/>
      <c r="D41" s="101"/>
      <c r="E41" s="101"/>
      <c r="F41" s="101"/>
      <c r="G41" s="102"/>
      <c r="H41" s="92" t="s">
        <v>31</v>
      </c>
      <c r="I41" s="93" t="s">
        <v>30</v>
      </c>
      <c r="J41" s="91" t="s">
        <v>48</v>
      </c>
      <c r="K41" s="91" t="s">
        <v>52</v>
      </c>
      <c r="L41" s="91" t="s">
        <v>53</v>
      </c>
      <c r="M41" s="30"/>
    </row>
    <row r="42" spans="1:13" x14ac:dyDescent="0.25">
      <c r="A42" s="3"/>
      <c r="B42" s="4"/>
      <c r="C42" s="46"/>
      <c r="D42" s="62"/>
      <c r="E42" s="63"/>
      <c r="F42" s="5"/>
      <c r="G42" s="43"/>
      <c r="H42" s="59"/>
      <c r="I42" s="18"/>
      <c r="J42" s="3"/>
      <c r="K42" s="3"/>
      <c r="L42" s="55"/>
      <c r="M42" s="56"/>
    </row>
    <row r="43" spans="1:13" x14ac:dyDescent="0.25">
      <c r="A43" s="3"/>
      <c r="B43" s="4"/>
      <c r="C43" s="46"/>
      <c r="D43" s="62"/>
      <c r="E43" s="63"/>
      <c r="F43" s="5"/>
      <c r="G43" s="43"/>
      <c r="H43" s="59"/>
      <c r="I43" s="18"/>
      <c r="J43" s="80"/>
      <c r="K43" s="3"/>
      <c r="L43" s="55"/>
      <c r="M43" s="56"/>
    </row>
    <row r="44" spans="1:13" x14ac:dyDescent="0.25">
      <c r="A44" s="3"/>
      <c r="B44" s="4"/>
      <c r="C44" s="46"/>
      <c r="D44" s="62"/>
      <c r="E44" s="63"/>
      <c r="F44" s="5"/>
      <c r="G44" s="43"/>
      <c r="H44" s="59"/>
      <c r="I44" s="18"/>
      <c r="J44" s="3"/>
      <c r="K44" s="3"/>
      <c r="L44" s="55"/>
      <c r="M44" s="56"/>
    </row>
    <row r="45" spans="1:13" x14ac:dyDescent="0.25">
      <c r="A45" s="3"/>
      <c r="B45" s="4"/>
      <c r="C45" s="46"/>
      <c r="D45" s="62"/>
      <c r="E45" s="63"/>
      <c r="F45" s="5"/>
      <c r="G45" s="43"/>
      <c r="H45" s="59"/>
      <c r="I45" s="18"/>
      <c r="J45" s="80"/>
      <c r="K45" s="3"/>
      <c r="L45" s="55"/>
      <c r="M45" s="56"/>
    </row>
    <row r="46" spans="1:13" x14ac:dyDescent="0.25">
      <c r="A46" s="3"/>
      <c r="B46" s="4"/>
      <c r="C46" s="46"/>
      <c r="D46" s="62"/>
      <c r="E46" s="63"/>
      <c r="F46" s="5"/>
      <c r="G46" s="43"/>
      <c r="H46" s="59"/>
      <c r="I46" s="18"/>
      <c r="J46" s="80"/>
      <c r="K46" s="3"/>
      <c r="L46" s="55"/>
      <c r="M46" s="56"/>
    </row>
    <row r="47" spans="1:13" x14ac:dyDescent="0.25">
      <c r="A47" s="3"/>
      <c r="B47" s="4"/>
      <c r="C47" s="46"/>
      <c r="D47" s="62"/>
      <c r="E47" s="63"/>
      <c r="F47" s="5"/>
      <c r="G47" s="43"/>
      <c r="H47" s="59"/>
      <c r="I47" s="18"/>
      <c r="J47" s="3"/>
      <c r="K47" s="3"/>
      <c r="L47" s="55"/>
      <c r="M47" s="56"/>
    </row>
    <row r="48" spans="1:13" x14ac:dyDescent="0.25">
      <c r="A48" s="3"/>
      <c r="B48" s="103"/>
      <c r="C48" s="46"/>
      <c r="D48" s="62"/>
      <c r="E48" s="63"/>
      <c r="F48" s="5"/>
      <c r="G48" s="43"/>
      <c r="H48" s="59"/>
      <c r="I48" s="18"/>
      <c r="J48" s="80"/>
      <c r="K48" s="3"/>
      <c r="L48" s="55"/>
      <c r="M48" s="56"/>
    </row>
    <row r="49" spans="1:13" x14ac:dyDescent="0.25">
      <c r="A49" s="3"/>
      <c r="B49" s="103"/>
      <c r="C49" s="46"/>
      <c r="D49" s="62"/>
      <c r="E49" s="63"/>
      <c r="F49" s="5"/>
      <c r="G49" s="43"/>
      <c r="H49" s="59"/>
      <c r="I49" s="18"/>
      <c r="J49" s="80"/>
      <c r="K49" s="3"/>
      <c r="L49" s="55"/>
      <c r="M49" s="56"/>
    </row>
    <row r="50" spans="1:13" x14ac:dyDescent="0.25">
      <c r="A50" s="3"/>
      <c r="B50" s="103"/>
      <c r="C50" s="46"/>
      <c r="D50" s="62"/>
      <c r="E50" s="63"/>
      <c r="F50" s="5"/>
      <c r="G50" s="43"/>
      <c r="H50" s="59"/>
      <c r="I50" s="18"/>
      <c r="J50" s="80"/>
      <c r="K50" s="3"/>
      <c r="L50" s="55"/>
      <c r="M50" s="56"/>
    </row>
    <row r="51" spans="1:13" x14ac:dyDescent="0.25">
      <c r="A51" s="3"/>
      <c r="B51" s="103"/>
      <c r="C51" s="46"/>
      <c r="D51" s="62"/>
      <c r="E51" s="63"/>
      <c r="F51" s="5"/>
      <c r="G51" s="43"/>
      <c r="H51" s="59"/>
      <c r="I51" s="18"/>
      <c r="J51" s="3"/>
      <c r="K51" s="3"/>
      <c r="L51" s="55"/>
      <c r="M51" s="56"/>
    </row>
    <row r="52" spans="1:13" x14ac:dyDescent="0.25">
      <c r="A52" s="3"/>
      <c r="B52" s="103"/>
      <c r="C52" s="46"/>
      <c r="D52" s="62"/>
      <c r="E52" s="63"/>
      <c r="F52" s="5"/>
      <c r="G52" s="43"/>
      <c r="H52" s="59"/>
      <c r="I52" s="18"/>
      <c r="J52" s="80"/>
      <c r="K52" s="3"/>
      <c r="L52" s="55"/>
      <c r="M52" s="56"/>
    </row>
  </sheetData>
  <sortState xmlns:xlrd2="http://schemas.microsoft.com/office/spreadsheetml/2017/richdata2" ref="A3:O32">
    <sortCondition ref="O3:O32"/>
    <sortCondition ref="B3:B32"/>
  </sortState>
  <mergeCells count="1">
    <mergeCell ref="B41:G41"/>
  </mergeCells>
  <dataValidations disablePrompts="1" count="1">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42:E52" xr:uid="{A7257399-85B1-4FA6-AF07-5D1B042F006B}">
      <formula1>E42&lt;&gt;"*"</formula1>
    </dataValidation>
  </dataValidations>
  <pageMargins left="0.25" right="0.25" top="0.75" bottom="0.75" header="0.3" footer="0.3"/>
  <pageSetup paperSize="9" scale="93" fitToWidth="0" fitToHeight="0" orientation="landscape" r:id="rId1"/>
  <headerFooter>
    <oddHeader>&amp;R&amp;D. &amp;T. Страница &amp;P/&amp;N&amp;LКРОМКА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4" r:id="rId4" name="Button 2">
              <controlPr defaultSize="0" print="0" autoFill="0" autoPict="0" macro="[0]!СкрытьПервыйСтолбик">
                <anchor>
                  <from>
                    <xdr:col>17</xdr:col>
                    <xdr:colOff>228600</xdr:colOff>
                    <xdr:row>0</xdr:row>
                    <xdr:rowOff>190500</xdr:rowOff>
                  </from>
                  <to>
                    <xdr:col>21</xdr:col>
                    <xdr:colOff>390525</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A94C6-D352-44B6-83E3-A5E431236380}">
  <sheetPr codeName="Лист4"/>
  <dimension ref="A1:N214"/>
  <sheetViews>
    <sheetView view="pageBreakPreview" topLeftCell="A193" zoomScale="115" zoomScaleNormal="100" zoomScaleSheetLayoutView="115" workbookViewId="0">
      <selection activeCell="A209" sqref="A3:XFD209"/>
    </sheetView>
  </sheetViews>
  <sheetFormatPr defaultRowHeight="15" x14ac:dyDescent="0.25"/>
  <cols>
    <col min="1" max="1" width="6.85546875" customWidth="1"/>
    <col min="2" max="2" width="23.28515625" customWidth="1"/>
    <col min="7" max="7" width="18" customWidth="1"/>
  </cols>
  <sheetData>
    <row r="1" spans="1:14" ht="18.75" x14ac:dyDescent="0.3">
      <c r="A1" s="1" t="s">
        <v>112</v>
      </c>
      <c r="C1" s="30"/>
      <c r="D1" s="83"/>
      <c r="E1" s="83"/>
      <c r="F1" s="83"/>
      <c r="G1" s="30"/>
      <c r="H1" s="30"/>
      <c r="I1" s="30"/>
      <c r="J1" s="84"/>
    </row>
    <row r="2" spans="1:14" ht="30" x14ac:dyDescent="0.25">
      <c r="A2" s="65" t="s">
        <v>6</v>
      </c>
      <c r="B2" s="65" t="str">
        <f>"Наименование"</f>
        <v>Наименование</v>
      </c>
      <c r="C2" s="86" t="s">
        <v>98</v>
      </c>
      <c r="D2" s="87" t="s">
        <v>99</v>
      </c>
      <c r="E2" s="65" t="s">
        <v>109</v>
      </c>
      <c r="F2" s="65" t="s">
        <v>97</v>
      </c>
      <c r="G2" s="65" t="s">
        <v>48</v>
      </c>
      <c r="H2" s="65" t="s">
        <v>49</v>
      </c>
      <c r="I2" s="65" t="s">
        <v>50</v>
      </c>
      <c r="J2" s="65" t="s">
        <v>4</v>
      </c>
    </row>
    <row r="3" spans="1:14" s="30" customFormat="1" x14ac:dyDescent="0.25">
      <c r="A3" s="96"/>
      <c r="B3" s="96"/>
      <c r="C3" s="96"/>
      <c r="D3" s="96"/>
      <c r="E3" s="96"/>
      <c r="F3" s="96"/>
      <c r="G3" s="96"/>
      <c r="H3" s="96"/>
      <c r="I3" s="96"/>
      <c r="J3" s="96"/>
      <c r="K3"/>
      <c r="L3"/>
      <c r="M3"/>
      <c r="N3"/>
    </row>
    <row r="4" spans="1:14" s="30" customFormat="1" x14ac:dyDescent="0.25">
      <c r="A4" s="96"/>
      <c r="B4" s="96"/>
      <c r="C4" s="96"/>
      <c r="D4" s="96"/>
      <c r="E4" s="96"/>
      <c r="F4" s="96"/>
      <c r="G4" s="96"/>
      <c r="H4" s="96"/>
      <c r="I4" s="96"/>
      <c r="J4" s="96"/>
      <c r="K4"/>
      <c r="L4"/>
      <c r="M4"/>
      <c r="N4"/>
    </row>
    <row r="5" spans="1:14" s="30" customFormat="1" x14ac:dyDescent="0.25">
      <c r="A5" s="96"/>
      <c r="B5" s="96"/>
      <c r="C5" s="96"/>
      <c r="D5" s="96"/>
      <c r="E5" s="96"/>
      <c r="F5" s="96"/>
      <c r="G5" s="96"/>
      <c r="H5" s="96"/>
      <c r="I5" s="96"/>
      <c r="J5" s="96"/>
    </row>
    <row r="6" spans="1:14" x14ac:dyDescent="0.25">
      <c r="A6" s="96"/>
      <c r="B6" s="96"/>
      <c r="C6" s="96"/>
      <c r="D6" s="96"/>
      <c r="E6" s="96"/>
      <c r="F6" s="96"/>
      <c r="G6" s="96"/>
      <c r="H6" s="96"/>
      <c r="I6" s="96"/>
      <c r="J6" s="96"/>
    </row>
    <row r="7" spans="1:14" s="30" customFormat="1" x14ac:dyDescent="0.25">
      <c r="A7" s="96"/>
      <c r="B7" s="96"/>
      <c r="C7" s="96"/>
      <c r="D7" s="96"/>
      <c r="E7" s="96"/>
      <c r="F7" s="96"/>
      <c r="G7" s="96"/>
      <c r="H7" s="96"/>
      <c r="I7" s="96"/>
      <c r="J7" s="96"/>
      <c r="K7"/>
      <c r="L7"/>
      <c r="M7"/>
      <c r="N7"/>
    </row>
    <row r="8" spans="1:14" s="30" customFormat="1" x14ac:dyDescent="0.25">
      <c r="A8" s="96"/>
      <c r="B8" s="96"/>
      <c r="C8" s="96"/>
      <c r="D8" s="96"/>
      <c r="E8" s="96"/>
      <c r="F8" s="96"/>
      <c r="G8" s="96"/>
      <c r="H8" s="96"/>
      <c r="I8" s="96"/>
      <c r="J8" s="96"/>
    </row>
    <row r="9" spans="1:14" s="30" customFormat="1" x14ac:dyDescent="0.25">
      <c r="A9" s="96"/>
      <c r="B9" s="96"/>
      <c r="C9" s="96"/>
      <c r="D9" s="96"/>
      <c r="E9" s="96"/>
      <c r="F9" s="96"/>
      <c r="G9" s="96"/>
      <c r="H9" s="96"/>
      <c r="I9" s="96"/>
      <c r="J9" s="96"/>
      <c r="K9"/>
      <c r="L9"/>
      <c r="M9"/>
      <c r="N9"/>
    </row>
    <row r="10" spans="1:14" s="30" customFormat="1" x14ac:dyDescent="0.25">
      <c r="A10" s="96"/>
      <c r="B10" s="96"/>
      <c r="C10" s="96"/>
      <c r="D10" s="96"/>
      <c r="E10" s="96"/>
      <c r="F10" s="96"/>
      <c r="G10" s="96"/>
      <c r="H10" s="96"/>
      <c r="I10" s="96"/>
      <c r="J10" s="96"/>
    </row>
    <row r="11" spans="1:14" s="30" customFormat="1" x14ac:dyDescent="0.25">
      <c r="A11" s="96"/>
      <c r="B11" s="96"/>
      <c r="C11" s="96"/>
      <c r="D11" s="96"/>
      <c r="E11" s="96"/>
      <c r="F11" s="96"/>
      <c r="G11" s="96"/>
      <c r="H11" s="96"/>
      <c r="I11" s="96"/>
      <c r="J11" s="96"/>
      <c r="K11"/>
      <c r="L11"/>
      <c r="M11"/>
      <c r="N11"/>
    </row>
    <row r="12" spans="1:14" s="30" customFormat="1" x14ac:dyDescent="0.25">
      <c r="A12" s="96"/>
      <c r="B12" s="96"/>
      <c r="C12" s="96"/>
      <c r="D12" s="96"/>
      <c r="E12" s="96"/>
      <c r="F12" s="96"/>
      <c r="G12" s="96"/>
      <c r="H12" s="96"/>
      <c r="I12" s="96"/>
      <c r="J12" s="96"/>
      <c r="K12"/>
      <c r="L12"/>
      <c r="M12"/>
      <c r="N12"/>
    </row>
    <row r="13" spans="1:14" s="30" customFormat="1" x14ac:dyDescent="0.25">
      <c r="A13" s="96"/>
      <c r="B13" s="96"/>
      <c r="C13" s="96"/>
      <c r="D13" s="96"/>
      <c r="E13" s="96"/>
      <c r="F13" s="96"/>
      <c r="G13" s="96"/>
      <c r="H13" s="96"/>
      <c r="I13" s="96"/>
      <c r="J13" s="96"/>
      <c r="K13"/>
      <c r="L13"/>
      <c r="M13"/>
      <c r="N13"/>
    </row>
    <row r="14" spans="1:14" s="30" customFormat="1" x14ac:dyDescent="0.25">
      <c r="A14" s="96"/>
      <c r="B14" s="96"/>
      <c r="C14" s="96"/>
      <c r="D14" s="96"/>
      <c r="E14" s="96"/>
      <c r="F14" s="96"/>
      <c r="G14" s="96"/>
      <c r="H14" s="96"/>
      <c r="I14" s="96"/>
      <c r="J14" s="96"/>
      <c r="K14"/>
      <c r="L14"/>
      <c r="M14"/>
      <c r="N14"/>
    </row>
    <row r="15" spans="1:14" s="30" customFormat="1" x14ac:dyDescent="0.25">
      <c r="A15" s="96"/>
      <c r="B15" s="96"/>
      <c r="C15" s="96"/>
      <c r="D15" s="96"/>
      <c r="E15" s="96"/>
      <c r="F15" s="96"/>
      <c r="G15" s="96"/>
      <c r="H15" s="96"/>
      <c r="I15" s="96"/>
      <c r="J15" s="96"/>
      <c r="K15"/>
      <c r="L15"/>
      <c r="M15"/>
      <c r="N15"/>
    </row>
    <row r="16" spans="1:14" s="30" customFormat="1" x14ac:dyDescent="0.25">
      <c r="A16" s="96"/>
      <c r="B16" s="96"/>
      <c r="C16" s="96"/>
      <c r="D16" s="96"/>
      <c r="E16" s="96"/>
      <c r="F16" s="96"/>
      <c r="G16" s="96"/>
      <c r="H16" s="96"/>
      <c r="I16" s="96"/>
      <c r="J16" s="96"/>
    </row>
    <row r="17" spans="1:14" s="30" customFormat="1" x14ac:dyDescent="0.25">
      <c r="A17" s="96"/>
      <c r="B17" s="96"/>
      <c r="C17" s="96"/>
      <c r="D17" s="96"/>
      <c r="E17" s="96"/>
      <c r="F17" s="96"/>
      <c r="G17" s="96"/>
      <c r="H17" s="96"/>
      <c r="I17" s="96"/>
      <c r="J17" s="96"/>
      <c r="K17"/>
      <c r="L17"/>
      <c r="M17"/>
      <c r="N17"/>
    </row>
    <row r="18" spans="1:14" s="30" customFormat="1" x14ac:dyDescent="0.25">
      <c r="A18" s="96"/>
      <c r="B18" s="96"/>
      <c r="C18" s="96"/>
      <c r="D18" s="96"/>
      <c r="E18" s="96"/>
      <c r="F18" s="96"/>
      <c r="G18" s="96"/>
      <c r="H18" s="96"/>
      <c r="I18" s="96"/>
      <c r="J18" s="96"/>
      <c r="K18"/>
      <c r="L18"/>
      <c r="M18"/>
      <c r="N18"/>
    </row>
    <row r="19" spans="1:14" s="30" customFormat="1" x14ac:dyDescent="0.25">
      <c r="A19" s="96"/>
      <c r="B19" s="96"/>
      <c r="C19" s="96"/>
      <c r="D19" s="96"/>
      <c r="E19" s="96"/>
      <c r="F19" s="96"/>
      <c r="G19" s="96"/>
      <c r="H19" s="96"/>
      <c r="I19" s="96"/>
      <c r="J19" s="96"/>
    </row>
    <row r="20" spans="1:14" s="30" customFormat="1" x14ac:dyDescent="0.25">
      <c r="A20" s="96"/>
      <c r="B20" s="96"/>
      <c r="C20" s="96"/>
      <c r="D20" s="96"/>
      <c r="E20" s="96"/>
      <c r="F20" s="96"/>
      <c r="G20" s="96"/>
      <c r="H20" s="96"/>
      <c r="I20" s="96"/>
      <c r="J20" s="96"/>
      <c r="K20"/>
      <c r="L20"/>
      <c r="M20"/>
      <c r="N20"/>
    </row>
    <row r="21" spans="1:14" s="30" customFormat="1" x14ac:dyDescent="0.25">
      <c r="A21" s="96"/>
      <c r="B21" s="96"/>
      <c r="C21" s="96"/>
      <c r="D21" s="96"/>
      <c r="E21" s="96"/>
      <c r="F21" s="96"/>
      <c r="G21" s="96"/>
      <c r="H21" s="96"/>
      <c r="I21" s="96"/>
      <c r="J21" s="96"/>
    </row>
    <row r="22" spans="1:14" s="30" customFormat="1" x14ac:dyDescent="0.25">
      <c r="A22" s="96"/>
      <c r="B22" s="96"/>
      <c r="C22" s="96"/>
      <c r="D22" s="96"/>
      <c r="E22" s="96"/>
      <c r="F22" s="96"/>
      <c r="G22" s="96"/>
      <c r="H22" s="96"/>
      <c r="I22" s="96"/>
      <c r="J22" s="96"/>
      <c r="K22"/>
      <c r="L22"/>
      <c r="M22"/>
      <c r="N22"/>
    </row>
    <row r="23" spans="1:14" s="30" customFormat="1" x14ac:dyDescent="0.25">
      <c r="A23" s="96"/>
      <c r="B23" s="96"/>
      <c r="C23" s="96"/>
      <c r="D23" s="96"/>
      <c r="E23" s="96"/>
      <c r="F23" s="96"/>
      <c r="G23" s="96"/>
      <c r="H23" s="96"/>
      <c r="I23" s="96"/>
      <c r="J23" s="96"/>
      <c r="K23"/>
      <c r="L23"/>
      <c r="M23"/>
      <c r="N23"/>
    </row>
    <row r="24" spans="1:14" s="30" customFormat="1" x14ac:dyDescent="0.25">
      <c r="A24" s="96"/>
      <c r="B24" s="96"/>
      <c r="C24" s="96"/>
      <c r="D24" s="96"/>
      <c r="E24" s="96"/>
      <c r="F24" s="96"/>
      <c r="G24" s="96"/>
      <c r="H24" s="96"/>
      <c r="I24" s="96"/>
      <c r="J24" s="96"/>
      <c r="K24"/>
      <c r="L24"/>
      <c r="M24"/>
      <c r="N24"/>
    </row>
    <row r="25" spans="1:14" s="30" customFormat="1" x14ac:dyDescent="0.25">
      <c r="A25" s="96"/>
      <c r="B25" s="96"/>
      <c r="C25" s="96"/>
      <c r="D25" s="96"/>
      <c r="E25" s="96"/>
      <c r="F25" s="96"/>
      <c r="G25" s="96"/>
      <c r="H25" s="96"/>
      <c r="I25" s="96"/>
      <c r="J25" s="96"/>
      <c r="K25"/>
      <c r="L25"/>
      <c r="M25"/>
      <c r="N25"/>
    </row>
    <row r="26" spans="1:14" s="30" customFormat="1" x14ac:dyDescent="0.25">
      <c r="A26" s="96"/>
      <c r="B26" s="96"/>
      <c r="C26" s="96"/>
      <c r="D26" s="96"/>
      <c r="E26" s="96"/>
      <c r="F26" s="96"/>
      <c r="G26" s="96"/>
      <c r="H26" s="96"/>
      <c r="I26" s="96"/>
      <c r="J26" s="96"/>
    </row>
    <row r="27" spans="1:14" s="30" customFormat="1" x14ac:dyDescent="0.25">
      <c r="A27" s="96"/>
      <c r="B27" s="96"/>
      <c r="C27" s="96"/>
      <c r="D27" s="96"/>
      <c r="E27" s="96"/>
      <c r="F27" s="96"/>
      <c r="G27" s="96"/>
      <c r="H27" s="96"/>
      <c r="I27" s="96"/>
      <c r="J27" s="96"/>
      <c r="K27"/>
      <c r="L27"/>
      <c r="M27"/>
      <c r="N27"/>
    </row>
    <row r="28" spans="1:14" s="30" customFormat="1" x14ac:dyDescent="0.25">
      <c r="A28" s="96"/>
      <c r="B28" s="96"/>
      <c r="C28" s="96"/>
      <c r="D28" s="96"/>
      <c r="E28" s="96"/>
      <c r="F28" s="96"/>
      <c r="G28" s="96"/>
      <c r="H28" s="96"/>
      <c r="I28" s="96"/>
      <c r="J28" s="96"/>
    </row>
    <row r="29" spans="1:14" s="30" customFormat="1" x14ac:dyDescent="0.25">
      <c r="A29" s="96"/>
      <c r="B29" s="96"/>
      <c r="C29" s="96"/>
      <c r="D29" s="96"/>
      <c r="E29" s="96"/>
      <c r="F29" s="96"/>
      <c r="G29" s="96"/>
      <c r="H29" s="96"/>
      <c r="I29" s="96"/>
      <c r="J29" s="96"/>
      <c r="K29"/>
      <c r="L29"/>
      <c r="M29"/>
      <c r="N29"/>
    </row>
    <row r="30" spans="1:14" s="30" customFormat="1" x14ac:dyDescent="0.25">
      <c r="A30" s="96"/>
      <c r="B30" s="96"/>
      <c r="C30" s="96"/>
      <c r="D30" s="96"/>
      <c r="E30" s="96"/>
      <c r="F30" s="96"/>
      <c r="G30" s="96"/>
      <c r="H30" s="96"/>
      <c r="I30" s="96"/>
      <c r="J30" s="96"/>
    </row>
    <row r="31" spans="1:14" s="30" customFormat="1" x14ac:dyDescent="0.25">
      <c r="A31" s="96"/>
      <c r="B31" s="96"/>
      <c r="C31" s="96"/>
      <c r="D31" s="96"/>
      <c r="E31" s="96"/>
      <c r="F31" s="96"/>
      <c r="G31" s="96"/>
      <c r="H31" s="96"/>
      <c r="I31" s="96"/>
      <c r="J31" s="96"/>
      <c r="K31"/>
      <c r="L31"/>
      <c r="M31"/>
      <c r="N31"/>
    </row>
    <row r="32" spans="1:14" s="30" customFormat="1" x14ac:dyDescent="0.25">
      <c r="A32" s="96"/>
      <c r="B32" s="96"/>
      <c r="C32" s="96"/>
      <c r="D32" s="96"/>
      <c r="E32" s="96"/>
      <c r="F32" s="96"/>
      <c r="G32" s="96"/>
      <c r="H32" s="96"/>
      <c r="I32" s="96"/>
      <c r="J32" s="96"/>
      <c r="K32"/>
      <c r="L32"/>
      <c r="M32"/>
      <c r="N32"/>
    </row>
    <row r="33" spans="1:14" s="30" customFormat="1" x14ac:dyDescent="0.25">
      <c r="A33" s="96"/>
      <c r="B33" s="96"/>
      <c r="C33" s="96"/>
      <c r="D33" s="96"/>
      <c r="E33" s="96"/>
      <c r="F33" s="96"/>
      <c r="G33" s="96"/>
      <c r="H33" s="96"/>
      <c r="I33" s="96"/>
      <c r="J33" s="96"/>
      <c r="K33"/>
      <c r="L33"/>
      <c r="M33"/>
      <c r="N33"/>
    </row>
    <row r="34" spans="1:14" s="30" customFormat="1" x14ac:dyDescent="0.25">
      <c r="A34" s="96"/>
      <c r="B34" s="96"/>
      <c r="C34" s="96"/>
      <c r="D34" s="96"/>
      <c r="E34" s="96"/>
      <c r="F34" s="96"/>
      <c r="G34" s="96"/>
      <c r="H34" s="96"/>
      <c r="I34" s="96"/>
      <c r="J34" s="96"/>
      <c r="K34"/>
      <c r="L34"/>
      <c r="M34"/>
      <c r="N34"/>
    </row>
    <row r="35" spans="1:14" s="30" customFormat="1" x14ac:dyDescent="0.25">
      <c r="A35" s="96"/>
      <c r="B35" s="96"/>
      <c r="C35" s="96"/>
      <c r="D35" s="96"/>
      <c r="E35" s="96"/>
      <c r="F35" s="96"/>
      <c r="G35" s="96"/>
      <c r="H35" s="96"/>
      <c r="I35" s="96"/>
      <c r="J35" s="96"/>
    </row>
    <row r="36" spans="1:14" s="30" customFormat="1" x14ac:dyDescent="0.25">
      <c r="A36" s="96"/>
      <c r="B36" s="96"/>
      <c r="C36" s="96"/>
      <c r="D36" s="96"/>
      <c r="E36" s="96"/>
      <c r="F36" s="96"/>
      <c r="G36" s="96"/>
      <c r="H36" s="96"/>
      <c r="I36" s="96"/>
      <c r="J36" s="96"/>
      <c r="K36"/>
      <c r="L36"/>
      <c r="M36"/>
      <c r="N36"/>
    </row>
    <row r="37" spans="1:14" s="30" customFormat="1" x14ac:dyDescent="0.25">
      <c r="A37" s="96"/>
      <c r="B37" s="96"/>
      <c r="C37" s="96"/>
      <c r="D37" s="96"/>
      <c r="E37" s="96"/>
      <c r="F37" s="96"/>
      <c r="G37" s="96"/>
      <c r="H37" s="96"/>
      <c r="I37" s="96"/>
      <c r="J37" s="96"/>
    </row>
    <row r="38" spans="1:14" s="30" customFormat="1" x14ac:dyDescent="0.25">
      <c r="A38" s="96"/>
      <c r="B38" s="96"/>
      <c r="C38" s="96"/>
      <c r="D38" s="96"/>
      <c r="E38" s="96"/>
      <c r="F38" s="96"/>
      <c r="G38" s="96"/>
      <c r="H38" s="96"/>
      <c r="I38" s="96"/>
      <c r="J38" s="96"/>
    </row>
    <row r="39" spans="1:14" s="30" customFormat="1" x14ac:dyDescent="0.25">
      <c r="A39" s="96"/>
      <c r="B39" s="96"/>
      <c r="C39" s="96"/>
      <c r="D39" s="96"/>
      <c r="E39" s="96"/>
      <c r="F39" s="96"/>
      <c r="G39" s="96"/>
      <c r="H39" s="96"/>
      <c r="I39" s="96"/>
      <c r="J39" s="96"/>
    </row>
    <row r="40" spans="1:14" s="30" customFormat="1" x14ac:dyDescent="0.25">
      <c r="A40" s="96"/>
      <c r="B40" s="96"/>
      <c r="C40" s="96"/>
      <c r="D40" s="96"/>
      <c r="E40" s="96"/>
      <c r="F40" s="96"/>
      <c r="G40" s="96"/>
      <c r="H40" s="96"/>
      <c r="I40" s="96"/>
      <c r="J40" s="96"/>
    </row>
    <row r="41" spans="1:14" s="30" customFormat="1" x14ac:dyDescent="0.25">
      <c r="A41" s="96"/>
      <c r="B41" s="96"/>
      <c r="C41" s="96"/>
      <c r="D41" s="96"/>
      <c r="E41" s="96"/>
      <c r="F41" s="96"/>
      <c r="G41" s="96"/>
      <c r="H41" s="96"/>
      <c r="I41" s="96"/>
      <c r="J41" s="96"/>
    </row>
    <row r="42" spans="1:14" s="30" customFormat="1" x14ac:dyDescent="0.25">
      <c r="A42" s="96"/>
      <c r="B42" s="96"/>
      <c r="C42" s="96"/>
      <c r="D42" s="96"/>
      <c r="E42" s="96"/>
      <c r="F42" s="96"/>
      <c r="G42" s="96"/>
      <c r="H42" s="96"/>
      <c r="I42" s="96"/>
      <c r="J42" s="96"/>
    </row>
    <row r="43" spans="1:14" s="30" customFormat="1" x14ac:dyDescent="0.25">
      <c r="A43" s="96"/>
      <c r="B43" s="96"/>
      <c r="C43" s="96"/>
      <c r="D43" s="96"/>
      <c r="E43" s="96"/>
      <c r="F43" s="96"/>
      <c r="G43" s="96"/>
      <c r="H43" s="96"/>
      <c r="I43" s="96"/>
      <c r="J43" s="96"/>
    </row>
    <row r="44" spans="1:14" s="30" customFormat="1" x14ac:dyDescent="0.25">
      <c r="A44" s="96"/>
      <c r="B44" s="96"/>
      <c r="C44" s="96"/>
      <c r="D44" s="96"/>
      <c r="E44" s="96"/>
      <c r="F44" s="96"/>
      <c r="G44" s="96"/>
      <c r="H44" s="96"/>
      <c r="I44" s="96"/>
      <c r="J44" s="96"/>
    </row>
    <row r="45" spans="1:14" s="30" customFormat="1" x14ac:dyDescent="0.25">
      <c r="A45" s="96"/>
      <c r="B45" s="96"/>
      <c r="C45" s="96"/>
      <c r="D45" s="96"/>
      <c r="E45" s="96"/>
      <c r="F45" s="96"/>
      <c r="G45" s="96"/>
      <c r="H45" s="96"/>
      <c r="I45" s="96"/>
      <c r="J45" s="96"/>
    </row>
    <row r="46" spans="1:14" s="30" customFormat="1" x14ac:dyDescent="0.25">
      <c r="A46" s="96"/>
      <c r="B46" s="96"/>
      <c r="C46" s="96"/>
      <c r="D46" s="96"/>
      <c r="E46" s="96"/>
      <c r="F46" s="96"/>
      <c r="G46" s="96"/>
      <c r="H46" s="96"/>
      <c r="I46" s="96"/>
      <c r="J46" s="96"/>
    </row>
    <row r="47" spans="1:14" s="30" customFormat="1" x14ac:dyDescent="0.25">
      <c r="A47" s="96"/>
      <c r="B47" s="96"/>
      <c r="C47" s="96"/>
      <c r="D47" s="96"/>
      <c r="E47" s="96"/>
      <c r="F47" s="96"/>
      <c r="G47" s="96"/>
      <c r="H47" s="96"/>
      <c r="I47" s="96"/>
      <c r="J47" s="96"/>
    </row>
    <row r="48" spans="1:14" s="30" customFormat="1" x14ac:dyDescent="0.25">
      <c r="A48" s="96"/>
      <c r="B48" s="96"/>
      <c r="C48" s="96"/>
      <c r="D48" s="96"/>
      <c r="E48" s="96"/>
      <c r="F48" s="96"/>
      <c r="G48" s="96"/>
      <c r="H48" s="96"/>
      <c r="I48" s="96"/>
      <c r="J48" s="96"/>
    </row>
    <row r="49" spans="1:10" s="30" customFormat="1" x14ac:dyDescent="0.25">
      <c r="A49" s="96"/>
      <c r="B49" s="96"/>
      <c r="C49" s="96"/>
      <c r="D49" s="96"/>
      <c r="E49" s="96"/>
      <c r="F49" s="96"/>
      <c r="G49" s="96"/>
      <c r="H49" s="96"/>
      <c r="I49" s="96"/>
      <c r="J49" s="96"/>
    </row>
    <row r="50" spans="1:10" s="30" customFormat="1" x14ac:dyDescent="0.25">
      <c r="A50" s="96"/>
      <c r="B50" s="96"/>
      <c r="C50" s="96"/>
      <c r="D50" s="96"/>
      <c r="E50" s="96"/>
      <c r="F50" s="96"/>
      <c r="G50" s="96"/>
      <c r="H50" s="96"/>
      <c r="I50" s="96"/>
      <c r="J50" s="96"/>
    </row>
    <row r="51" spans="1:10" s="30" customFormat="1" x14ac:dyDescent="0.25">
      <c r="A51" s="96"/>
      <c r="B51" s="96"/>
      <c r="C51" s="96"/>
      <c r="D51" s="96"/>
      <c r="E51" s="96"/>
      <c r="F51" s="96"/>
      <c r="G51" s="96"/>
      <c r="H51" s="96"/>
      <c r="I51" s="96"/>
      <c r="J51" s="96"/>
    </row>
    <row r="52" spans="1:10" s="30" customFormat="1" x14ac:dyDescent="0.25">
      <c r="A52" s="96"/>
      <c r="B52" s="96"/>
      <c r="C52" s="96"/>
      <c r="D52" s="96"/>
      <c r="E52" s="96"/>
      <c r="F52" s="96"/>
      <c r="G52" s="96"/>
      <c r="H52" s="96"/>
      <c r="I52" s="96"/>
      <c r="J52" s="96"/>
    </row>
    <row r="53" spans="1:10" s="30" customFormat="1" x14ac:dyDescent="0.25">
      <c r="A53" s="96"/>
      <c r="B53" s="96"/>
      <c r="C53" s="96"/>
      <c r="D53" s="96"/>
      <c r="E53" s="96"/>
      <c r="F53" s="96"/>
      <c r="G53" s="96"/>
      <c r="H53" s="96"/>
      <c r="I53" s="96"/>
      <c r="J53" s="96"/>
    </row>
    <row r="54" spans="1:10" s="30" customFormat="1" x14ac:dyDescent="0.25">
      <c r="A54" s="96"/>
      <c r="B54" s="96"/>
      <c r="C54" s="96"/>
      <c r="D54" s="96"/>
      <c r="E54" s="96"/>
      <c r="F54" s="96"/>
      <c r="G54" s="96"/>
      <c r="H54" s="96"/>
      <c r="I54" s="96"/>
      <c r="J54" s="96"/>
    </row>
    <row r="55" spans="1:10" s="30" customFormat="1" x14ac:dyDescent="0.25">
      <c r="A55" s="96"/>
      <c r="B55" s="96"/>
      <c r="C55" s="96"/>
      <c r="D55" s="96"/>
      <c r="E55" s="96"/>
      <c r="F55" s="96"/>
      <c r="G55" s="96"/>
      <c r="H55" s="96"/>
      <c r="I55" s="96"/>
      <c r="J55" s="96"/>
    </row>
    <row r="56" spans="1:10" s="30" customFormat="1" x14ac:dyDescent="0.25">
      <c r="A56" s="96"/>
      <c r="B56" s="96"/>
      <c r="C56" s="96"/>
      <c r="D56" s="96"/>
      <c r="E56" s="96"/>
      <c r="F56" s="96"/>
      <c r="G56" s="96"/>
      <c r="H56" s="96"/>
      <c r="I56" s="96"/>
      <c r="J56" s="96"/>
    </row>
    <row r="57" spans="1:10" s="30" customFormat="1" x14ac:dyDescent="0.25">
      <c r="A57" s="96"/>
      <c r="B57" s="96"/>
      <c r="C57" s="96"/>
      <c r="D57" s="96"/>
      <c r="E57" s="96"/>
      <c r="F57" s="96"/>
      <c r="G57" s="96"/>
      <c r="H57" s="96"/>
      <c r="I57" s="96"/>
      <c r="J57" s="96"/>
    </row>
    <row r="58" spans="1:10" s="30" customFormat="1" x14ac:dyDescent="0.25">
      <c r="A58" s="96"/>
      <c r="B58" s="96"/>
      <c r="C58" s="96"/>
      <c r="D58" s="96"/>
      <c r="E58" s="96"/>
      <c r="F58" s="96"/>
      <c r="G58" s="96"/>
      <c r="H58" s="96"/>
      <c r="I58" s="96"/>
      <c r="J58" s="96"/>
    </row>
    <row r="59" spans="1:10" s="30" customFormat="1" x14ac:dyDescent="0.25">
      <c r="A59" s="96"/>
      <c r="B59" s="96"/>
      <c r="C59" s="96"/>
      <c r="D59" s="96"/>
      <c r="E59" s="96"/>
      <c r="F59" s="96"/>
      <c r="G59" s="96"/>
      <c r="H59" s="96"/>
      <c r="I59" s="96"/>
      <c r="J59" s="96"/>
    </row>
    <row r="60" spans="1:10" s="30" customFormat="1" x14ac:dyDescent="0.25">
      <c r="A60" s="96"/>
      <c r="B60" s="96"/>
      <c r="C60" s="96"/>
      <c r="D60" s="96"/>
      <c r="E60" s="96"/>
      <c r="F60" s="96"/>
      <c r="G60" s="96"/>
      <c r="H60" s="96"/>
      <c r="I60" s="96"/>
      <c r="J60" s="96"/>
    </row>
    <row r="61" spans="1:10" s="30" customFormat="1" x14ac:dyDescent="0.25">
      <c r="A61" s="96"/>
      <c r="B61" s="96"/>
      <c r="C61" s="96"/>
      <c r="D61" s="96"/>
      <c r="E61" s="96"/>
      <c r="F61" s="96"/>
      <c r="G61" s="96"/>
      <c r="H61" s="96"/>
      <c r="I61" s="96"/>
      <c r="J61" s="96"/>
    </row>
    <row r="62" spans="1:10" s="30" customFormat="1" x14ac:dyDescent="0.25">
      <c r="A62" s="96"/>
      <c r="B62" s="96"/>
      <c r="C62" s="96"/>
      <c r="D62" s="96"/>
      <c r="E62" s="96"/>
      <c r="F62" s="96"/>
      <c r="G62" s="96"/>
      <c r="H62" s="96"/>
      <c r="I62" s="96"/>
      <c r="J62" s="96"/>
    </row>
    <row r="63" spans="1:10" s="30" customFormat="1" x14ac:dyDescent="0.25">
      <c r="A63" s="96"/>
      <c r="B63" s="96"/>
      <c r="C63" s="96"/>
      <c r="D63" s="96"/>
      <c r="E63" s="96"/>
      <c r="F63" s="96"/>
      <c r="G63" s="96"/>
      <c r="H63" s="96"/>
      <c r="I63" s="96"/>
      <c r="J63" s="96"/>
    </row>
    <row r="64" spans="1:10" s="30" customFormat="1" x14ac:dyDescent="0.25">
      <c r="A64" s="96"/>
      <c r="B64" s="96"/>
      <c r="C64" s="96"/>
      <c r="D64" s="96"/>
      <c r="E64" s="96"/>
      <c r="F64" s="96"/>
      <c r="G64" s="96"/>
      <c r="H64" s="96"/>
      <c r="I64" s="96"/>
      <c r="J64" s="96"/>
    </row>
    <row r="65" spans="1:10" s="30" customFormat="1" x14ac:dyDescent="0.25">
      <c r="A65" s="96"/>
      <c r="B65" s="96"/>
      <c r="C65" s="96"/>
      <c r="D65" s="96"/>
      <c r="E65" s="96"/>
      <c r="F65" s="96"/>
      <c r="G65" s="96"/>
      <c r="H65" s="96"/>
      <c r="I65" s="96"/>
      <c r="J65" s="96"/>
    </row>
    <row r="66" spans="1:10" s="30" customFormat="1" x14ac:dyDescent="0.25">
      <c r="A66" s="96"/>
      <c r="B66" s="96"/>
      <c r="C66" s="96"/>
      <c r="D66" s="96"/>
      <c r="E66" s="96"/>
      <c r="F66" s="96"/>
      <c r="G66" s="96"/>
      <c r="H66" s="96"/>
      <c r="I66" s="96"/>
      <c r="J66" s="96"/>
    </row>
    <row r="67" spans="1:10" s="30" customFormat="1" x14ac:dyDescent="0.25">
      <c r="A67" s="96"/>
      <c r="B67" s="96"/>
      <c r="C67" s="96"/>
      <c r="D67" s="96"/>
      <c r="E67" s="96"/>
      <c r="F67" s="96"/>
      <c r="G67" s="96"/>
      <c r="H67" s="96"/>
      <c r="I67" s="96"/>
      <c r="J67" s="96"/>
    </row>
    <row r="68" spans="1:10" s="30" customFormat="1" x14ac:dyDescent="0.25">
      <c r="A68" s="96"/>
      <c r="B68" s="96"/>
      <c r="C68" s="96"/>
      <c r="D68" s="96"/>
      <c r="E68" s="96"/>
      <c r="F68" s="96"/>
      <c r="G68" s="96"/>
      <c r="H68" s="96"/>
      <c r="I68" s="96"/>
      <c r="J68" s="96"/>
    </row>
    <row r="69" spans="1:10" s="30" customFormat="1" x14ac:dyDescent="0.25">
      <c r="A69" s="96"/>
      <c r="B69" s="96"/>
      <c r="C69" s="96"/>
      <c r="D69" s="96"/>
      <c r="E69" s="96"/>
      <c r="F69" s="96"/>
      <c r="G69" s="96"/>
      <c r="H69" s="96"/>
      <c r="I69" s="96"/>
      <c r="J69" s="96"/>
    </row>
    <row r="70" spans="1:10" s="30" customFormat="1" x14ac:dyDescent="0.25">
      <c r="A70" s="96"/>
      <c r="B70" s="96"/>
      <c r="C70" s="96"/>
      <c r="D70" s="96"/>
      <c r="E70" s="96"/>
      <c r="F70" s="96"/>
      <c r="G70" s="96"/>
      <c r="H70" s="96"/>
      <c r="I70" s="96"/>
      <c r="J70" s="96"/>
    </row>
    <row r="71" spans="1:10" s="30" customFormat="1" x14ac:dyDescent="0.25">
      <c r="A71" s="96"/>
      <c r="B71" s="96"/>
      <c r="C71" s="96"/>
      <c r="D71" s="96"/>
      <c r="E71" s="96"/>
      <c r="F71" s="96"/>
      <c r="G71" s="96"/>
      <c r="H71" s="96"/>
      <c r="I71" s="96"/>
      <c r="J71" s="96"/>
    </row>
    <row r="72" spans="1:10" s="30" customFormat="1" x14ac:dyDescent="0.25">
      <c r="A72" s="96"/>
      <c r="B72" s="96"/>
      <c r="C72" s="96"/>
      <c r="D72" s="96"/>
      <c r="E72" s="96"/>
      <c r="F72" s="96"/>
      <c r="G72" s="96"/>
      <c r="H72" s="96"/>
      <c r="I72" s="96"/>
      <c r="J72" s="96"/>
    </row>
    <row r="73" spans="1:10" s="30" customFormat="1" x14ac:dyDescent="0.25">
      <c r="A73" s="96"/>
      <c r="B73" s="96"/>
      <c r="C73" s="96"/>
      <c r="D73" s="96"/>
      <c r="E73" s="96"/>
      <c r="F73" s="96"/>
      <c r="G73" s="96"/>
      <c r="H73" s="96"/>
      <c r="I73" s="96"/>
      <c r="J73" s="96"/>
    </row>
    <row r="74" spans="1:10" s="30" customFormat="1" x14ac:dyDescent="0.25">
      <c r="A74" s="96"/>
      <c r="B74" s="96"/>
      <c r="C74" s="96"/>
      <c r="D74" s="96"/>
      <c r="E74" s="96"/>
      <c r="F74" s="96"/>
      <c r="G74" s="96"/>
      <c r="H74" s="96"/>
      <c r="I74" s="96"/>
      <c r="J74" s="96"/>
    </row>
    <row r="75" spans="1:10" s="30" customFormat="1" x14ac:dyDescent="0.25">
      <c r="A75" s="96"/>
      <c r="B75" s="96"/>
      <c r="C75" s="96"/>
      <c r="D75" s="96"/>
      <c r="E75" s="96"/>
      <c r="F75" s="96"/>
      <c r="G75" s="96"/>
      <c r="H75" s="96"/>
      <c r="I75" s="96"/>
      <c r="J75" s="96"/>
    </row>
    <row r="76" spans="1:10" s="30" customFormat="1" x14ac:dyDescent="0.25">
      <c r="A76" s="96"/>
      <c r="B76" s="96"/>
      <c r="C76" s="96"/>
      <c r="D76" s="96"/>
      <c r="E76" s="96"/>
      <c r="F76" s="96"/>
      <c r="G76" s="96"/>
      <c r="H76" s="96"/>
      <c r="I76" s="96"/>
      <c r="J76" s="96"/>
    </row>
    <row r="77" spans="1:10" s="30" customFormat="1" x14ac:dyDescent="0.25">
      <c r="A77" s="96"/>
      <c r="B77" s="96"/>
      <c r="C77" s="96"/>
      <c r="D77" s="96"/>
      <c r="E77" s="96"/>
      <c r="F77" s="96"/>
      <c r="G77" s="96"/>
      <c r="H77" s="96"/>
      <c r="I77" s="96"/>
      <c r="J77" s="96"/>
    </row>
    <row r="78" spans="1:10" s="30" customFormat="1" x14ac:dyDescent="0.25">
      <c r="A78" s="96"/>
      <c r="B78" s="96"/>
      <c r="C78" s="96"/>
      <c r="D78" s="96"/>
      <c r="E78" s="96"/>
      <c r="F78" s="96"/>
      <c r="G78" s="96"/>
      <c r="H78" s="96"/>
      <c r="I78" s="96"/>
      <c r="J78" s="96"/>
    </row>
    <row r="79" spans="1:10" s="30" customFormat="1" x14ac:dyDescent="0.25">
      <c r="A79" s="96"/>
      <c r="B79" s="96"/>
      <c r="C79" s="96"/>
      <c r="D79" s="96"/>
      <c r="E79" s="96"/>
      <c r="F79" s="96"/>
      <c r="G79" s="96"/>
      <c r="H79" s="96"/>
      <c r="I79" s="96"/>
      <c r="J79" s="96"/>
    </row>
    <row r="80" spans="1:10" s="30" customFormat="1" x14ac:dyDescent="0.25">
      <c r="A80" s="96"/>
      <c r="B80" s="96"/>
      <c r="C80" s="96"/>
      <c r="D80" s="96"/>
      <c r="E80" s="96"/>
      <c r="F80" s="96"/>
      <c r="G80" s="96"/>
      <c r="H80" s="96"/>
      <c r="I80" s="96"/>
      <c r="J80" s="96"/>
    </row>
    <row r="81" spans="1:10" s="30" customFormat="1" x14ac:dyDescent="0.25">
      <c r="A81" s="96"/>
      <c r="B81" s="96"/>
      <c r="C81" s="96"/>
      <c r="D81" s="96"/>
      <c r="E81" s="96"/>
      <c r="F81" s="96"/>
      <c r="G81" s="96"/>
      <c r="H81" s="96"/>
      <c r="I81" s="96"/>
      <c r="J81" s="96"/>
    </row>
    <row r="82" spans="1:10" s="30" customFormat="1" x14ac:dyDescent="0.25">
      <c r="A82" s="96"/>
      <c r="B82" s="96"/>
      <c r="C82" s="96"/>
      <c r="D82" s="96"/>
      <c r="E82" s="96"/>
      <c r="F82" s="96"/>
      <c r="G82" s="96"/>
      <c r="H82" s="96"/>
      <c r="I82" s="96"/>
      <c r="J82" s="96"/>
    </row>
    <row r="83" spans="1:10" s="30" customFormat="1" x14ac:dyDescent="0.25">
      <c r="A83" s="96"/>
      <c r="B83" s="96"/>
      <c r="C83" s="96"/>
      <c r="D83" s="96"/>
      <c r="E83" s="96"/>
      <c r="F83" s="96"/>
      <c r="G83" s="96"/>
      <c r="H83" s="96"/>
      <c r="I83" s="96"/>
      <c r="J83" s="96"/>
    </row>
    <row r="84" spans="1:10" s="30" customFormat="1" x14ac:dyDescent="0.25">
      <c r="A84" s="96"/>
      <c r="B84" s="96"/>
      <c r="C84" s="96"/>
      <c r="D84" s="96"/>
      <c r="E84" s="96"/>
      <c r="F84" s="96"/>
      <c r="G84" s="96"/>
      <c r="H84" s="96"/>
      <c r="I84" s="96"/>
      <c r="J84" s="96"/>
    </row>
    <row r="85" spans="1:10" s="30" customFormat="1" x14ac:dyDescent="0.25">
      <c r="A85" s="96"/>
      <c r="B85" s="96"/>
      <c r="C85" s="96"/>
      <c r="D85" s="96"/>
      <c r="E85" s="96"/>
      <c r="F85" s="96"/>
      <c r="G85" s="96"/>
      <c r="H85" s="96"/>
      <c r="I85" s="96"/>
      <c r="J85" s="96"/>
    </row>
    <row r="86" spans="1:10" s="30" customFormat="1" x14ac:dyDescent="0.25">
      <c r="A86" s="96"/>
      <c r="B86" s="96"/>
      <c r="C86" s="96"/>
      <c r="D86" s="96"/>
      <c r="E86" s="96"/>
      <c r="F86" s="96"/>
      <c r="G86" s="96"/>
      <c r="H86" s="96"/>
      <c r="I86" s="96"/>
      <c r="J86" s="96"/>
    </row>
    <row r="87" spans="1:10" s="30" customFormat="1" x14ac:dyDescent="0.25">
      <c r="A87" s="96"/>
      <c r="B87" s="96"/>
      <c r="C87" s="96"/>
      <c r="D87" s="96"/>
      <c r="E87" s="96"/>
      <c r="F87" s="96"/>
      <c r="G87" s="96"/>
      <c r="H87" s="96"/>
      <c r="I87" s="96"/>
      <c r="J87" s="96"/>
    </row>
    <row r="88" spans="1:10" s="30" customFormat="1" x14ac:dyDescent="0.25">
      <c r="A88" s="96"/>
      <c r="B88" s="96"/>
      <c r="C88" s="96"/>
      <c r="D88" s="96"/>
      <c r="E88" s="96"/>
      <c r="F88" s="96"/>
      <c r="G88" s="96"/>
      <c r="H88" s="96"/>
      <c r="I88" s="96"/>
      <c r="J88" s="96"/>
    </row>
    <row r="89" spans="1:10" s="30" customFormat="1" x14ac:dyDescent="0.25">
      <c r="A89" s="96"/>
      <c r="B89" s="96"/>
      <c r="C89" s="96"/>
      <c r="D89" s="96"/>
      <c r="E89" s="96"/>
      <c r="F89" s="96"/>
      <c r="G89" s="96"/>
      <c r="H89" s="96"/>
      <c r="I89" s="96"/>
      <c r="J89" s="96"/>
    </row>
    <row r="90" spans="1:10" s="30" customFormat="1" x14ac:dyDescent="0.25">
      <c r="A90" s="96"/>
      <c r="B90" s="96"/>
      <c r="C90" s="96"/>
      <c r="D90" s="96"/>
      <c r="E90" s="96"/>
      <c r="F90" s="96"/>
      <c r="G90" s="96"/>
      <c r="H90" s="96"/>
      <c r="I90" s="96"/>
      <c r="J90" s="96"/>
    </row>
    <row r="91" spans="1:10" s="30" customFormat="1" x14ac:dyDescent="0.25">
      <c r="A91" s="96"/>
      <c r="B91" s="96"/>
      <c r="C91" s="96"/>
      <c r="D91" s="96"/>
      <c r="E91" s="96"/>
      <c r="F91" s="96"/>
      <c r="G91" s="96"/>
      <c r="H91" s="96"/>
      <c r="I91" s="96"/>
      <c r="J91" s="96"/>
    </row>
    <row r="92" spans="1:10" s="30" customFormat="1" x14ac:dyDescent="0.25">
      <c r="A92" s="96"/>
      <c r="B92" s="96"/>
      <c r="C92" s="96"/>
      <c r="D92" s="96"/>
      <c r="E92" s="96"/>
      <c r="F92" s="96"/>
      <c r="G92" s="96"/>
      <c r="H92" s="96"/>
      <c r="I92" s="96"/>
      <c r="J92" s="96"/>
    </row>
    <row r="93" spans="1:10" s="30" customFormat="1" x14ac:dyDescent="0.25">
      <c r="A93" s="96"/>
      <c r="B93" s="96"/>
      <c r="C93" s="96"/>
      <c r="D93" s="96"/>
      <c r="E93" s="96"/>
      <c r="F93" s="96"/>
      <c r="G93" s="96"/>
      <c r="H93" s="96"/>
      <c r="I93" s="96"/>
      <c r="J93" s="96"/>
    </row>
    <row r="94" spans="1:10" s="30" customFormat="1" x14ac:dyDescent="0.25">
      <c r="A94" s="96"/>
      <c r="B94" s="96"/>
      <c r="C94" s="96"/>
      <c r="D94" s="96"/>
      <c r="E94" s="96"/>
      <c r="F94" s="96"/>
      <c r="G94" s="96"/>
      <c r="H94" s="96"/>
      <c r="I94" s="96"/>
      <c r="J94" s="96"/>
    </row>
    <row r="95" spans="1:10" s="30" customFormat="1" x14ac:dyDescent="0.25">
      <c r="A95" s="96"/>
      <c r="B95" s="96"/>
      <c r="C95" s="96"/>
      <c r="D95" s="96"/>
      <c r="E95" s="96"/>
      <c r="F95" s="96"/>
      <c r="G95" s="96"/>
      <c r="H95" s="96"/>
      <c r="I95" s="96"/>
      <c r="J95" s="96"/>
    </row>
    <row r="96" spans="1:10" s="30" customFormat="1" x14ac:dyDescent="0.25">
      <c r="A96" s="96"/>
      <c r="B96" s="96"/>
      <c r="C96" s="96"/>
      <c r="D96" s="96"/>
      <c r="E96" s="96"/>
      <c r="F96" s="96"/>
      <c r="G96" s="96"/>
      <c r="H96" s="96"/>
      <c r="I96" s="96"/>
      <c r="J96" s="96"/>
    </row>
    <row r="97" spans="1:10" s="30" customFormat="1" x14ac:dyDescent="0.25">
      <c r="A97" s="96"/>
      <c r="B97" s="96"/>
      <c r="C97" s="96"/>
      <c r="D97" s="96"/>
      <c r="E97" s="96"/>
      <c r="F97" s="96"/>
      <c r="G97" s="96"/>
      <c r="H97" s="96"/>
      <c r="I97" s="96"/>
      <c r="J97" s="96"/>
    </row>
    <row r="98" spans="1:10" s="30" customFormat="1" x14ac:dyDescent="0.25">
      <c r="A98" s="96"/>
      <c r="B98" s="96"/>
      <c r="C98" s="96"/>
      <c r="D98" s="96"/>
      <c r="E98" s="96"/>
      <c r="F98" s="96"/>
      <c r="G98" s="96"/>
      <c r="H98" s="96"/>
      <c r="I98" s="96"/>
      <c r="J98" s="96"/>
    </row>
    <row r="99" spans="1:10" s="30" customFormat="1" x14ac:dyDescent="0.25">
      <c r="A99" s="96"/>
      <c r="B99" s="96"/>
      <c r="C99" s="96"/>
      <c r="D99" s="96"/>
      <c r="E99" s="96"/>
      <c r="F99" s="96"/>
      <c r="G99" s="96"/>
      <c r="H99" s="96"/>
      <c r="I99" s="96"/>
      <c r="J99" s="96"/>
    </row>
    <row r="100" spans="1:10" s="30" customFormat="1" x14ac:dyDescent="0.25">
      <c r="A100" s="96"/>
      <c r="B100" s="96"/>
      <c r="C100" s="96"/>
      <c r="D100" s="96"/>
      <c r="E100" s="96"/>
      <c r="F100" s="96"/>
      <c r="G100" s="96"/>
      <c r="H100" s="96"/>
      <c r="I100" s="96"/>
      <c r="J100" s="96"/>
    </row>
    <row r="101" spans="1:10" s="30" customFormat="1" x14ac:dyDescent="0.25">
      <c r="A101" s="96"/>
      <c r="B101" s="96"/>
      <c r="C101" s="96"/>
      <c r="D101" s="96"/>
      <c r="E101" s="96"/>
      <c r="F101" s="96"/>
      <c r="G101" s="96"/>
      <c r="H101" s="96"/>
      <c r="I101" s="96"/>
      <c r="J101" s="96"/>
    </row>
    <row r="102" spans="1:10" s="30" customFormat="1" x14ac:dyDescent="0.25">
      <c r="A102" s="96"/>
      <c r="B102" s="96"/>
      <c r="C102" s="96"/>
      <c r="D102" s="96"/>
      <c r="E102" s="96"/>
      <c r="F102" s="96"/>
      <c r="G102" s="96"/>
      <c r="H102" s="96"/>
      <c r="I102" s="96"/>
      <c r="J102" s="96"/>
    </row>
    <row r="103" spans="1:10" s="30" customFormat="1" x14ac:dyDescent="0.25">
      <c r="A103" s="96"/>
      <c r="B103" s="96"/>
      <c r="C103" s="96"/>
      <c r="D103" s="96"/>
      <c r="E103" s="96"/>
      <c r="F103" s="96"/>
      <c r="G103" s="96"/>
      <c r="H103" s="96"/>
      <c r="I103" s="96"/>
      <c r="J103" s="96"/>
    </row>
    <row r="104" spans="1:10" s="30" customFormat="1" x14ac:dyDescent="0.25">
      <c r="A104" s="96"/>
      <c r="B104" s="96"/>
      <c r="C104" s="96"/>
      <c r="D104" s="96"/>
      <c r="E104" s="96"/>
      <c r="F104" s="96"/>
      <c r="G104" s="96"/>
      <c r="H104" s="96"/>
      <c r="I104" s="96"/>
      <c r="J104" s="96"/>
    </row>
    <row r="105" spans="1:10" s="30" customFormat="1" x14ac:dyDescent="0.25">
      <c r="A105" s="96"/>
      <c r="B105" s="96"/>
      <c r="C105" s="96"/>
      <c r="D105" s="96"/>
      <c r="E105" s="96"/>
      <c r="F105" s="96"/>
      <c r="G105" s="96"/>
      <c r="H105" s="96"/>
      <c r="I105" s="96"/>
      <c r="J105" s="96"/>
    </row>
    <row r="106" spans="1:10" s="30" customFormat="1" x14ac:dyDescent="0.25">
      <c r="A106" s="96"/>
      <c r="B106" s="96"/>
      <c r="C106" s="96"/>
      <c r="D106" s="96"/>
      <c r="E106" s="96"/>
      <c r="F106" s="96"/>
      <c r="G106" s="96"/>
      <c r="H106" s="96"/>
      <c r="I106" s="96"/>
      <c r="J106" s="96"/>
    </row>
    <row r="107" spans="1:10" s="30" customFormat="1" x14ac:dyDescent="0.25">
      <c r="A107" s="96"/>
      <c r="B107" s="96"/>
      <c r="C107" s="96"/>
      <c r="D107" s="96"/>
      <c r="E107" s="96"/>
      <c r="F107" s="96"/>
      <c r="G107" s="96"/>
      <c r="H107" s="96"/>
      <c r="I107" s="96"/>
      <c r="J107" s="96"/>
    </row>
    <row r="108" spans="1:10" s="30" customFormat="1" x14ac:dyDescent="0.25">
      <c r="A108" s="96"/>
      <c r="B108" s="96"/>
      <c r="C108" s="96"/>
      <c r="D108" s="96"/>
      <c r="E108" s="96"/>
      <c r="F108" s="96"/>
      <c r="G108" s="96"/>
      <c r="H108" s="96"/>
      <c r="I108" s="96"/>
      <c r="J108" s="96"/>
    </row>
    <row r="109" spans="1:10" s="30" customFormat="1" x14ac:dyDescent="0.25">
      <c r="A109" s="96"/>
      <c r="B109" s="96"/>
      <c r="C109" s="96"/>
      <c r="D109" s="96"/>
      <c r="E109" s="96"/>
      <c r="F109" s="96"/>
      <c r="G109" s="96"/>
      <c r="H109" s="96"/>
      <c r="I109" s="96"/>
      <c r="J109" s="96"/>
    </row>
    <row r="110" spans="1:10" s="30" customFormat="1" x14ac:dyDescent="0.25">
      <c r="A110" s="96"/>
      <c r="B110" s="96"/>
      <c r="C110" s="96"/>
      <c r="D110" s="96"/>
      <c r="E110" s="96"/>
      <c r="F110" s="96"/>
      <c r="G110" s="96"/>
      <c r="H110" s="96"/>
      <c r="I110" s="96"/>
      <c r="J110" s="96"/>
    </row>
    <row r="111" spans="1:10" s="30" customFormat="1" x14ac:dyDescent="0.25">
      <c r="A111" s="96"/>
      <c r="B111" s="96"/>
      <c r="C111" s="96"/>
      <c r="D111" s="96"/>
      <c r="E111" s="96"/>
      <c r="F111" s="96"/>
      <c r="G111" s="96"/>
      <c r="H111" s="96"/>
      <c r="I111" s="96"/>
      <c r="J111" s="96"/>
    </row>
    <row r="112" spans="1:10" s="30" customFormat="1" x14ac:dyDescent="0.25">
      <c r="A112" s="96"/>
      <c r="B112" s="96"/>
      <c r="C112" s="96"/>
      <c r="D112" s="96"/>
      <c r="E112" s="96"/>
      <c r="F112" s="96"/>
      <c r="G112" s="96"/>
      <c r="H112" s="96"/>
      <c r="I112" s="96"/>
      <c r="J112" s="96"/>
    </row>
    <row r="113" spans="1:10" s="30" customFormat="1" x14ac:dyDescent="0.25">
      <c r="A113" s="96"/>
      <c r="B113" s="96"/>
      <c r="C113" s="96"/>
      <c r="D113" s="96"/>
      <c r="E113" s="96"/>
      <c r="F113" s="96"/>
      <c r="G113" s="96"/>
      <c r="H113" s="96"/>
      <c r="I113" s="96"/>
      <c r="J113" s="96"/>
    </row>
    <row r="114" spans="1:10" s="30" customFormat="1" x14ac:dyDescent="0.25">
      <c r="A114" s="96"/>
      <c r="B114" s="96"/>
      <c r="C114" s="96"/>
      <c r="D114" s="96"/>
      <c r="E114" s="96"/>
      <c r="F114" s="96"/>
      <c r="G114" s="96"/>
      <c r="H114" s="96"/>
      <c r="I114" s="96"/>
      <c r="J114" s="96"/>
    </row>
    <row r="115" spans="1:10" s="30" customFormat="1" x14ac:dyDescent="0.25">
      <c r="A115" s="96"/>
      <c r="B115" s="96"/>
      <c r="C115" s="96"/>
      <c r="D115" s="96"/>
      <c r="E115" s="96"/>
      <c r="F115" s="96"/>
      <c r="G115" s="96"/>
      <c r="H115" s="96"/>
      <c r="I115" s="96"/>
      <c r="J115" s="96"/>
    </row>
    <row r="116" spans="1:10" s="30" customFormat="1" x14ac:dyDescent="0.25">
      <c r="A116" s="96"/>
      <c r="B116" s="96"/>
      <c r="C116" s="96"/>
      <c r="D116" s="96"/>
      <c r="E116" s="96"/>
      <c r="F116" s="96"/>
      <c r="G116" s="96"/>
      <c r="H116" s="96"/>
      <c r="I116" s="96"/>
      <c r="J116" s="96"/>
    </row>
    <row r="117" spans="1:10" s="30" customFormat="1" x14ac:dyDescent="0.25">
      <c r="A117" s="96"/>
      <c r="B117" s="96"/>
      <c r="C117" s="96"/>
      <c r="D117" s="96"/>
      <c r="E117" s="96"/>
      <c r="F117" s="96"/>
      <c r="G117" s="96"/>
      <c r="H117" s="96"/>
      <c r="I117" s="96"/>
      <c r="J117" s="96"/>
    </row>
    <row r="118" spans="1:10" s="30" customFormat="1" x14ac:dyDescent="0.25">
      <c r="A118" s="96"/>
      <c r="B118" s="96"/>
      <c r="C118" s="96"/>
      <c r="D118" s="96"/>
      <c r="E118" s="96"/>
      <c r="F118" s="96"/>
      <c r="G118" s="96"/>
      <c r="H118" s="96"/>
      <c r="I118" s="96"/>
      <c r="J118" s="96"/>
    </row>
    <row r="119" spans="1:10" s="30" customFormat="1" x14ac:dyDescent="0.25">
      <c r="A119" s="96"/>
      <c r="B119" s="96"/>
      <c r="C119" s="96"/>
      <c r="D119" s="96"/>
      <c r="E119" s="96"/>
      <c r="F119" s="96"/>
      <c r="G119" s="96"/>
      <c r="H119" s="96"/>
      <c r="I119" s="96"/>
      <c r="J119" s="96"/>
    </row>
    <row r="120" spans="1:10" s="30" customFormat="1" x14ac:dyDescent="0.25">
      <c r="A120" s="96"/>
      <c r="B120" s="96"/>
      <c r="C120" s="96"/>
      <c r="D120" s="96"/>
      <c r="E120" s="96"/>
      <c r="F120" s="96"/>
      <c r="G120" s="96"/>
      <c r="H120" s="96"/>
      <c r="I120" s="96"/>
      <c r="J120" s="96"/>
    </row>
    <row r="121" spans="1:10" s="30" customFormat="1" x14ac:dyDescent="0.25">
      <c r="A121" s="96"/>
      <c r="B121" s="96"/>
      <c r="C121" s="96"/>
      <c r="D121" s="96"/>
      <c r="E121" s="96"/>
      <c r="F121" s="96"/>
      <c r="G121" s="96"/>
      <c r="H121" s="96"/>
      <c r="I121" s="96"/>
      <c r="J121" s="96"/>
    </row>
    <row r="122" spans="1:10" s="30" customFormat="1" x14ac:dyDescent="0.25">
      <c r="A122" s="96"/>
      <c r="B122" s="96"/>
      <c r="C122" s="96"/>
      <c r="D122" s="96"/>
      <c r="E122" s="96"/>
      <c r="F122" s="96"/>
      <c r="G122" s="96"/>
      <c r="H122" s="96"/>
      <c r="I122" s="96"/>
      <c r="J122" s="96"/>
    </row>
    <row r="123" spans="1:10" s="30" customFormat="1" x14ac:dyDescent="0.25">
      <c r="A123" s="96"/>
      <c r="B123" s="96"/>
      <c r="C123" s="96"/>
      <c r="D123" s="96"/>
      <c r="E123" s="96"/>
      <c r="F123" s="96"/>
      <c r="G123" s="96"/>
      <c r="H123" s="96"/>
      <c r="I123" s="96"/>
      <c r="J123" s="96"/>
    </row>
    <row r="124" spans="1:10" s="30" customFormat="1" x14ac:dyDescent="0.25">
      <c r="A124" s="96"/>
      <c r="B124" s="96"/>
      <c r="C124" s="96"/>
      <c r="D124" s="96"/>
      <c r="E124" s="96"/>
      <c r="F124" s="96"/>
      <c r="G124" s="96"/>
      <c r="H124" s="96"/>
      <c r="I124" s="96"/>
      <c r="J124" s="96"/>
    </row>
    <row r="125" spans="1:10" s="30" customFormat="1" x14ac:dyDescent="0.25">
      <c r="A125" s="96"/>
      <c r="B125" s="96"/>
      <c r="C125" s="96"/>
      <c r="D125" s="96"/>
      <c r="E125" s="96"/>
      <c r="F125" s="96"/>
      <c r="G125" s="96"/>
      <c r="H125" s="96"/>
      <c r="I125" s="96"/>
      <c r="J125" s="96"/>
    </row>
    <row r="126" spans="1:10" s="30" customFormat="1" x14ac:dyDescent="0.25">
      <c r="A126" s="96"/>
      <c r="B126" s="96"/>
      <c r="C126" s="96"/>
      <c r="D126" s="96"/>
      <c r="E126" s="96"/>
      <c r="F126" s="96"/>
      <c r="G126" s="96"/>
      <c r="H126" s="96"/>
      <c r="I126" s="96"/>
      <c r="J126" s="96"/>
    </row>
    <row r="127" spans="1:10" s="30" customFormat="1" x14ac:dyDescent="0.25">
      <c r="A127" s="96"/>
      <c r="B127" s="96"/>
      <c r="C127" s="96"/>
      <c r="D127" s="96"/>
      <c r="E127" s="96"/>
      <c r="F127" s="96"/>
      <c r="G127" s="96"/>
      <c r="H127" s="96"/>
      <c r="I127" s="96"/>
      <c r="J127" s="96"/>
    </row>
    <row r="128" spans="1:10" s="30" customFormat="1" x14ac:dyDescent="0.25">
      <c r="A128" s="96"/>
      <c r="B128" s="96"/>
      <c r="C128" s="96"/>
      <c r="D128" s="96"/>
      <c r="E128" s="96"/>
      <c r="F128" s="96"/>
      <c r="G128" s="96"/>
      <c r="H128" s="96"/>
      <c r="I128" s="96"/>
      <c r="J128" s="96"/>
    </row>
    <row r="129" spans="1:10" s="30" customFormat="1" x14ac:dyDescent="0.25">
      <c r="A129" s="96"/>
      <c r="B129" s="96"/>
      <c r="C129" s="96"/>
      <c r="D129" s="96"/>
      <c r="E129" s="96"/>
      <c r="F129" s="96"/>
      <c r="G129" s="96"/>
      <c r="H129" s="96"/>
      <c r="I129" s="96"/>
      <c r="J129" s="96"/>
    </row>
    <row r="130" spans="1:10" s="30" customFormat="1" x14ac:dyDescent="0.25">
      <c r="A130" s="96"/>
      <c r="B130" s="96"/>
      <c r="C130" s="96"/>
      <c r="D130" s="96"/>
      <c r="E130" s="96"/>
      <c r="F130" s="96"/>
      <c r="G130" s="96"/>
      <c r="H130" s="96"/>
      <c r="I130" s="96"/>
      <c r="J130" s="96"/>
    </row>
    <row r="131" spans="1:10" s="30" customFormat="1" x14ac:dyDescent="0.25">
      <c r="A131" s="96"/>
      <c r="B131" s="96"/>
      <c r="C131" s="96"/>
      <c r="D131" s="96"/>
      <c r="E131" s="96"/>
      <c r="F131" s="96"/>
      <c r="G131" s="96"/>
      <c r="H131" s="96"/>
      <c r="I131" s="96"/>
      <c r="J131" s="96"/>
    </row>
    <row r="132" spans="1:10" s="30" customFormat="1" x14ac:dyDescent="0.25">
      <c r="A132" s="96"/>
      <c r="B132" s="96"/>
      <c r="C132" s="96"/>
      <c r="D132" s="96"/>
      <c r="E132" s="96"/>
      <c r="F132" s="96"/>
      <c r="G132" s="96"/>
      <c r="H132" s="96"/>
      <c r="I132" s="96"/>
      <c r="J132" s="96"/>
    </row>
    <row r="133" spans="1:10" s="30" customFormat="1" x14ac:dyDescent="0.25">
      <c r="A133" s="96"/>
      <c r="B133" s="96"/>
      <c r="C133" s="96"/>
      <c r="D133" s="96"/>
      <c r="E133" s="96"/>
      <c r="F133" s="96"/>
      <c r="G133" s="96"/>
      <c r="H133" s="96"/>
      <c r="I133" s="96"/>
      <c r="J133" s="96"/>
    </row>
    <row r="134" spans="1:10" s="30" customFormat="1" x14ac:dyDescent="0.25">
      <c r="A134" s="96"/>
      <c r="B134" s="96"/>
      <c r="C134" s="96"/>
      <c r="D134" s="96"/>
      <c r="E134" s="96"/>
      <c r="F134" s="96"/>
      <c r="G134" s="96"/>
      <c r="H134" s="96"/>
      <c r="I134" s="96"/>
      <c r="J134" s="96"/>
    </row>
    <row r="135" spans="1:10" s="30" customFormat="1" x14ac:dyDescent="0.25">
      <c r="A135" s="96"/>
      <c r="B135" s="96"/>
      <c r="C135" s="96"/>
      <c r="D135" s="96"/>
      <c r="E135" s="96"/>
      <c r="F135" s="96"/>
      <c r="G135" s="96"/>
      <c r="H135" s="96"/>
      <c r="I135" s="96"/>
      <c r="J135" s="96"/>
    </row>
    <row r="136" spans="1:10" s="30" customFormat="1" x14ac:dyDescent="0.25">
      <c r="A136" s="96"/>
      <c r="B136" s="96"/>
      <c r="C136" s="96"/>
      <c r="D136" s="96"/>
      <c r="E136" s="96"/>
      <c r="F136" s="96"/>
      <c r="G136" s="96"/>
      <c r="H136" s="96"/>
      <c r="I136" s="96"/>
      <c r="J136" s="96"/>
    </row>
    <row r="137" spans="1:10" s="30" customFormat="1" x14ac:dyDescent="0.25">
      <c r="A137" s="96"/>
      <c r="B137" s="96"/>
      <c r="C137" s="96"/>
      <c r="D137" s="96"/>
      <c r="E137" s="96"/>
      <c r="F137" s="96"/>
      <c r="G137" s="96"/>
      <c r="H137" s="96"/>
      <c r="I137" s="96"/>
      <c r="J137" s="96"/>
    </row>
    <row r="138" spans="1:10" s="30" customFormat="1" x14ac:dyDescent="0.25">
      <c r="A138" s="96"/>
      <c r="B138" s="96"/>
      <c r="C138" s="96"/>
      <c r="D138" s="96"/>
      <c r="E138" s="96"/>
      <c r="F138" s="96"/>
      <c r="G138" s="96"/>
      <c r="H138" s="96"/>
      <c r="I138" s="96"/>
      <c r="J138" s="96"/>
    </row>
    <row r="139" spans="1:10" s="30" customFormat="1" x14ac:dyDescent="0.25">
      <c r="A139" s="96"/>
      <c r="B139" s="96"/>
      <c r="C139" s="96"/>
      <c r="D139" s="96"/>
      <c r="E139" s="96"/>
      <c r="F139" s="96"/>
      <c r="G139" s="96"/>
      <c r="H139" s="96"/>
      <c r="I139" s="96"/>
      <c r="J139" s="96"/>
    </row>
    <row r="140" spans="1:10" s="30" customFormat="1" x14ac:dyDescent="0.25">
      <c r="A140" s="96"/>
      <c r="B140" s="96"/>
      <c r="C140" s="96"/>
      <c r="D140" s="96"/>
      <c r="E140" s="96"/>
      <c r="F140" s="96"/>
      <c r="G140" s="96"/>
      <c r="H140" s="96"/>
      <c r="I140" s="96"/>
      <c r="J140" s="96"/>
    </row>
    <row r="141" spans="1:10" s="30" customFormat="1" x14ac:dyDescent="0.25">
      <c r="A141" s="96"/>
      <c r="B141" s="96"/>
      <c r="C141" s="96"/>
      <c r="D141" s="96"/>
      <c r="E141" s="96"/>
      <c r="F141" s="96"/>
      <c r="G141" s="96"/>
      <c r="H141" s="96"/>
      <c r="I141" s="96"/>
      <c r="J141" s="96"/>
    </row>
    <row r="142" spans="1:10" s="30" customFormat="1" x14ac:dyDescent="0.25">
      <c r="A142" s="96"/>
      <c r="B142" s="96"/>
      <c r="C142" s="96"/>
      <c r="D142" s="96"/>
      <c r="E142" s="96"/>
      <c r="F142" s="96"/>
      <c r="G142" s="96"/>
      <c r="H142" s="96"/>
      <c r="I142" s="96"/>
      <c r="J142" s="96"/>
    </row>
    <row r="143" spans="1:10" s="30" customFormat="1" x14ac:dyDescent="0.25">
      <c r="A143" s="96"/>
      <c r="B143" s="96"/>
      <c r="C143" s="96"/>
      <c r="D143" s="96"/>
      <c r="E143" s="96"/>
      <c r="F143" s="96"/>
      <c r="G143" s="96"/>
      <c r="H143" s="96"/>
      <c r="I143" s="96"/>
      <c r="J143" s="96"/>
    </row>
    <row r="144" spans="1:10" s="30" customFormat="1" x14ac:dyDescent="0.25">
      <c r="A144" s="96"/>
      <c r="B144" s="96"/>
      <c r="C144" s="96"/>
      <c r="D144" s="96"/>
      <c r="E144" s="96"/>
      <c r="F144" s="96"/>
      <c r="G144" s="96"/>
      <c r="H144" s="96"/>
      <c r="I144" s="96"/>
      <c r="J144" s="96"/>
    </row>
    <row r="145" spans="1:10" s="30" customFormat="1" x14ac:dyDescent="0.25">
      <c r="A145" s="96"/>
      <c r="B145" s="96"/>
      <c r="C145" s="96"/>
      <c r="D145" s="96"/>
      <c r="E145" s="96"/>
      <c r="F145" s="96"/>
      <c r="G145" s="96"/>
      <c r="H145" s="96"/>
      <c r="I145" s="96"/>
      <c r="J145" s="96"/>
    </row>
    <row r="146" spans="1:10" s="30" customFormat="1" x14ac:dyDescent="0.25">
      <c r="A146" s="96"/>
      <c r="B146" s="96"/>
      <c r="C146" s="96"/>
      <c r="D146" s="96"/>
      <c r="E146" s="96"/>
      <c r="F146" s="96"/>
      <c r="G146" s="96"/>
      <c r="H146" s="96"/>
      <c r="I146" s="96"/>
      <c r="J146" s="96"/>
    </row>
    <row r="147" spans="1:10" s="30" customFormat="1" x14ac:dyDescent="0.25">
      <c r="A147" s="96"/>
      <c r="B147" s="96"/>
      <c r="C147" s="96"/>
      <c r="D147" s="96"/>
      <c r="E147" s="96"/>
      <c r="F147" s="96"/>
      <c r="G147" s="96"/>
      <c r="H147" s="96"/>
      <c r="I147" s="96"/>
      <c r="J147" s="96"/>
    </row>
    <row r="148" spans="1:10" s="30" customFormat="1" x14ac:dyDescent="0.25">
      <c r="A148" s="96"/>
      <c r="B148" s="96"/>
      <c r="C148" s="96"/>
      <c r="D148" s="96"/>
      <c r="E148" s="96"/>
      <c r="F148" s="96"/>
      <c r="G148" s="96"/>
      <c r="H148" s="96"/>
      <c r="I148" s="96"/>
      <c r="J148" s="96"/>
    </row>
    <row r="149" spans="1:10" s="30" customFormat="1" x14ac:dyDescent="0.25">
      <c r="A149" s="96"/>
      <c r="B149" s="96"/>
      <c r="C149" s="96"/>
      <c r="D149" s="96"/>
      <c r="E149" s="96"/>
      <c r="F149" s="96"/>
      <c r="G149" s="96"/>
      <c r="H149" s="96"/>
      <c r="I149" s="96"/>
      <c r="J149" s="96"/>
    </row>
    <row r="150" spans="1:10" s="30" customFormat="1" x14ac:dyDescent="0.25">
      <c r="A150" s="96"/>
      <c r="B150" s="96"/>
      <c r="C150" s="96"/>
      <c r="D150" s="96"/>
      <c r="E150" s="96"/>
      <c r="F150" s="96"/>
      <c r="G150" s="96"/>
      <c r="H150" s="96"/>
      <c r="I150" s="96"/>
      <c r="J150" s="96"/>
    </row>
    <row r="151" spans="1:10" s="30" customFormat="1" x14ac:dyDescent="0.25">
      <c r="A151" s="96"/>
      <c r="B151" s="96"/>
      <c r="C151" s="96"/>
      <c r="D151" s="96"/>
      <c r="E151" s="96"/>
      <c r="F151" s="96"/>
      <c r="G151" s="96"/>
      <c r="H151" s="96"/>
      <c r="I151" s="96"/>
      <c r="J151" s="96"/>
    </row>
    <row r="152" spans="1:10" s="30" customFormat="1" x14ac:dyDescent="0.25">
      <c r="A152" s="96"/>
      <c r="B152" s="96"/>
      <c r="C152" s="96"/>
      <c r="D152" s="96"/>
      <c r="E152" s="96"/>
      <c r="F152" s="96"/>
      <c r="G152" s="96"/>
      <c r="H152" s="96"/>
      <c r="I152" s="96"/>
      <c r="J152" s="96"/>
    </row>
    <row r="153" spans="1:10" s="30" customFormat="1" x14ac:dyDescent="0.25">
      <c r="A153" s="96"/>
      <c r="B153" s="96"/>
      <c r="C153" s="96"/>
      <c r="D153" s="96"/>
      <c r="E153" s="96"/>
      <c r="F153" s="96"/>
      <c r="G153" s="96"/>
      <c r="H153" s="96"/>
      <c r="I153" s="96"/>
      <c r="J153" s="96"/>
    </row>
    <row r="154" spans="1:10" s="30" customFormat="1" x14ac:dyDescent="0.25">
      <c r="A154" s="96"/>
      <c r="B154" s="96"/>
      <c r="C154" s="96"/>
      <c r="D154" s="96"/>
      <c r="E154" s="96"/>
      <c r="F154" s="96"/>
      <c r="G154" s="96"/>
      <c r="H154" s="96"/>
      <c r="I154" s="96"/>
      <c r="J154" s="96"/>
    </row>
    <row r="155" spans="1:10" s="30" customFormat="1" x14ac:dyDescent="0.25">
      <c r="A155" s="96"/>
      <c r="B155" s="96"/>
      <c r="C155" s="96"/>
      <c r="D155" s="96"/>
      <c r="E155" s="96"/>
      <c r="F155" s="96"/>
      <c r="G155" s="96"/>
      <c r="H155" s="96"/>
      <c r="I155" s="96"/>
      <c r="J155" s="96"/>
    </row>
    <row r="156" spans="1:10" s="30" customFormat="1" x14ac:dyDescent="0.25">
      <c r="A156" s="96"/>
      <c r="B156" s="96"/>
      <c r="C156" s="96"/>
      <c r="D156" s="96"/>
      <c r="E156" s="96"/>
      <c r="F156" s="96"/>
      <c r="G156" s="96"/>
      <c r="H156" s="96"/>
      <c r="I156" s="96"/>
      <c r="J156" s="96"/>
    </row>
    <row r="157" spans="1:10" s="30" customFormat="1" x14ac:dyDescent="0.25">
      <c r="A157" s="96"/>
      <c r="B157" s="96"/>
      <c r="C157" s="96"/>
      <c r="D157" s="96"/>
      <c r="E157" s="96"/>
      <c r="F157" s="96"/>
      <c r="G157" s="96"/>
      <c r="H157" s="96"/>
      <c r="I157" s="96"/>
      <c r="J157" s="96"/>
    </row>
    <row r="158" spans="1:10" s="30" customFormat="1" x14ac:dyDescent="0.25">
      <c r="A158" s="96"/>
      <c r="B158" s="96"/>
      <c r="C158" s="96"/>
      <c r="D158" s="96"/>
      <c r="E158" s="96"/>
      <c r="F158" s="96"/>
      <c r="G158" s="96"/>
      <c r="H158" s="96"/>
      <c r="I158" s="96"/>
      <c r="J158" s="96"/>
    </row>
    <row r="159" spans="1:10" s="30" customFormat="1" x14ac:dyDescent="0.25">
      <c r="A159" s="96"/>
      <c r="B159" s="96"/>
      <c r="C159" s="96"/>
      <c r="D159" s="96"/>
      <c r="E159" s="96"/>
      <c r="F159" s="96"/>
      <c r="G159" s="96"/>
      <c r="H159" s="96"/>
      <c r="I159" s="96"/>
      <c r="J159" s="96"/>
    </row>
    <row r="160" spans="1:10" s="30" customFormat="1" x14ac:dyDescent="0.25">
      <c r="A160" s="96"/>
      <c r="B160" s="96"/>
      <c r="C160" s="96"/>
      <c r="D160" s="96"/>
      <c r="E160" s="96"/>
      <c r="F160" s="96"/>
      <c r="G160" s="96"/>
      <c r="H160" s="96"/>
      <c r="I160" s="96"/>
      <c r="J160" s="96"/>
    </row>
    <row r="161" spans="1:10" s="30" customFormat="1" x14ac:dyDescent="0.25">
      <c r="A161" s="96"/>
      <c r="B161" s="96"/>
      <c r="C161" s="96"/>
      <c r="D161" s="96"/>
      <c r="E161" s="96"/>
      <c r="F161" s="96"/>
      <c r="G161" s="96"/>
      <c r="H161" s="96"/>
      <c r="I161" s="96"/>
      <c r="J161" s="96"/>
    </row>
    <row r="162" spans="1:10" s="30" customFormat="1" x14ac:dyDescent="0.25">
      <c r="A162" s="96"/>
      <c r="B162" s="96"/>
      <c r="C162" s="96"/>
      <c r="D162" s="96"/>
      <c r="E162" s="96"/>
      <c r="F162" s="96"/>
      <c r="G162" s="96"/>
      <c r="H162" s="96"/>
      <c r="I162" s="96"/>
      <c r="J162" s="96"/>
    </row>
    <row r="163" spans="1:10" s="30" customFormat="1" x14ac:dyDescent="0.25">
      <c r="A163" s="96"/>
      <c r="B163" s="96"/>
      <c r="C163" s="96"/>
      <c r="D163" s="96"/>
      <c r="E163" s="96"/>
      <c r="F163" s="96"/>
      <c r="G163" s="96"/>
      <c r="H163" s="96"/>
      <c r="I163" s="96"/>
      <c r="J163" s="96"/>
    </row>
    <row r="164" spans="1:10" s="30" customFormat="1" x14ac:dyDescent="0.25">
      <c r="A164" s="96"/>
      <c r="B164" s="96"/>
      <c r="C164" s="96"/>
      <c r="D164" s="96"/>
      <c r="E164" s="96"/>
      <c r="F164" s="96"/>
      <c r="G164" s="96"/>
      <c r="H164" s="96"/>
      <c r="I164" s="96"/>
      <c r="J164" s="96"/>
    </row>
    <row r="165" spans="1:10" s="30" customFormat="1" x14ac:dyDescent="0.25">
      <c r="A165" s="96"/>
      <c r="B165" s="96"/>
      <c r="C165" s="96"/>
      <c r="D165" s="96"/>
      <c r="E165" s="96"/>
      <c r="F165" s="96"/>
      <c r="G165" s="96"/>
      <c r="H165" s="96"/>
      <c r="I165" s="96"/>
      <c r="J165" s="96"/>
    </row>
    <row r="166" spans="1:10" s="30" customFormat="1" x14ac:dyDescent="0.25">
      <c r="A166" s="96"/>
      <c r="B166" s="96"/>
      <c r="C166" s="96"/>
      <c r="D166" s="96"/>
      <c r="E166" s="96"/>
      <c r="F166" s="96"/>
      <c r="G166" s="96"/>
      <c r="H166" s="96"/>
      <c r="I166" s="96"/>
      <c r="J166" s="96"/>
    </row>
    <row r="167" spans="1:10" s="30" customFormat="1" x14ac:dyDescent="0.25">
      <c r="A167" s="96"/>
      <c r="B167" s="96"/>
      <c r="C167" s="96"/>
      <c r="D167" s="96"/>
      <c r="E167" s="96"/>
      <c r="F167" s="96"/>
      <c r="G167" s="96"/>
      <c r="H167" s="96"/>
      <c r="I167" s="96"/>
      <c r="J167" s="96"/>
    </row>
    <row r="168" spans="1:10" s="30" customFormat="1" x14ac:dyDescent="0.25">
      <c r="A168" s="96"/>
      <c r="B168" s="96"/>
      <c r="C168" s="96"/>
      <c r="D168" s="96"/>
      <c r="E168" s="96"/>
      <c r="F168" s="96"/>
      <c r="G168" s="96"/>
      <c r="H168" s="96"/>
      <c r="I168" s="96"/>
      <c r="J168" s="96"/>
    </row>
    <row r="169" spans="1:10" s="30" customFormat="1" x14ac:dyDescent="0.25">
      <c r="A169" s="96"/>
      <c r="B169" s="96"/>
      <c r="C169" s="96"/>
      <c r="D169" s="96"/>
      <c r="E169" s="96"/>
      <c r="F169" s="96"/>
      <c r="G169" s="96"/>
      <c r="H169" s="96"/>
      <c r="I169" s="96"/>
      <c r="J169" s="96"/>
    </row>
    <row r="170" spans="1:10" s="30" customFormat="1" x14ac:dyDescent="0.25">
      <c r="A170" s="96"/>
      <c r="B170" s="96"/>
      <c r="C170" s="96"/>
      <c r="D170" s="96"/>
      <c r="E170" s="96"/>
      <c r="F170" s="96"/>
      <c r="G170" s="96"/>
      <c r="H170" s="96"/>
      <c r="I170" s="96"/>
      <c r="J170" s="96"/>
    </row>
    <row r="171" spans="1:10" s="30" customFormat="1" x14ac:dyDescent="0.25">
      <c r="A171" s="96"/>
      <c r="B171" s="96"/>
      <c r="C171" s="96"/>
      <c r="D171" s="96"/>
      <c r="E171" s="96"/>
      <c r="F171" s="96"/>
      <c r="G171" s="96"/>
      <c r="H171" s="96"/>
      <c r="I171" s="96"/>
      <c r="J171" s="96"/>
    </row>
    <row r="172" spans="1:10" s="30" customFormat="1" x14ac:dyDescent="0.25">
      <c r="A172" s="96"/>
      <c r="B172" s="96"/>
      <c r="C172" s="96"/>
      <c r="D172" s="96"/>
      <c r="E172" s="96"/>
      <c r="F172" s="96"/>
      <c r="G172" s="96"/>
      <c r="H172" s="96"/>
      <c r="I172" s="96"/>
      <c r="J172" s="96"/>
    </row>
    <row r="173" spans="1:10" s="30" customFormat="1" x14ac:dyDescent="0.25">
      <c r="A173" s="96"/>
      <c r="B173" s="96"/>
      <c r="C173" s="96"/>
      <c r="D173" s="96"/>
      <c r="E173" s="96"/>
      <c r="F173" s="96"/>
      <c r="G173" s="96"/>
      <c r="H173" s="96"/>
      <c r="I173" s="96"/>
      <c r="J173" s="96"/>
    </row>
    <row r="174" spans="1:10" s="30" customFormat="1" x14ac:dyDescent="0.25">
      <c r="A174" s="96"/>
      <c r="B174" s="96"/>
      <c r="C174" s="96"/>
      <c r="D174" s="96"/>
      <c r="E174" s="96"/>
      <c r="F174" s="96"/>
      <c r="G174" s="96"/>
      <c r="H174" s="96"/>
      <c r="I174" s="96"/>
      <c r="J174" s="96"/>
    </row>
    <row r="175" spans="1:10" s="30" customFormat="1" x14ac:dyDescent="0.25">
      <c r="A175" s="96"/>
      <c r="B175" s="96"/>
      <c r="C175" s="96"/>
      <c r="D175" s="96"/>
      <c r="E175" s="96"/>
      <c r="F175" s="96"/>
      <c r="G175" s="96"/>
      <c r="H175" s="96"/>
      <c r="I175" s="96"/>
      <c r="J175" s="96"/>
    </row>
    <row r="176" spans="1:10" s="30" customFormat="1" x14ac:dyDescent="0.25">
      <c r="A176" s="96"/>
      <c r="B176" s="96"/>
      <c r="C176" s="96"/>
      <c r="D176" s="96"/>
      <c r="E176" s="96"/>
      <c r="F176" s="96"/>
      <c r="G176" s="96"/>
      <c r="H176" s="96"/>
      <c r="I176" s="96"/>
      <c r="J176" s="96"/>
    </row>
    <row r="177" spans="1:10" s="30" customFormat="1" x14ac:dyDescent="0.25">
      <c r="A177" s="96"/>
      <c r="B177" s="96"/>
      <c r="C177" s="96"/>
      <c r="D177" s="96"/>
      <c r="E177" s="96"/>
      <c r="F177" s="96"/>
      <c r="G177" s="96"/>
      <c r="H177" s="96"/>
      <c r="I177" s="96"/>
      <c r="J177" s="96"/>
    </row>
    <row r="178" spans="1:10" s="30" customFormat="1" x14ac:dyDescent="0.25">
      <c r="A178" s="96"/>
      <c r="B178" s="96"/>
      <c r="C178" s="96"/>
      <c r="D178" s="96"/>
      <c r="E178" s="96"/>
      <c r="F178" s="96"/>
      <c r="G178" s="96"/>
      <c r="H178" s="96"/>
      <c r="I178" s="96"/>
      <c r="J178" s="96"/>
    </row>
    <row r="179" spans="1:10" s="30" customFormat="1" x14ac:dyDescent="0.25">
      <c r="A179" s="96"/>
      <c r="B179" s="96"/>
      <c r="C179" s="96"/>
      <c r="D179" s="96"/>
      <c r="E179" s="96"/>
      <c r="F179" s="96"/>
      <c r="G179" s="96"/>
      <c r="H179" s="96"/>
      <c r="I179" s="96"/>
      <c r="J179" s="96"/>
    </row>
    <row r="180" spans="1:10" s="30" customFormat="1" x14ac:dyDescent="0.25">
      <c r="A180" s="96"/>
      <c r="B180" s="96"/>
      <c r="C180" s="96"/>
      <c r="D180" s="96"/>
      <c r="E180" s="96"/>
      <c r="F180" s="96"/>
      <c r="G180" s="96"/>
      <c r="H180" s="96"/>
      <c r="I180" s="96"/>
      <c r="J180" s="96"/>
    </row>
    <row r="181" spans="1:10" s="30" customFormat="1" x14ac:dyDescent="0.25">
      <c r="A181" s="96"/>
      <c r="B181" s="96"/>
      <c r="C181" s="96"/>
      <c r="D181" s="96"/>
      <c r="E181" s="96"/>
      <c r="F181" s="96"/>
      <c r="G181" s="96"/>
      <c r="H181" s="96"/>
      <c r="I181" s="96"/>
      <c r="J181" s="96"/>
    </row>
    <row r="182" spans="1:10" s="30" customFormat="1" x14ac:dyDescent="0.25">
      <c r="A182" s="96"/>
      <c r="B182" s="96"/>
      <c r="C182" s="96"/>
      <c r="D182" s="96"/>
      <c r="E182" s="96"/>
      <c r="F182" s="96"/>
      <c r="G182" s="96"/>
      <c r="H182" s="96"/>
      <c r="I182" s="96"/>
      <c r="J182" s="96"/>
    </row>
    <row r="183" spans="1:10" s="30" customFormat="1" x14ac:dyDescent="0.25">
      <c r="A183" s="96"/>
      <c r="B183" s="96"/>
      <c r="C183" s="96"/>
      <c r="D183" s="96"/>
      <c r="E183" s="96"/>
      <c r="F183" s="96"/>
      <c r="G183" s="96"/>
      <c r="H183" s="96"/>
      <c r="I183" s="96"/>
      <c r="J183" s="96"/>
    </row>
    <row r="184" spans="1:10" s="30" customFormat="1" x14ac:dyDescent="0.25">
      <c r="A184" s="96"/>
      <c r="B184" s="96"/>
      <c r="C184" s="96"/>
      <c r="D184" s="96"/>
      <c r="E184" s="96"/>
      <c r="F184" s="96"/>
      <c r="G184" s="96"/>
      <c r="H184" s="96"/>
      <c r="I184" s="96"/>
      <c r="J184" s="96"/>
    </row>
    <row r="185" spans="1:10" s="30" customFormat="1" x14ac:dyDescent="0.25">
      <c r="A185" s="96"/>
      <c r="B185" s="96"/>
      <c r="C185" s="96"/>
      <c r="D185" s="96"/>
      <c r="E185" s="96"/>
      <c r="F185" s="96"/>
      <c r="G185" s="96"/>
      <c r="H185" s="96"/>
      <c r="I185" s="96"/>
      <c r="J185" s="96"/>
    </row>
    <row r="186" spans="1:10" s="30" customFormat="1" x14ac:dyDescent="0.25">
      <c r="A186" s="96"/>
      <c r="B186" s="96"/>
      <c r="C186" s="96"/>
      <c r="D186" s="96"/>
      <c r="E186" s="96"/>
      <c r="F186" s="96"/>
      <c r="G186" s="96"/>
      <c r="H186" s="96"/>
      <c r="I186" s="96"/>
      <c r="J186" s="96"/>
    </row>
    <row r="187" spans="1:10" s="30" customFormat="1" x14ac:dyDescent="0.25">
      <c r="A187" s="96"/>
      <c r="B187" s="96"/>
      <c r="C187" s="96"/>
      <c r="D187" s="96"/>
      <c r="E187" s="96"/>
      <c r="F187" s="96"/>
      <c r="G187" s="96"/>
      <c r="H187" s="96"/>
      <c r="I187" s="96"/>
      <c r="J187" s="96"/>
    </row>
    <row r="188" spans="1:10" s="30" customFormat="1" x14ac:dyDescent="0.25">
      <c r="A188" s="96"/>
      <c r="B188" s="96"/>
      <c r="C188" s="96"/>
      <c r="D188" s="96"/>
      <c r="E188" s="96"/>
      <c r="F188" s="96"/>
      <c r="G188" s="96"/>
      <c r="H188" s="96"/>
      <c r="I188" s="96"/>
      <c r="J188" s="96"/>
    </row>
    <row r="189" spans="1:10" s="30" customFormat="1" x14ac:dyDescent="0.25">
      <c r="A189" s="96"/>
      <c r="B189" s="96"/>
      <c r="C189" s="96"/>
      <c r="D189" s="96"/>
      <c r="E189" s="96"/>
      <c r="F189" s="96"/>
      <c r="G189" s="96"/>
      <c r="H189" s="96"/>
      <c r="I189" s="96"/>
      <c r="J189" s="96"/>
    </row>
    <row r="190" spans="1:10" s="30" customFormat="1" x14ac:dyDescent="0.25">
      <c r="A190" s="96"/>
      <c r="B190" s="96"/>
      <c r="C190" s="96"/>
      <c r="D190" s="96"/>
      <c r="E190" s="96"/>
      <c r="F190" s="96"/>
      <c r="G190" s="96"/>
      <c r="H190" s="96"/>
      <c r="I190" s="96"/>
      <c r="J190" s="96"/>
    </row>
    <row r="191" spans="1:10" s="30" customFormat="1" x14ac:dyDescent="0.25">
      <c r="A191" s="96"/>
      <c r="B191" s="96"/>
      <c r="C191" s="96"/>
      <c r="D191" s="96"/>
      <c r="E191" s="96"/>
      <c r="F191" s="96"/>
      <c r="G191" s="96"/>
      <c r="H191" s="96"/>
      <c r="I191" s="96"/>
      <c r="J191" s="96"/>
    </row>
    <row r="192" spans="1:10" s="30" customFormat="1" x14ac:dyDescent="0.25">
      <c r="A192" s="96"/>
      <c r="B192" s="96"/>
      <c r="C192" s="96"/>
      <c r="D192" s="96"/>
      <c r="E192" s="96"/>
      <c r="F192" s="96"/>
      <c r="G192" s="96"/>
      <c r="H192" s="96"/>
      <c r="I192" s="96"/>
      <c r="J192" s="96"/>
    </row>
    <row r="193" spans="1:10" s="30" customFormat="1" x14ac:dyDescent="0.25">
      <c r="A193" s="96"/>
      <c r="B193" s="96"/>
      <c r="C193" s="96"/>
      <c r="D193" s="96"/>
      <c r="E193" s="96"/>
      <c r="F193" s="96"/>
      <c r="G193" s="96"/>
      <c r="H193" s="96"/>
      <c r="I193" s="96"/>
      <c r="J193" s="96"/>
    </row>
    <row r="194" spans="1:10" s="30" customFormat="1" x14ac:dyDescent="0.25">
      <c r="A194" s="96"/>
      <c r="B194" s="96"/>
      <c r="C194" s="96"/>
      <c r="D194" s="96"/>
      <c r="E194" s="96"/>
      <c r="F194" s="96"/>
      <c r="G194" s="96"/>
      <c r="H194" s="96"/>
      <c r="I194" s="96"/>
      <c r="J194" s="96"/>
    </row>
    <row r="195" spans="1:10" s="30" customFormat="1" x14ac:dyDescent="0.25">
      <c r="A195" s="96"/>
      <c r="B195" s="96"/>
      <c r="C195" s="96"/>
      <c r="D195" s="96"/>
      <c r="E195" s="96"/>
      <c r="F195" s="96"/>
      <c r="G195" s="96"/>
      <c r="H195" s="96"/>
      <c r="I195" s="96"/>
      <c r="J195" s="96"/>
    </row>
    <row r="196" spans="1:10" s="30" customFormat="1" x14ac:dyDescent="0.25">
      <c r="A196" s="96"/>
      <c r="B196" s="96"/>
      <c r="C196" s="96"/>
      <c r="D196" s="96"/>
      <c r="E196" s="96"/>
      <c r="F196" s="96"/>
      <c r="G196" s="96"/>
      <c r="H196" s="96"/>
      <c r="I196" s="96"/>
      <c r="J196" s="96"/>
    </row>
    <row r="197" spans="1:10" s="30" customFormat="1" x14ac:dyDescent="0.25">
      <c r="A197" s="96"/>
      <c r="B197" s="96"/>
      <c r="C197" s="96"/>
      <c r="D197" s="96"/>
      <c r="E197" s="96"/>
      <c r="F197" s="96"/>
      <c r="G197" s="96"/>
      <c r="H197" s="96"/>
      <c r="I197" s="96"/>
      <c r="J197" s="96"/>
    </row>
    <row r="198" spans="1:10" s="30" customFormat="1" x14ac:dyDescent="0.25">
      <c r="A198" s="96"/>
      <c r="B198" s="96"/>
      <c r="C198" s="96"/>
      <c r="D198" s="96"/>
      <c r="E198" s="96"/>
      <c r="F198" s="96"/>
      <c r="G198" s="96"/>
      <c r="H198" s="96"/>
      <c r="I198" s="96"/>
      <c r="J198" s="96"/>
    </row>
    <row r="199" spans="1:10" s="30" customFormat="1" x14ac:dyDescent="0.25">
      <c r="A199" s="96"/>
      <c r="B199" s="96"/>
      <c r="C199" s="96"/>
      <c r="D199" s="96"/>
      <c r="E199" s="96"/>
      <c r="F199" s="96"/>
      <c r="G199" s="96"/>
      <c r="H199" s="96"/>
      <c r="I199" s="96"/>
      <c r="J199" s="96"/>
    </row>
    <row r="200" spans="1:10" s="30" customFormat="1" x14ac:dyDescent="0.25">
      <c r="A200" s="96"/>
      <c r="B200" s="96"/>
      <c r="C200" s="96"/>
      <c r="D200" s="96"/>
      <c r="E200" s="96"/>
      <c r="F200" s="96"/>
      <c r="G200" s="96"/>
      <c r="H200" s="96"/>
      <c r="I200" s="96"/>
      <c r="J200" s="96"/>
    </row>
    <row r="201" spans="1:10" s="30" customFormat="1" x14ac:dyDescent="0.25">
      <c r="A201" s="96"/>
      <c r="B201" s="96"/>
      <c r="C201" s="96"/>
      <c r="D201" s="96"/>
      <c r="E201" s="96"/>
      <c r="F201" s="96"/>
      <c r="G201" s="96"/>
      <c r="H201" s="96"/>
      <c r="I201" s="96"/>
      <c r="J201" s="96"/>
    </row>
    <row r="202" spans="1:10" s="30" customFormat="1" x14ac:dyDescent="0.25">
      <c r="A202" s="96"/>
      <c r="B202" s="96"/>
      <c r="C202" s="96"/>
      <c r="D202" s="96"/>
      <c r="E202" s="96"/>
      <c r="F202" s="96"/>
      <c r="G202" s="96"/>
      <c r="H202" s="96"/>
      <c r="I202" s="96"/>
      <c r="J202" s="96"/>
    </row>
    <row r="203" spans="1:10" s="30" customFormat="1" x14ac:dyDescent="0.25">
      <c r="A203" s="96"/>
      <c r="B203" s="96"/>
      <c r="C203" s="96"/>
      <c r="D203" s="96"/>
      <c r="E203" s="96"/>
      <c r="F203" s="96"/>
      <c r="G203" s="96"/>
      <c r="H203" s="96"/>
      <c r="I203" s="96"/>
      <c r="J203" s="96"/>
    </row>
    <row r="204" spans="1:10" s="30" customFormat="1" x14ac:dyDescent="0.25">
      <c r="A204" s="96"/>
      <c r="B204" s="96"/>
      <c r="C204" s="96"/>
      <c r="D204" s="96"/>
      <c r="E204" s="96"/>
      <c r="F204" s="96"/>
      <c r="G204" s="96"/>
      <c r="H204" s="96"/>
      <c r="I204" s="96"/>
      <c r="J204" s="96"/>
    </row>
    <row r="205" spans="1:10" s="30" customFormat="1" x14ac:dyDescent="0.25">
      <c r="A205" s="96"/>
      <c r="B205" s="96"/>
      <c r="C205" s="96"/>
      <c r="D205" s="96"/>
      <c r="E205" s="96"/>
      <c r="F205" s="96"/>
      <c r="G205" s="96"/>
      <c r="H205" s="96"/>
      <c r="I205" s="96"/>
      <c r="J205" s="96"/>
    </row>
    <row r="206" spans="1:10" s="30" customFormat="1" x14ac:dyDescent="0.25">
      <c r="A206" s="96"/>
      <c r="B206" s="96"/>
      <c r="C206" s="96"/>
      <c r="D206" s="96"/>
      <c r="E206" s="96"/>
      <c r="F206" s="96"/>
      <c r="G206" s="96"/>
      <c r="H206" s="96"/>
      <c r="I206" s="96"/>
      <c r="J206" s="96"/>
    </row>
    <row r="207" spans="1:10" s="30" customFormat="1" x14ac:dyDescent="0.25">
      <c r="A207" s="96"/>
      <c r="B207" s="96"/>
      <c r="C207" s="96"/>
      <c r="D207" s="96"/>
      <c r="E207" s="96"/>
      <c r="F207" s="96"/>
      <c r="G207" s="96"/>
      <c r="H207" s="96"/>
      <c r="I207" s="96"/>
      <c r="J207" s="96"/>
    </row>
    <row r="208" spans="1:10" s="30" customFormat="1" x14ac:dyDescent="0.25">
      <c r="A208" s="96"/>
      <c r="B208" s="96"/>
      <c r="C208" s="96"/>
      <c r="D208" s="96"/>
      <c r="E208" s="96"/>
      <c r="F208" s="96"/>
      <c r="G208" s="96"/>
      <c r="H208" s="96"/>
      <c r="I208" s="96"/>
      <c r="J208" s="96"/>
    </row>
    <row r="209" spans="1:14" s="30" customFormat="1" x14ac:dyDescent="0.25">
      <c r="A209" s="96"/>
      <c r="B209" s="96"/>
      <c r="C209" s="96"/>
      <c r="D209" s="96"/>
      <c r="E209" s="96"/>
      <c r="F209" s="96"/>
      <c r="G209" s="96"/>
      <c r="H209" s="96"/>
      <c r="I209" s="96"/>
      <c r="J209" s="96"/>
      <c r="K209"/>
      <c r="L209"/>
      <c r="M209"/>
      <c r="N209"/>
    </row>
    <row r="210" spans="1:14" x14ac:dyDescent="0.25">
      <c r="A210" s="13"/>
      <c r="B210" s="30"/>
      <c r="C210" s="50"/>
      <c r="D210" s="88" t="s">
        <v>100</v>
      </c>
      <c r="E210" s="95">
        <f>SUM(E3:E209)</f>
        <v>0</v>
      </c>
      <c r="F210" s="33"/>
      <c r="G210" s="88"/>
      <c r="H210" s="88"/>
      <c r="I210" s="88" t="s">
        <v>105</v>
      </c>
      <c r="J210" s="94">
        <f>SUM(K3:K209)</f>
        <v>0</v>
      </c>
    </row>
    <row r="211" spans="1:14" x14ac:dyDescent="0.25">
      <c r="A211" s="13"/>
      <c r="B211" s="30"/>
      <c r="C211" s="50"/>
      <c r="D211" s="88"/>
      <c r="E211" s="33"/>
      <c r="F211" s="33"/>
      <c r="G211" s="88"/>
      <c r="H211" s="88"/>
      <c r="I211" s="88"/>
      <c r="J211" s="30"/>
    </row>
    <row r="212" spans="1:14" x14ac:dyDescent="0.25">
      <c r="A212" s="2" t="s">
        <v>8</v>
      </c>
      <c r="B212" s="30"/>
      <c r="C212" s="50"/>
      <c r="D212" s="88"/>
      <c r="E212" s="33"/>
      <c r="F212" s="33"/>
      <c r="G212" s="88"/>
      <c r="H212" s="88"/>
      <c r="I212" s="88"/>
      <c r="J212" s="30"/>
    </row>
    <row r="213" spans="1:14" x14ac:dyDescent="0.25">
      <c r="A213" s="30"/>
      <c r="B213" s="30"/>
      <c r="C213" s="30"/>
      <c r="D213" s="30"/>
      <c r="E213" s="30"/>
      <c r="F213" s="30"/>
      <c r="G213" s="30"/>
      <c r="H213" s="30"/>
      <c r="I213" s="30"/>
      <c r="J213" s="30"/>
    </row>
    <row r="214" spans="1:14" x14ac:dyDescent="0.25">
      <c r="A214" s="34"/>
      <c r="B214" s="34"/>
      <c r="C214" s="89"/>
      <c r="D214" s="89"/>
      <c r="E214" s="90"/>
      <c r="F214" s="90"/>
      <c r="G214" s="35"/>
      <c r="H214" s="34"/>
      <c r="I214" s="34"/>
      <c r="J214" s="36"/>
    </row>
  </sheetData>
  <pageMargins left="0.7" right="0.7" top="0.75" bottom="0.75" header="0.3" footer="0.3"/>
  <pageSetup paperSize="9" orientation="landscape" r:id="rId1"/>
  <headerFooter>
    <oddHeader>&amp;R&amp;D. &amp;T. Страница &amp;P/&amp;N&amp;LРАСПИЛ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utton 3">
              <controlPr defaultSize="0" print="0" autoFill="0" autoPict="0" macro="[0]!СкрытьПервыйСтолбик">
                <anchor>
                  <from>
                    <xdr:col>12</xdr:col>
                    <xdr:colOff>400050</xdr:colOff>
                    <xdr:row>0</xdr:row>
                    <xdr:rowOff>66675</xdr:rowOff>
                  </from>
                  <to>
                    <xdr:col>16</xdr:col>
                    <xdr:colOff>571500</xdr:colOff>
                    <xdr:row>1</xdr:row>
                    <xdr:rowOff>257175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721AF-45DA-4159-905B-67956CC3364F}">
  <sheetPr codeName="Лист9"/>
  <dimension ref="A1:N23"/>
  <sheetViews>
    <sheetView view="pageBreakPreview" zoomScale="115" zoomScaleNormal="100" zoomScaleSheetLayoutView="115" workbookViewId="0">
      <selection activeCell="F3" sqref="F3"/>
    </sheetView>
  </sheetViews>
  <sheetFormatPr defaultRowHeight="15" x14ac:dyDescent="0.25"/>
  <cols>
    <col min="1" max="1" width="4.85546875" style="30" customWidth="1"/>
    <col min="2" max="2" width="23.140625" style="30" customWidth="1"/>
    <col min="3" max="3" width="7.42578125" style="30" customWidth="1"/>
    <col min="4" max="4" width="7.5703125" style="30" customWidth="1"/>
    <col min="5" max="5" width="5.28515625" style="30" customWidth="1"/>
    <col min="6" max="6" width="24.5703125" style="30" customWidth="1"/>
    <col min="7" max="7" width="17.7109375" style="30" customWidth="1"/>
    <col min="8" max="8" width="12.85546875" style="30" customWidth="1"/>
    <col min="9" max="9" width="10.42578125" style="30" customWidth="1"/>
    <col min="10" max="16384" width="9.140625" style="30"/>
  </cols>
  <sheetData>
    <row r="1" spans="1:14" ht="18.75" x14ac:dyDescent="0.3">
      <c r="A1" s="1" t="s">
        <v>113</v>
      </c>
      <c r="D1" s="83"/>
      <c r="E1" s="83"/>
      <c r="I1" s="84"/>
      <c r="J1" s="83"/>
    </row>
    <row r="2" spans="1:14" ht="38.25" x14ac:dyDescent="0.25">
      <c r="A2" s="65" t="s">
        <v>6</v>
      </c>
      <c r="B2" s="65" t="str">
        <f>"Наименование"</f>
        <v>Наименование</v>
      </c>
      <c r="C2" s="108" t="s">
        <v>107</v>
      </c>
      <c r="D2" s="98" t="s">
        <v>108</v>
      </c>
      <c r="E2" s="86" t="s">
        <v>109</v>
      </c>
      <c r="F2" s="65" t="s">
        <v>48</v>
      </c>
      <c r="G2" s="65" t="s">
        <v>49</v>
      </c>
      <c r="H2" s="65" t="s">
        <v>50</v>
      </c>
      <c r="I2" s="65" t="s">
        <v>4</v>
      </c>
      <c r="J2" s="65" t="s">
        <v>106</v>
      </c>
    </row>
    <row r="3" spans="1:14" x14ac:dyDescent="0.25">
      <c r="A3" s="99"/>
      <c r="B3" s="105"/>
      <c r="C3" s="106"/>
      <c r="D3" s="106"/>
      <c r="E3" s="107"/>
      <c r="F3" s="99"/>
      <c r="G3" s="99"/>
      <c r="H3" s="99"/>
      <c r="I3" s="99"/>
      <c r="J3" s="99"/>
      <c r="K3" s="99"/>
      <c r="L3" s="99"/>
      <c r="M3" s="81"/>
      <c r="N3" s="81"/>
    </row>
    <row r="4" spans="1:14" x14ac:dyDescent="0.25">
      <c r="A4" s="99"/>
      <c r="B4" s="105"/>
      <c r="C4" s="106"/>
      <c r="D4" s="106"/>
      <c r="E4" s="107"/>
      <c r="F4" s="99"/>
      <c r="G4" s="99"/>
      <c r="H4" s="99"/>
      <c r="I4" s="99"/>
      <c r="J4" s="99"/>
      <c r="K4" s="99"/>
      <c r="L4" s="99"/>
      <c r="M4" s="81"/>
      <c r="N4" s="81"/>
    </row>
    <row r="5" spans="1:14" x14ac:dyDescent="0.25">
      <c r="A5" s="99"/>
      <c r="B5" s="105"/>
      <c r="C5" s="106"/>
      <c r="D5" s="106"/>
      <c r="E5" s="107"/>
      <c r="F5" s="99"/>
      <c r="G5" s="99"/>
      <c r="H5" s="99"/>
      <c r="I5" s="99"/>
      <c r="J5" s="99"/>
      <c r="K5" s="99"/>
      <c r="L5" s="99"/>
      <c r="M5" s="81"/>
      <c r="N5" s="81"/>
    </row>
    <row r="6" spans="1:14" x14ac:dyDescent="0.25">
      <c r="A6" s="99"/>
      <c r="B6" s="105"/>
      <c r="C6" s="106"/>
      <c r="D6" s="106"/>
      <c r="E6" s="107"/>
      <c r="F6" s="99"/>
      <c r="G6" s="99"/>
      <c r="H6" s="99"/>
      <c r="I6" s="99"/>
      <c r="J6" s="99"/>
      <c r="K6" s="99"/>
      <c r="L6" s="99"/>
      <c r="M6" s="81"/>
      <c r="N6" s="81"/>
    </row>
    <row r="7" spans="1:14" x14ac:dyDescent="0.25">
      <c r="A7" s="99"/>
      <c r="B7" s="105"/>
      <c r="C7" s="106"/>
      <c r="D7" s="106"/>
      <c r="E7" s="107"/>
      <c r="F7" s="99"/>
      <c r="G7" s="99"/>
      <c r="H7" s="99"/>
      <c r="I7" s="99"/>
      <c r="J7" s="99"/>
      <c r="K7" s="99"/>
      <c r="L7" s="99"/>
      <c r="M7" s="81"/>
      <c r="N7" s="81"/>
    </row>
    <row r="8" spans="1:14" x14ac:dyDescent="0.25">
      <c r="A8" s="99"/>
      <c r="B8" s="105"/>
      <c r="C8" s="99"/>
      <c r="D8" s="99"/>
      <c r="E8" s="107"/>
      <c r="F8" s="99"/>
      <c r="G8" s="99"/>
      <c r="H8" s="99"/>
      <c r="I8" s="99"/>
      <c r="J8" s="99"/>
      <c r="K8" s="99"/>
      <c r="L8" s="99"/>
      <c r="M8" s="81"/>
      <c r="N8" s="81"/>
    </row>
    <row r="9" spans="1:14" x14ac:dyDescent="0.25">
      <c r="A9" s="99"/>
      <c r="B9" s="105"/>
      <c r="C9" s="106"/>
      <c r="D9" s="106"/>
      <c r="E9" s="107"/>
      <c r="F9" s="99"/>
      <c r="G9" s="99"/>
      <c r="H9" s="99"/>
      <c r="I9" s="99"/>
      <c r="J9" s="99"/>
      <c r="K9" s="99"/>
      <c r="L9" s="99"/>
      <c r="M9" s="81"/>
      <c r="N9" s="81"/>
    </row>
    <row r="10" spans="1:14" x14ac:dyDescent="0.25">
      <c r="A10" s="99"/>
      <c r="B10" s="105"/>
      <c r="C10" s="106"/>
      <c r="D10" s="106"/>
      <c r="E10" s="107"/>
      <c r="F10" s="99"/>
      <c r="G10" s="99"/>
      <c r="H10" s="99"/>
      <c r="I10" s="99"/>
      <c r="J10" s="99"/>
      <c r="K10" s="99"/>
      <c r="L10" s="99"/>
      <c r="M10" s="81"/>
      <c r="N10" s="81"/>
    </row>
    <row r="11" spans="1:14" x14ac:dyDescent="0.25">
      <c r="A11" s="99"/>
      <c r="B11" s="105"/>
      <c r="C11" s="106"/>
      <c r="D11" s="106"/>
      <c r="E11" s="107"/>
      <c r="F11" s="99"/>
      <c r="G11" s="99"/>
      <c r="H11" s="99"/>
      <c r="I11" s="99"/>
      <c r="J11" s="99"/>
      <c r="K11" s="99"/>
      <c r="L11" s="99"/>
      <c r="M11" s="81"/>
      <c r="N11" s="81"/>
    </row>
    <row r="12" spans="1:14" x14ac:dyDescent="0.25">
      <c r="A12" s="99"/>
      <c r="B12" s="105"/>
      <c r="C12" s="106"/>
      <c r="D12" s="99"/>
      <c r="E12" s="107"/>
      <c r="F12" s="99"/>
      <c r="G12" s="99"/>
      <c r="H12" s="99"/>
      <c r="I12" s="99"/>
      <c r="J12" s="99"/>
      <c r="K12" s="99"/>
      <c r="L12" s="99"/>
      <c r="M12" s="81"/>
      <c r="N12" s="81"/>
    </row>
    <row r="13" spans="1:14" x14ac:dyDescent="0.25">
      <c r="A13" s="99"/>
      <c r="B13" s="105"/>
      <c r="C13" s="106"/>
      <c r="D13" s="99"/>
      <c r="E13" s="107"/>
      <c r="F13" s="99"/>
      <c r="G13" s="99"/>
      <c r="H13" s="99"/>
      <c r="I13" s="99"/>
      <c r="J13" s="99"/>
      <c r="K13" s="99"/>
      <c r="L13" s="99"/>
      <c r="M13" s="81"/>
      <c r="N13" s="81"/>
    </row>
    <row r="14" spans="1:14" x14ac:dyDescent="0.25">
      <c r="A14" s="99"/>
      <c r="B14" s="105"/>
      <c r="C14" s="106"/>
      <c r="D14" s="106"/>
      <c r="E14" s="107"/>
      <c r="F14" s="99"/>
      <c r="G14" s="99"/>
      <c r="H14" s="99"/>
      <c r="I14" s="99"/>
      <c r="J14" s="99"/>
      <c r="K14" s="99"/>
      <c r="L14" s="99"/>
      <c r="M14" s="81"/>
      <c r="N14" s="81"/>
    </row>
    <row r="15" spans="1:14" x14ac:dyDescent="0.25">
      <c r="A15" s="99"/>
      <c r="B15" s="105"/>
      <c r="C15" s="106"/>
      <c r="D15" s="106"/>
      <c r="E15" s="107"/>
      <c r="F15" s="99"/>
      <c r="G15" s="99"/>
      <c r="H15" s="99"/>
      <c r="I15" s="99"/>
      <c r="J15" s="99"/>
      <c r="K15" s="99"/>
      <c r="L15" s="99"/>
      <c r="M15" s="81"/>
      <c r="N15" s="81"/>
    </row>
    <row r="16" spans="1:14" x14ac:dyDescent="0.25">
      <c r="A16" s="99"/>
      <c r="B16" s="105"/>
      <c r="C16" s="106"/>
      <c r="D16" s="106"/>
      <c r="E16" s="107"/>
      <c r="F16" s="99"/>
      <c r="G16" s="99"/>
      <c r="H16" s="99"/>
      <c r="I16" s="99"/>
      <c r="J16" s="99"/>
      <c r="K16" s="99"/>
      <c r="L16" s="99"/>
      <c r="M16" s="81"/>
      <c r="N16" s="81"/>
    </row>
    <row r="17" spans="1:14" x14ac:dyDescent="0.25">
      <c r="A17" s="99"/>
      <c r="B17" s="105"/>
      <c r="C17" s="99"/>
      <c r="D17" s="99"/>
      <c r="E17" s="107"/>
      <c r="F17" s="99"/>
      <c r="G17" s="99"/>
      <c r="H17" s="99"/>
      <c r="I17" s="99"/>
      <c r="J17" s="99"/>
      <c r="K17" s="99"/>
      <c r="L17" s="99"/>
      <c r="M17" s="81"/>
      <c r="N17" s="81"/>
    </row>
    <row r="18" spans="1:14" x14ac:dyDescent="0.25">
      <c r="A18" s="99"/>
      <c r="B18" s="105"/>
      <c r="C18" s="106"/>
      <c r="D18" s="106"/>
      <c r="E18" s="107"/>
      <c r="F18" s="99"/>
      <c r="G18" s="99"/>
      <c r="H18" s="99"/>
      <c r="I18" s="99"/>
      <c r="J18" s="99"/>
      <c r="K18" s="99"/>
      <c r="L18" s="99"/>
      <c r="M18" s="81"/>
      <c r="N18" s="81"/>
    </row>
    <row r="19" spans="1:14" x14ac:dyDescent="0.25">
      <c r="A19" s="13"/>
      <c r="C19" s="50"/>
      <c r="D19" s="88" t="s">
        <v>100</v>
      </c>
      <c r="E19" s="95">
        <f>SUM(E3:E18)</f>
        <v>0</v>
      </c>
      <c r="F19" s="88"/>
      <c r="G19" s="88"/>
      <c r="I19" s="88" t="s">
        <v>105</v>
      </c>
      <c r="J19" s="104">
        <f>SUM(K3:K18)</f>
        <v>0</v>
      </c>
    </row>
    <row r="20" spans="1:14" x14ac:dyDescent="0.25">
      <c r="A20" s="13"/>
      <c r="C20" s="50"/>
      <c r="D20" s="88"/>
      <c r="E20" s="33"/>
      <c r="F20" s="88"/>
      <c r="G20" s="88"/>
      <c r="H20" s="88"/>
      <c r="J20" s="33"/>
    </row>
    <row r="21" spans="1:14" x14ac:dyDescent="0.25">
      <c r="A21" s="2" t="s">
        <v>8</v>
      </c>
      <c r="C21" s="50"/>
      <c r="D21" s="88"/>
      <c r="E21" s="33"/>
      <c r="F21" s="88"/>
      <c r="G21" s="88"/>
      <c r="H21" s="88"/>
      <c r="J21" s="33"/>
    </row>
    <row r="23" spans="1:14" x14ac:dyDescent="0.25">
      <c r="A23" s="34"/>
      <c r="B23" s="34"/>
      <c r="C23" s="89"/>
      <c r="D23" s="89"/>
      <c r="E23" s="90"/>
      <c r="F23" s="35"/>
      <c r="G23" s="34"/>
      <c r="H23" s="34"/>
      <c r="I23" s="36"/>
      <c r="J23" s="90"/>
    </row>
  </sheetData>
  <pageMargins left="0.7" right="0.7" top="0.75" bottom="0.75" header="0.3" footer="0.3"/>
  <pageSetup paperSize="9" orientation="landscape" r:id="rId1"/>
  <headerFooter>
    <oddHeader>&amp;R&amp;D. &amp;T. Страница &amp;P/&amp;N&amp;LСБОРКА bCad-teh2</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СкрытьПервыйСтолбик">
                <anchor>
                  <from>
                    <xdr:col>11</xdr:col>
                    <xdr:colOff>285750</xdr:colOff>
                    <xdr:row>0</xdr:row>
                    <xdr:rowOff>66675</xdr:rowOff>
                  </from>
                  <to>
                    <xdr:col>15</xdr:col>
                    <xdr:colOff>457200</xdr:colOff>
                    <xdr:row>1</xdr:row>
                    <xdr:rowOff>257175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6</vt:i4>
      </vt:variant>
      <vt:variant>
        <vt:lpstr>Именованные диапазоны</vt:lpstr>
      </vt:variant>
      <vt:variant>
        <vt:i4>4</vt:i4>
      </vt:variant>
    </vt:vector>
  </HeadingPairs>
  <TitlesOfParts>
    <vt:vector size="10" baseType="lpstr">
      <vt:lpstr>ИсходныйСкрытый</vt:lpstr>
      <vt:lpstr>Деталировка</vt:lpstr>
      <vt:lpstr>СКЛАД</vt:lpstr>
      <vt:lpstr>КРОМКА</vt:lpstr>
      <vt:lpstr>РАСПИЛ</vt:lpstr>
      <vt:lpstr>СБОРКА</vt:lpstr>
      <vt:lpstr>Деталировка!Область_печати</vt:lpstr>
      <vt:lpstr>КРОМКА!Область_печати</vt:lpstr>
      <vt:lpstr>РАСПИЛ!Область_печати</vt:lpstr>
      <vt:lpstr>СБОРКА!Область_печати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2022-02-22T17:36:49Z</cp:lastPrinted>
  <dcterms:created xsi:type="dcterms:W3CDTF">2014-06-23T08:47:00Z</dcterms:created>
  <dcterms:modified xsi:type="dcterms:W3CDTF">2022-02-22T18:22:49Z</dcterms:modified>
</cp:coreProperties>
</file>
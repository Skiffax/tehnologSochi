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C9366042-A0E2-48A8-AE75-E6C6BCA88077}" xr6:coauthVersionLast="45" xr6:coauthVersionMax="45" xr10:uidLastSave="{00000000-0000-0000-0000-000000000000}"/>
  <bookViews>
    <workbookView xWindow="-120" yWindow="-120" windowWidth="29040" windowHeight="15840" tabRatio="396" activeTab="2" xr2:uid="{00000000-000D-0000-FFFF-FFFF00000000}"/>
  </bookViews>
  <sheets>
    <sheet name="ИсходныйСкрытый" sheetId="662" r:id="rId1"/>
    <sheet name="Деталировка" sheetId="660" r:id="rId2"/>
    <sheet name="СКЛАД" sheetId="663" r:id="rId3"/>
    <sheet name="КРОМКА" sheetId="664" r:id="rId4"/>
  </sheets>
  <functionGroups builtInGroupCount="19"/>
  <definedNames>
    <definedName name="_xlnm._FilterDatabase" localSheetId="1" hidden="1">Деталировка!#REF!</definedName>
    <definedName name="_xlnm.Print_Area" localSheetId="1">Деталировка!$A$2:$M$35</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7" i="664" l="1"/>
  <c r="I7" i="664"/>
  <c r="B2" i="664" l="1"/>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59" i="660"/>
  <c r="I43" i="660"/>
  <c r="B3" i="660"/>
  <c r="D15" i="662" l="1"/>
  <c r="N15" i="662" s="1"/>
  <c r="E15" i="662"/>
  <c r="A22" i="660"/>
  <c r="A47" i="660"/>
  <c r="A3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<sst xmlns="http://schemas.openxmlformats.org/spreadsheetml/2006/main" count="164" uniqueCount="108">
  <si>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</si>
  <si>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</si>
  <si>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</si>
  <si>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</si>
  <si>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</si>
  <si>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</si>
  <si>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</si>
  <si>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</si>
  <si>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</si>
  <si>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</si>
  <si>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</si>
  <si>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</si>
  <si>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</si>
  <si>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</si>
  <si>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</si>
  <si>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</si>
  <si>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</si>
  <si>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</si>
  <si>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</si>
  <si>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</si>
  <si>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</si>
  <si>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</si>
  <si>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</si>
  <si>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</si>
  <si>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</si>
  <si>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</si>
  <si>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</si>
  <si>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</si>
  <si>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</si>
  <si>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</si>
  <si>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</si>
  <si>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</si>
  <si>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</si>
  <si>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</si>
  <si>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</si>
  <si>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</si>
  <si>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</si>
  <si>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</si>
  <si>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</si>
  <si>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</si>
  <si>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</si>
  <si>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</si>
  <si>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</si>
  <si>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</si>
  <si>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</si>
  <si>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</si>
  <si>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</si>
  <si>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</si>
  <si>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</si>
  <si>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</si>
  <si>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</si>
  <si>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</si>
  <si>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</si>
  <si>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</si>
  <si>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</si>
  <si>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</si>
  <si>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</si>
  <si>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</si>
  <si>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</si>
  <si>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</si>
  <si>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</si>
  <si>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</si>
  <si>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</si>
  <si>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</si>
  <si>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</si>
  <si>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</si>
  <si>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</si>
  <si>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</si>
  <si>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</si>
  <si>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</si>
  <si>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</si>
  <si>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</si>
  <si>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</si>
  <si>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</si>
  <si>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</si>
  <si>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</si>
  <si>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</si>
  <si>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</si>
  <si>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</si>
  <si>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</si>
  <si>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</si>
  <si>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</si>
  <si>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</si>
  <si>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</si>
  <si>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</si>
  <si>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</si>
  <si>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</si>
  <si>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</si>
  <si>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</si>
  <si>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</si>
  <si>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</si>
  <si>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</si>
  <si>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</si>
  <si>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</si>
  <si>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</si>
  <si>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</si>
  <si>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</si>
  <si>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</si>
  <si>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r>
      <rPr>
        <sz val="11"/>
        <color theme="1"/>
        <rFont val="Calibri"/>
        <family val="2"/>
        <charset val="204"/>
        <scheme val="minor"/>
      </rPr>
      <t xml:space="preserve">стр 1из1 </t>
    </r>
    <r>
      <rPr>
        <b/>
        <sz val="11"/>
        <color theme="1"/>
        <rFont val="Calibri"/>
        <family val="2"/>
        <charset val="204"/>
        <scheme val="minor"/>
      </rPr>
      <t>Дата: 20.01.2022</t>
    </r>
  </si>
  <si>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</si>
  <si>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</si>
  <si>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</si>
  <si>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</si>
  <si>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</si>
  <si>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</si>
  <si>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</si>
  <si>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bCad-teh</t>
  </si>
  <si>
    <t>КРОМКА bCad-teh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</si>
</sst>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6">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auto="1"/>
      </top>
      <bottom style="thin">
        <color theme="0" tint="-0.14999847407452621"/>
      </bottom>
      <diagonal/>
    </border>
    <border>
      <left/>
      <right/>
      <top style="thin">
        <color auto="1"/>
      </top>
      <bottom style="thin">
        <color theme="0" tint="-0.14999847407452621"/>
      </bottom>
      <diagonal/>
    </border>
    <border>
      <left/>
      <right style="thin">
        <color theme="0" tint="-0.14999847407452621"/>
      </right>
      <top style="thin">
        <color auto="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1" fillId="0" borderId="0"/>
  </cellStyleXfs>
  <cellXfs count="112">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3" xfId="0" applyFont="1" applyBorder="1"/>
    <xf numFmtId="0" fontId="0" fillId="0" borderId="0" xfId="0" applyAlignment="1">
      <alignment horizontal="center"/>
    </xf>
    <xf numFmtId="49" fontId="15" fillId="0" borderId="1" xfId="0" applyNumberFormat="1" applyFont="1" applyBorder="1"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0" fillId="0" borderId="8" xfId="0" applyBorder="1"/>
    <xf numFmtId="0" fontId="0" fillId="0" borderId="9" xfId="0" applyBorder="1"/>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applyAlignment="1">
      <alignment horizontal="center"/>
    </xf>
    <xf numFmtId="0" fontId="0" fillId="0" borderId="8" xfId="0" applyBorder="1" applyAlignment="1">
      <alignment horizontal="center"/>
    </xf>
    <xf numFmtId="0" fontId="2" fillId="0" borderId="9" xfId="0" applyFont="1" applyBorder="1" applyAlignment="1">
      <alignment horizontal="center"/>
    </xf>
    <xf numFmtId="0" fontId="0" fillId="0" borderId="9" xfId="0" applyBorder="1" applyAlignment="1">
      <alignment horizontal="center"/>
    </xf>
    <xf numFmtId="0" fontId="2" fillId="0" borderId="9" xfId="0" applyFont="1" applyBorder="1"/>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topLeftCell="A22" workbookViewId="0">
      <selection activeCell="B37" sqref="B37"/>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83"/>
      <c r="B56" s="83"/>
    </row>
    <row r="57" spans="1:6" s="30" customFormat="1" x14ac:dyDescent="0.25">
      <c r="A57" s="83"/>
      <c r="B57" s="83"/>
    </row>
    <row r="58" spans="1:6" s="30" customFormat="1" x14ac:dyDescent="0.25">
      <c r="A58" s="83"/>
      <c r="B58" s="83"/>
    </row>
    <row r="59" spans="1:6" s="30" customFormat="1" x14ac:dyDescent="0.25">
      <c r="A59" s="83"/>
      <c r="B59" s="83"/>
    </row>
    <row r="60" spans="1:6" s="30" customFormat="1" x14ac:dyDescent="0.25">
      <c r="A60" s="83"/>
      <c r="B60" s="83"/>
    </row>
    <row r="61" spans="1:6" s="30" customFormat="1" x14ac:dyDescent="0.25">
      <c r="A61" s="83"/>
      <c r="B61" s="83"/>
    </row>
    <row r="62" spans="1:6" s="30" customFormat="1" x14ac:dyDescent="0.25">
      <c r="A62" s="83"/>
      <c r="B62" s="83"/>
    </row>
    <row r="63" spans="1:6" s="30" customFormat="1" x14ac:dyDescent="0.25">
      <c r="A63" s="83"/>
      <c r="B63" s="83"/>
    </row>
    <row r="64" spans="1:6" s="30" customFormat="1" x14ac:dyDescent="0.25">
      <c r="A64" s="83"/>
      <c r="B64" s="83"/>
    </row>
    <row r="65" spans="1:2" s="30" customFormat="1" x14ac:dyDescent="0.25">
      <c r="A65" s="83"/>
      <c r="B65" s="83"/>
    </row>
    <row r="66" spans="1:2" s="30" customFormat="1" x14ac:dyDescent="0.25">
      <c r="A66" s="83"/>
      <c r="B66" s="83"/>
    </row>
    <row r="67" spans="1:2" s="30" customFormat="1" x14ac:dyDescent="0.25">
      <c r="A67" s="83"/>
      <c r="B67" s="83"/>
    </row>
    <row r="68" spans="1:2" s="30" customFormat="1" x14ac:dyDescent="0.25">
      <c r="A68" s="83"/>
      <c r="B68" s="83"/>
    </row>
    <row r="69" spans="1:2" s="30" customFormat="1" x14ac:dyDescent="0.25">
      <c r="A69" s="83"/>
      <c r="B69" s="83"/>
    </row>
    <row r="70" spans="1:2" s="30" customFormat="1" x14ac:dyDescent="0.25">
      <c r="A70" s="83"/>
      <c r="B70" s="83"/>
    </row>
    <row r="71" spans="1:2" s="30" customFormat="1" x14ac:dyDescent="0.25">
      <c r="A71" s="83"/>
      <c r="B71" s="83"/>
    </row>
    <row r="72" spans="1:2" s="30" customFormat="1" x14ac:dyDescent="0.25">
      <c r="A72" s="83"/>
      <c r="B72" s="83"/>
    </row>
    <row r="73" spans="1:2" s="30" customFormat="1" x14ac:dyDescent="0.25">
      <c r="A73" s="83"/>
      <c r="B73" s="83"/>
    </row>
    <row r="74" spans="1:2" s="30" customFormat="1" x14ac:dyDescent="0.25">
      <c r="A74" s="83"/>
      <c r="B74" s="83"/>
    </row>
    <row r="75" spans="1:2" s="30" customFormat="1" x14ac:dyDescent="0.25">
      <c r="A75" s="83"/>
      <c r="B75" s="83"/>
    </row>
    <row r="76" spans="1:2" s="30" customFormat="1" x14ac:dyDescent="0.25">
      <c r="A76" s="83"/>
      <c r="B76" s="83"/>
    </row>
    <row r="77" spans="1:2" s="30" customFormat="1" x14ac:dyDescent="0.25">
      <c r="A77" s="83"/>
      <c r="B77" s="83"/>
    </row>
    <row r="78" spans="1:2" s="30" customFormat="1" x14ac:dyDescent="0.25">
      <c r="A78" s="83"/>
      <c r="B78" s="83"/>
    </row>
    <row r="79" spans="1:2" s="30" customFormat="1" x14ac:dyDescent="0.25">
      <c r="A79" s="83"/>
      <c r="B79" s="83"/>
    </row>
    <row r="80" spans="1:2" s="30" customFormat="1" x14ac:dyDescent="0.25">
      <c r="A80" s="83"/>
      <c r="B80" s="83"/>
    </row>
    <row r="81" spans="1:2" s="30" customFormat="1" x14ac:dyDescent="0.25">
      <c r="A81" s="83"/>
      <c r="B81" s="83"/>
    </row>
    <row r="82" spans="1:2" s="30" customFormat="1" x14ac:dyDescent="0.25">
      <c r="A82" s="83"/>
      <c r="B82" s="83"/>
    </row>
    <row r="83" spans="1:2" s="30" customFormat="1" x14ac:dyDescent="0.25">
      <c r="A83" s="83"/>
      <c r="B83" s="83"/>
    </row>
    <row r="84" spans="1:2" s="30" customFormat="1" x14ac:dyDescent="0.25">
      <c r="A84" s="83"/>
      <c r="B84" s="83"/>
    </row>
    <row r="85" spans="1:2" s="30" customFormat="1" x14ac:dyDescent="0.25">
      <c r="A85" s="83"/>
      <c r="B85" s="83"/>
    </row>
    <row r="86" spans="1:2" s="30" customFormat="1" x14ac:dyDescent="0.25">
      <c r="A86" s="83"/>
      <c r="B86" s="83"/>
    </row>
    <row r="87" spans="1:2" s="30" customFormat="1" x14ac:dyDescent="0.25">
      <c r="A87" s="83"/>
      <c r="B87" s="83"/>
    </row>
    <row r="88" spans="1:2" s="30" customFormat="1" x14ac:dyDescent="0.25">
      <c r="A88" s="83"/>
      <c r="B88" s="83"/>
    </row>
    <row r="89" spans="1:2" s="30" customFormat="1" x14ac:dyDescent="0.25">
      <c r="A89" s="83"/>
      <c r="B89" s="83"/>
    </row>
    <row r="90" spans="1:2" s="30" customFormat="1" x14ac:dyDescent="0.25">
      <c r="A90" s="83"/>
      <c r="B90" s="83"/>
    </row>
    <row r="91" spans="1:2" s="30" customFormat="1" x14ac:dyDescent="0.25">
      <c r="A91" s="83"/>
      <c r="B91" s="83"/>
    </row>
    <row r="92" spans="1:2" s="30" customFormat="1" x14ac:dyDescent="0.25">
      <c r="A92" s="83"/>
      <c r="B92" s="83"/>
    </row>
    <row r="93" spans="1:2" s="30" customFormat="1" x14ac:dyDescent="0.25">
      <c r="A93" s="83"/>
      <c r="B93" s="83"/>
    </row>
    <row r="94" spans="1:2" s="30" customFormat="1" x14ac:dyDescent="0.25">
      <c r="A94" s="83"/>
      <c r="B94" s="83"/>
    </row>
    <row r="95" spans="1:2" s="30" customFormat="1" x14ac:dyDescent="0.25">
      <c r="A95" s="83"/>
      <c r="B95" s="83"/>
    </row>
    <row r="96" spans="1:2" s="30" customFormat="1" x14ac:dyDescent="0.25">
      <c r="A96" s="83"/>
      <c r="B96" s="83"/>
    </row>
    <row r="97" spans="1:2" s="30" customFormat="1" x14ac:dyDescent="0.25">
      <c r="A97" s="83"/>
      <c r="B97" s="83"/>
    </row>
    <row r="98" spans="1:2" s="30" customFormat="1" x14ac:dyDescent="0.25">
      <c r="A98" s="83"/>
      <c r="B98" s="83"/>
    </row>
    <row r="99" spans="1:2" s="30" customFormat="1" x14ac:dyDescent="0.25">
      <c r="A99" s="83"/>
      <c r="B99" s="83"/>
    </row>
    <row r="100" spans="1:2" s="30" customFormat="1" x14ac:dyDescent="0.25">
      <c r="A100" s="83"/>
      <c r="B100" s="83"/>
    </row>
    <row r="101" spans="1:2" s="30" customFormat="1" x14ac:dyDescent="0.25">
      <c r="A101" s="83"/>
      <c r="B101" s="83"/>
    </row>
    <row r="102" spans="1:2" s="30" customFormat="1" x14ac:dyDescent="0.25">
      <c r="A102" s="83"/>
      <c r="B102" s="83"/>
    </row>
    <row r="103" spans="1:2" s="30" customFormat="1" x14ac:dyDescent="0.25">
      <c r="A103" s="83"/>
      <c r="B103" s="83"/>
    </row>
    <row r="104" spans="1:2" s="30" customFormat="1" x14ac:dyDescent="0.25">
      <c r="A104" s="83"/>
      <c r="B104" s="83"/>
    </row>
    <row r="105" spans="1:2" s="30" customFormat="1" x14ac:dyDescent="0.25">
      <c r="A105" s="83"/>
      <c r="B105" s="83"/>
    </row>
    <row r="106" spans="1:2" s="30" customFormat="1" x14ac:dyDescent="0.25">
      <c r="A106" s="83"/>
      <c r="B106" s="83"/>
    </row>
    <row r="107" spans="1:2" s="30" customFormat="1" x14ac:dyDescent="0.25">
      <c r="A107" s="83"/>
      <c r="B107" s="83"/>
    </row>
    <row r="108" spans="1:2" s="30" customFormat="1" x14ac:dyDescent="0.25">
      <c r="A108" s="83"/>
      <c r="B108" s="83"/>
    </row>
    <row r="109" spans="1:2" s="30" customFormat="1" x14ac:dyDescent="0.25">
      <c r="A109" s="83"/>
      <c r="B109" s="83"/>
    </row>
    <row r="110" spans="1:2" s="30" customFormat="1" x14ac:dyDescent="0.25">
      <c r="A110" s="83"/>
      <c r="B110" s="83"/>
    </row>
    <row r="111" spans="1:2" s="30" customFormat="1" x14ac:dyDescent="0.25">
      <c r="A111" s="83"/>
      <c r="B111" s="83"/>
    </row>
    <row r="112" spans="1:2" s="30" customFormat="1" x14ac:dyDescent="0.25">
      <c r="A112" s="83"/>
      <c r="B112" s="83"/>
    </row>
    <row r="113" spans="1:2" s="30" customFormat="1" x14ac:dyDescent="0.25">
      <c r="A113" s="83"/>
      <c r="B113" s="83"/>
    </row>
    <row r="114" spans="1:2" s="30" customFormat="1" x14ac:dyDescent="0.25">
      <c r="A114" s="83"/>
      <c r="B114" s="83"/>
    </row>
    <row r="115" spans="1:2" s="30" customFormat="1" x14ac:dyDescent="0.25">
      <c r="A115" s="83"/>
      <c r="B115" s="83"/>
    </row>
    <row r="116" spans="1:2" s="30" customFormat="1" x14ac:dyDescent="0.25">
      <c r="A116" s="83"/>
      <c r="B116" s="83"/>
    </row>
    <row r="117" spans="1:2" s="30" customFormat="1" x14ac:dyDescent="0.25">
      <c r="A117" s="83"/>
      <c r="B117" s="83"/>
    </row>
    <row r="118" spans="1:2" s="30" customFormat="1" x14ac:dyDescent="0.25">
      <c r="A118" s="83"/>
      <c r="B118" s="83"/>
    </row>
    <row r="119" spans="1:2" s="30" customFormat="1" x14ac:dyDescent="0.25">
      <c r="A119" s="83"/>
      <c r="B119" s="83"/>
    </row>
    <row r="120" spans="1:2" s="30" customFormat="1" x14ac:dyDescent="0.25">
      <c r="A120" s="83"/>
      <c r="B120" s="83"/>
    </row>
    <row r="121" spans="1:2" s="30" customFormat="1" x14ac:dyDescent="0.25">
      <c r="A121" s="83"/>
      <c r="B121" s="83"/>
    </row>
    <row r="122" spans="1:2" s="30" customFormat="1" x14ac:dyDescent="0.25">
      <c r="A122" s="83"/>
      <c r="B122" s="83"/>
    </row>
    <row r="123" spans="1:2" s="30" customFormat="1" x14ac:dyDescent="0.25">
      <c r="A123" s="83"/>
      <c r="B123" s="83"/>
    </row>
    <row r="124" spans="1:2" s="30" customFormat="1" x14ac:dyDescent="0.25">
      <c r="A124" s="83"/>
      <c r="B124" s="83"/>
    </row>
    <row r="125" spans="1:2" s="30" customFormat="1" x14ac:dyDescent="0.25">
      <c r="A125" s="83"/>
      <c r="B125" s="83"/>
    </row>
    <row r="126" spans="1:2" s="30" customFormat="1" x14ac:dyDescent="0.25">
      <c r="A126" s="83"/>
      <c r="B126" s="83"/>
    </row>
    <row r="127" spans="1:2" s="30" customFormat="1" x14ac:dyDescent="0.25">
      <c r="A127" s="83"/>
      <c r="B127" s="83"/>
    </row>
    <row r="128" spans="1:2" s="30" customFormat="1" x14ac:dyDescent="0.25">
      <c r="A128" s="83"/>
      <c r="B128" s="83"/>
    </row>
    <row r="129" spans="1:2" s="30" customFormat="1" x14ac:dyDescent="0.25">
      <c r="A129" s="83"/>
      <c r="B129" s="83"/>
    </row>
    <row r="130" spans="1:2" s="30" customFormat="1" x14ac:dyDescent="0.25">
      <c r="A130" s="83"/>
      <c r="B130" s="83"/>
    </row>
    <row r="131" spans="1:2" s="30" customFormat="1" x14ac:dyDescent="0.25">
      <c r="A131" s="83"/>
      <c r="B131" s="83"/>
    </row>
    <row r="132" spans="1:2" s="30" customFormat="1" x14ac:dyDescent="0.25">
      <c r="A132" s="83"/>
      <c r="B132" s="83"/>
    </row>
    <row r="133" spans="1:2" s="30" customFormat="1" x14ac:dyDescent="0.25">
      <c r="A133" s="83"/>
      <c r="B133" s="83"/>
    </row>
    <row r="134" spans="1:2" s="30" customFormat="1" x14ac:dyDescent="0.25">
      <c r="A134" s="83"/>
      <c r="B134" s="83"/>
    </row>
    <row r="135" spans="1:2" s="30" customFormat="1" x14ac:dyDescent="0.25">
      <c r="A135" s="83"/>
      <c r="B135" s="83"/>
    </row>
    <row r="136" spans="1:2" s="30" customFormat="1" x14ac:dyDescent="0.25">
      <c r="A136" s="83"/>
      <c r="B136" s="83"/>
    </row>
    <row r="137" spans="1:2" s="30" customFormat="1" x14ac:dyDescent="0.25">
      <c r="A137" s="83"/>
      <c r="B137" s="83"/>
    </row>
    <row r="138" spans="1:2" s="30" customFormat="1" x14ac:dyDescent="0.25">
      <c r="A138" s="83"/>
      <c r="B138" s="83"/>
    </row>
    <row r="139" spans="1:2" s="30" customFormat="1" x14ac:dyDescent="0.25">
      <c r="A139" s="83"/>
      <c r="B139" s="83"/>
    </row>
    <row r="140" spans="1:2" s="30" customFormat="1" x14ac:dyDescent="0.25">
      <c r="A140" s="83"/>
      <c r="B140" s="83"/>
    </row>
    <row r="141" spans="1:2" s="30" customFormat="1" x14ac:dyDescent="0.25">
      <c r="A141" s="83"/>
      <c r="B141" s="83"/>
    </row>
    <row r="142" spans="1:2" s="30" customFormat="1" x14ac:dyDescent="0.25">
      <c r="A142" s="83"/>
      <c r="B142" s="83"/>
    </row>
    <row r="143" spans="1:2" s="30" customFormat="1" x14ac:dyDescent="0.25">
      <c r="A143" s="83"/>
      <c r="B143" s="83"/>
    </row>
    <row r="144" spans="1:2" s="30" customFormat="1" x14ac:dyDescent="0.25">
      <c r="A144" s="83"/>
      <c r="B144" s="83"/>
    </row>
    <row r="145" spans="1:2" s="30" customFormat="1" x14ac:dyDescent="0.25">
      <c r="A145" s="83"/>
      <c r="B145" s="83"/>
    </row>
    <row r="146" spans="1:2" s="30" customFormat="1" x14ac:dyDescent="0.25">
      <c r="A146" s="83"/>
      <c r="B146" s="83"/>
    </row>
    <row r="147" spans="1:2" s="30" customFormat="1" x14ac:dyDescent="0.25">
      <c r="A147" s="83"/>
      <c r="B147" s="83"/>
    </row>
    <row r="148" spans="1:2" s="30" customFormat="1" x14ac:dyDescent="0.25">
      <c r="A148" s="83"/>
      <c r="B148" s="83"/>
    </row>
    <row r="149" spans="1:2" s="30" customFormat="1" x14ac:dyDescent="0.25">
      <c r="A149" s="83"/>
      <c r="B149" s="83"/>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37"/>
  <sheetViews>
    <sheetView view="pageBreakPreview" zoomScale="70" zoomScaleNormal="100" zoomScaleSheetLayoutView="70" workbookViewId="0">
      <selection activeCell="F10" sqref="F10"/>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106</v>
      </c>
      <c r="C1" s="38">
        <v>1</v>
      </c>
      <c r="J1" s="19"/>
      <c r="O1" s="20" t="s">
        <v>27</v>
      </c>
      <c r="P1" s="30">
        <v>10</v>
      </c>
      <c r="Q1" s="30">
        <v>20</v>
      </c>
      <c r="S1" s="30" t="s">
        <v>51</v>
      </c>
      <c r="X1" s="30" t="s">
        <v>54</v>
      </c>
      <c r="AA1"/>
      <c r="AB1"/>
      <c r="AC1"/>
      <c r="AD1"/>
      <c r="AE1"/>
      <c r="AG1" s="30" t="s">
        <v>36</v>
      </c>
    </row>
    <row r="2" spans="1:56" ht="18.75" x14ac:dyDescent="0.3">
      <c r="A2" s="1" t="str">
        <f>A1</f>
        <v>bCad-teh</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3" x14ac:dyDescent="0.25">
      <c r="A17" s="30" t="s">
        <v>32</v>
      </c>
      <c r="B17" s="13"/>
      <c r="C17" s="42"/>
      <c r="D17" s="42"/>
      <c r="E17" s="33"/>
      <c r="F17" s="33"/>
      <c r="G17" s="42"/>
      <c r="H17" s="42"/>
      <c r="I17" s="25"/>
      <c r="J17" s="37"/>
      <c r="K17" s="13"/>
      <c r="L17" s="13"/>
      <c r="M17" s="36"/>
      <c r="O17" s="24"/>
      <c r="V17" s="17"/>
      <c r="W17" s="17"/>
    </row>
    <row r="18" spans="1:23" x14ac:dyDescent="0.25">
      <c r="A18" s="13" t="s">
        <v>33</v>
      </c>
    </row>
    <row r="19" spans="1:23" x14ac:dyDescent="0.25">
      <c r="A19" s="13" t="s">
        <v>16</v>
      </c>
    </row>
    <row r="20" spans="1:23" x14ac:dyDescent="0.25">
      <c r="A20" s="13" t="s">
        <v>28</v>
      </c>
    </row>
    <row r="21" spans="1:23" x14ac:dyDescent="0.25">
      <c r="A21" s="13"/>
    </row>
    <row r="22" spans="1:23" ht="18.75" x14ac:dyDescent="0.3">
      <c r="A22" s="1" t="str">
        <f>CONCATENATE(A2, ". Соответствие кромки и ДСП")</f>
        <v>bCad-teh. Соответствие кромки и ДСП</v>
      </c>
      <c r="N22" s="30" t="s">
        <v>35</v>
      </c>
    </row>
    <row r="23" spans="1:23" x14ac:dyDescent="0.25">
      <c r="A23" s="3" t="s">
        <v>6</v>
      </c>
      <c r="B23" s="4" t="s">
        <v>14</v>
      </c>
      <c r="C23" s="40"/>
      <c r="D23" s="60"/>
      <c r="E23" s="61"/>
      <c r="F23" s="5"/>
      <c r="G23" s="44"/>
      <c r="H23" s="57" t="s">
        <v>31</v>
      </c>
      <c r="I23" s="58" t="s">
        <v>30</v>
      </c>
      <c r="J23" s="3" t="s">
        <v>13</v>
      </c>
      <c r="K23" s="3" t="s">
        <v>52</v>
      </c>
      <c r="L23" s="55"/>
      <c r="M23" s="56"/>
    </row>
    <row r="24" spans="1:23" x14ac:dyDescent="0.25">
      <c r="A24" s="3"/>
      <c r="B24" s="4"/>
      <c r="C24" s="46"/>
      <c r="D24" s="62"/>
      <c r="E24" s="63"/>
      <c r="F24" s="5"/>
      <c r="G24" s="43"/>
      <c r="H24" s="59"/>
      <c r="I24" s="18"/>
      <c r="J24" s="3"/>
      <c r="K24" s="3"/>
      <c r="L24" s="55"/>
      <c r="M24" s="56"/>
    </row>
    <row r="25" spans="1:23" x14ac:dyDescent="0.25">
      <c r="A25" s="3"/>
      <c r="B25" s="4"/>
      <c r="C25" s="46"/>
      <c r="D25" s="62"/>
      <c r="E25" s="63"/>
      <c r="F25" s="5"/>
      <c r="G25" s="43"/>
      <c r="H25" s="59"/>
      <c r="I25" s="18"/>
      <c r="J25" s="80"/>
      <c r="K25" s="3"/>
      <c r="L25" s="55"/>
      <c r="M25" s="56"/>
    </row>
    <row r="26" spans="1:23" x14ac:dyDescent="0.25">
      <c r="A26" s="3"/>
      <c r="B26" s="4"/>
      <c r="C26" s="46"/>
      <c r="D26" s="62"/>
      <c r="E26" s="63"/>
      <c r="F26" s="5"/>
      <c r="G26" s="43"/>
      <c r="H26" s="59"/>
      <c r="I26" s="18"/>
      <c r="J26" s="3"/>
      <c r="K26" s="3"/>
      <c r="L26" s="55"/>
      <c r="M26" s="56"/>
    </row>
    <row r="27" spans="1:23" x14ac:dyDescent="0.25">
      <c r="A27" s="3"/>
      <c r="B27" s="4"/>
      <c r="C27" s="46"/>
      <c r="D27" s="62"/>
      <c r="E27" s="63"/>
      <c r="F27" s="5"/>
      <c r="G27" s="43"/>
      <c r="H27" s="59"/>
      <c r="I27" s="18"/>
      <c r="J27" s="80"/>
      <c r="K27" s="3"/>
      <c r="L27" s="55"/>
      <c r="M27" s="56"/>
    </row>
    <row r="28" spans="1:23" x14ac:dyDescent="0.25">
      <c r="A28" s="3"/>
      <c r="B28" s="4"/>
      <c r="C28" s="46"/>
      <c r="D28" s="62"/>
      <c r="E28" s="63"/>
      <c r="F28" s="5"/>
      <c r="G28" s="43"/>
      <c r="H28" s="59"/>
      <c r="I28" s="18"/>
      <c r="J28" s="80"/>
      <c r="K28" s="3"/>
      <c r="L28" s="55"/>
      <c r="M28" s="56"/>
    </row>
    <row r="29" spans="1:23" x14ac:dyDescent="0.25">
      <c r="A29" s="3"/>
      <c r="B29" s="4"/>
      <c r="C29" s="46"/>
      <c r="D29" s="62"/>
      <c r="E29" s="63"/>
      <c r="F29" s="5"/>
      <c r="G29" s="43"/>
      <c r="H29" s="59"/>
      <c r="I29" s="18"/>
      <c r="J29" s="3"/>
      <c r="K29" s="3"/>
      <c r="L29" s="55"/>
      <c r="M29" s="56"/>
    </row>
    <row r="30" spans="1:23" x14ac:dyDescent="0.25">
      <c r="A30" s="3"/>
      <c r="B30" s="81"/>
      <c r="C30" s="46"/>
      <c r="D30" s="62"/>
      <c r="E30" s="63"/>
      <c r="F30" s="5"/>
      <c r="G30" s="43"/>
      <c r="H30" s="59"/>
      <c r="I30" s="18"/>
      <c r="J30" s="80"/>
      <c r="K30" s="3"/>
      <c r="L30" s="55"/>
      <c r="M30" s="56"/>
    </row>
    <row r="31" spans="1:23" x14ac:dyDescent="0.25">
      <c r="A31" s="3"/>
      <c r="B31" s="81"/>
      <c r="C31" s="46"/>
      <c r="D31" s="62"/>
      <c r="E31" s="63"/>
      <c r="F31" s="5"/>
      <c r="G31" s="43"/>
      <c r="H31" s="59"/>
      <c r="I31" s="18"/>
      <c r="J31" s="80"/>
      <c r="K31" s="3"/>
      <c r="L31" s="55"/>
      <c r="M31" s="56"/>
    </row>
    <row r="32" spans="1:23" x14ac:dyDescent="0.25">
      <c r="A32" s="3"/>
      <c r="B32" s="81"/>
      <c r="C32" s="46"/>
      <c r="D32" s="62"/>
      <c r="E32" s="63"/>
      <c r="F32" s="5"/>
      <c r="G32" s="43"/>
      <c r="H32" s="59"/>
      <c r="I32" s="18"/>
      <c r="J32" s="80"/>
      <c r="K32" s="3"/>
      <c r="L32" s="55"/>
      <c r="M32" s="56"/>
    </row>
    <row r="33" spans="1:29" x14ac:dyDescent="0.25">
      <c r="A33" s="3"/>
      <c r="B33" s="81"/>
      <c r="C33" s="46"/>
      <c r="D33" s="62"/>
      <c r="E33" s="63"/>
      <c r="F33" s="5"/>
      <c r="G33" s="43"/>
      <c r="H33" s="59"/>
      <c r="I33" s="18"/>
      <c r="J33" s="3"/>
      <c r="K33" s="3"/>
      <c r="L33" s="55"/>
      <c r="M33" s="56"/>
    </row>
    <row r="34" spans="1:29" x14ac:dyDescent="0.25">
      <c r="A34" s="3"/>
      <c r="B34" s="81"/>
      <c r="C34" s="46"/>
      <c r="D34" s="62"/>
      <c r="E34" s="63"/>
      <c r="F34" s="5"/>
      <c r="G34" s="43"/>
      <c r="H34" s="59"/>
      <c r="I34" s="18"/>
      <c r="J34" s="80"/>
      <c r="K34" s="3"/>
      <c r="L34" s="55"/>
      <c r="M34" s="56"/>
    </row>
    <row r="35" spans="1:29" x14ac:dyDescent="0.25">
      <c r="A35" s="3"/>
      <c r="B35" s="4"/>
      <c r="C35" s="46"/>
      <c r="D35" s="62"/>
      <c r="E35" s="63"/>
      <c r="F35" s="5"/>
      <c r="G35" s="43"/>
      <c r="H35" s="59"/>
      <c r="I35" s="18"/>
      <c r="J35" s="18"/>
      <c r="K35" s="3"/>
      <c r="L35" s="55"/>
      <c r="M35" s="56"/>
    </row>
    <row r="36" spans="1:29" ht="18.75" x14ac:dyDescent="0.3">
      <c r="A36" s="1" t="str">
        <f>CONCATENATE(A2, ". Стекло")</f>
        <v>bCad-teh. Стекло</v>
      </c>
    </row>
    <row r="37" spans="1:29" x14ac:dyDescent="0.25">
      <c r="A37" s="3" t="s">
        <v>6</v>
      </c>
      <c r="B37" s="4" t="s">
        <v>5</v>
      </c>
      <c r="C37" s="39" t="s">
        <v>9</v>
      </c>
      <c r="D37" s="40" t="s">
        <v>11</v>
      </c>
      <c r="E37" s="6" t="s">
        <v>1</v>
      </c>
      <c r="F37" s="7" t="s">
        <v>0</v>
      </c>
      <c r="G37" s="40" t="s">
        <v>10</v>
      </c>
      <c r="H37" s="44" t="s">
        <v>12</v>
      </c>
      <c r="I37" s="8" t="s">
        <v>2</v>
      </c>
      <c r="J37" s="3" t="s">
        <v>3</v>
      </c>
      <c r="K37" s="4"/>
      <c r="L37" s="4"/>
      <c r="M37" s="3" t="s">
        <v>4</v>
      </c>
    </row>
    <row r="38" spans="1:29" x14ac:dyDescent="0.25">
      <c r="A38" s="9"/>
      <c r="B38" s="32"/>
      <c r="C38" s="41"/>
      <c r="D38" s="41"/>
      <c r="E38" s="14"/>
      <c r="F38" s="14"/>
      <c r="G38" s="41"/>
      <c r="H38" s="41"/>
      <c r="I38" s="10"/>
      <c r="J38" s="11"/>
      <c r="K38" s="32"/>
      <c r="L38" s="32"/>
      <c r="M38" s="28"/>
      <c r="O38" s="22"/>
      <c r="P38" s="18"/>
      <c r="Q38" s="18"/>
      <c r="R38" s="18"/>
      <c r="S38" s="18"/>
      <c r="T38" s="3"/>
      <c r="U38" s="3"/>
      <c r="V38" s="23"/>
      <c r="W38" s="23"/>
      <c r="X38" s="18"/>
      <c r="Y38" s="18"/>
      <c r="Z38" s="18"/>
      <c r="AA38" s="18"/>
      <c r="AB38" s="18"/>
      <c r="AC38" s="18"/>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32"/>
      <c r="L42" s="32"/>
      <c r="M42" s="28"/>
      <c r="O42" s="22"/>
      <c r="P42" s="18"/>
      <c r="Q42" s="18"/>
      <c r="R42" s="18"/>
      <c r="S42" s="18"/>
      <c r="T42" s="3"/>
      <c r="U42" s="3"/>
      <c r="V42" s="23"/>
      <c r="W42" s="23"/>
      <c r="X42" s="18"/>
      <c r="Y42" s="18"/>
      <c r="Z42" s="18"/>
      <c r="AA42" s="18"/>
      <c r="AB42" s="18"/>
      <c r="AC42" s="18"/>
    </row>
    <row r="43" spans="1:29" x14ac:dyDescent="0.25">
      <c r="A43" s="13"/>
      <c r="B43" s="9"/>
      <c r="C43" s="41"/>
      <c r="D43" s="41"/>
      <c r="E43" s="14"/>
      <c r="F43" s="14"/>
      <c r="G43" s="41"/>
      <c r="H43" s="45" t="s">
        <v>15</v>
      </c>
      <c r="I43" s="25">
        <f>SUM(I38:I42)</f>
        <v>0</v>
      </c>
      <c r="J43" s="11"/>
      <c r="K43" s="9"/>
      <c r="L43" s="9"/>
      <c r="M43" s="12"/>
      <c r="O43" s="24"/>
      <c r="V43" s="17"/>
      <c r="W43" s="17"/>
    </row>
    <row r="44" spans="1:29" x14ac:dyDescent="0.25">
      <c r="A44" s="16" t="s">
        <v>8</v>
      </c>
      <c r="B44" s="9"/>
      <c r="C44" s="41"/>
      <c r="D44" s="41"/>
      <c r="E44" s="14"/>
      <c r="F44" s="14"/>
      <c r="G44" s="41"/>
      <c r="H44" s="41"/>
      <c r="I44" s="10"/>
      <c r="J44" s="15"/>
      <c r="K44" s="9"/>
      <c r="L44" s="9"/>
      <c r="M44" s="12"/>
    </row>
    <row r="45" spans="1:29" x14ac:dyDescent="0.25">
      <c r="A45" s="13" t="s">
        <v>40</v>
      </c>
      <c r="B45" s="9"/>
      <c r="C45" s="41"/>
      <c r="D45" s="41"/>
      <c r="E45" s="14"/>
      <c r="F45" s="14"/>
      <c r="G45" s="41"/>
      <c r="H45" s="41"/>
      <c r="I45" s="10"/>
      <c r="J45" s="15"/>
      <c r="K45" s="9"/>
      <c r="L45" s="9"/>
      <c r="M45" s="12"/>
    </row>
    <row r="47" spans="1:29" ht="18.75" x14ac:dyDescent="0.3">
      <c r="A47" s="1" t="str">
        <f>CONCATENATE(A2, ". Пластик")</f>
        <v>bCad-teh. Пластик</v>
      </c>
    </row>
    <row r="48" spans="1:29" x14ac:dyDescent="0.25">
      <c r="A48" s="3" t="s">
        <v>6</v>
      </c>
      <c r="B48" s="4" t="s">
        <v>5</v>
      </c>
      <c r="C48" s="39" t="s">
        <v>9</v>
      </c>
      <c r="D48" s="40" t="s">
        <v>11</v>
      </c>
      <c r="E48" s="6" t="s">
        <v>1</v>
      </c>
      <c r="F48" s="7" t="s">
        <v>0</v>
      </c>
      <c r="G48" s="40" t="s">
        <v>10</v>
      </c>
      <c r="H48" s="44" t="s">
        <v>12</v>
      </c>
      <c r="I48" s="8" t="s">
        <v>2</v>
      </c>
      <c r="J48" s="3" t="s">
        <v>3</v>
      </c>
      <c r="K48" s="4"/>
      <c r="L48" s="4"/>
      <c r="M48" s="3" t="s">
        <v>4</v>
      </c>
    </row>
    <row r="49" spans="1:29" x14ac:dyDescent="0.25">
      <c r="A49" s="9"/>
      <c r="B49" s="32"/>
      <c r="C49" s="41"/>
      <c r="D49" s="41"/>
      <c r="E49" s="14"/>
      <c r="F49" s="14"/>
      <c r="G49" s="41"/>
      <c r="H49" s="41"/>
      <c r="I49" s="10"/>
      <c r="J49" s="11"/>
      <c r="K49" s="32"/>
      <c r="L49" s="32"/>
      <c r="M49" s="28"/>
      <c r="O49" s="22"/>
      <c r="P49" s="18"/>
      <c r="Q49" s="18"/>
      <c r="R49" s="18"/>
      <c r="S49" s="18"/>
      <c r="T49" s="3"/>
      <c r="U49" s="3"/>
      <c r="V49" s="23"/>
      <c r="W49" s="23"/>
      <c r="X49" s="18"/>
      <c r="Y49" s="18"/>
      <c r="Z49" s="18"/>
      <c r="AA49" s="18"/>
      <c r="AB49" s="18"/>
      <c r="AC49" s="18"/>
    </row>
    <row r="50" spans="1:29" x14ac:dyDescent="0.25">
      <c r="A50" s="9"/>
      <c r="B50" s="32"/>
      <c r="C50" s="41"/>
      <c r="D50" s="41"/>
      <c r="E50" s="14"/>
      <c r="F50" s="14"/>
      <c r="G50" s="41"/>
      <c r="H50" s="41"/>
      <c r="I50" s="10"/>
      <c r="J50" s="11"/>
      <c r="K50" s="32"/>
      <c r="L50" s="32"/>
      <c r="M50" s="28"/>
      <c r="O50" s="22"/>
      <c r="P50" s="18"/>
      <c r="Q50" s="18"/>
      <c r="R50" s="18"/>
      <c r="S50" s="18"/>
      <c r="T50" s="3"/>
      <c r="U50" s="3"/>
      <c r="V50" s="23"/>
      <c r="W50" s="23"/>
      <c r="X50" s="18"/>
      <c r="Y50" s="18"/>
      <c r="Z50" s="18"/>
      <c r="AA50" s="18"/>
      <c r="AB50" s="18"/>
      <c r="AC50" s="18"/>
    </row>
    <row r="51" spans="1:29" x14ac:dyDescent="0.25">
      <c r="A51" s="9"/>
      <c r="B51" s="32"/>
      <c r="C51" s="41"/>
      <c r="D51" s="41"/>
      <c r="E51" s="14"/>
      <c r="F51" s="14"/>
      <c r="G51" s="41"/>
      <c r="H51" s="41"/>
      <c r="I51" s="10"/>
      <c r="J51" s="11"/>
      <c r="K51" s="15"/>
      <c r="L51" s="15"/>
      <c r="M51" s="11"/>
      <c r="O51" s="22"/>
      <c r="P51" s="18"/>
      <c r="Q51" s="18"/>
      <c r="R51" s="18"/>
      <c r="S51" s="18"/>
      <c r="T51" s="3"/>
      <c r="U51" s="3"/>
      <c r="V51" s="23"/>
      <c r="W51" s="23"/>
      <c r="X51" s="18"/>
      <c r="Y51" s="18"/>
      <c r="Z51" s="18"/>
      <c r="AA51" s="18"/>
      <c r="AB51" s="18"/>
      <c r="AC51" s="18"/>
    </row>
    <row r="52" spans="1:29" x14ac:dyDescent="0.25">
      <c r="A52" s="9"/>
      <c r="B52" s="32"/>
      <c r="C52" s="41"/>
      <c r="D52" s="41"/>
      <c r="E52" s="14"/>
      <c r="F52" s="14"/>
      <c r="G52" s="41"/>
      <c r="H52" s="41"/>
      <c r="I52" s="10"/>
      <c r="J52" s="11"/>
      <c r="K52" s="15"/>
      <c r="L52" s="15"/>
      <c r="M52" s="11"/>
      <c r="O52" s="22"/>
      <c r="P52" s="18"/>
      <c r="Q52" s="18"/>
      <c r="R52" s="18"/>
      <c r="S52" s="18"/>
      <c r="T52" s="3"/>
      <c r="U52" s="3"/>
      <c r="V52" s="23"/>
      <c r="W52" s="23"/>
      <c r="X52" s="18"/>
      <c r="Y52" s="18"/>
      <c r="Z52" s="18"/>
      <c r="AA52" s="18"/>
      <c r="AB52" s="18"/>
      <c r="AC52" s="18"/>
    </row>
    <row r="53" spans="1:29" x14ac:dyDescent="0.25">
      <c r="A53" s="9"/>
      <c r="B53" s="32"/>
      <c r="C53" s="41"/>
      <c r="D53" s="41"/>
      <c r="E53" s="14"/>
      <c r="F53" s="14"/>
      <c r="G53" s="41"/>
      <c r="H53" s="41"/>
      <c r="I53" s="10"/>
      <c r="J53" s="11"/>
      <c r="K53" s="15"/>
      <c r="L53" s="15"/>
      <c r="M53" s="11"/>
      <c r="O53" s="22"/>
      <c r="P53" s="18"/>
      <c r="Q53" s="18"/>
      <c r="R53" s="18"/>
      <c r="S53" s="18"/>
      <c r="T53" s="3"/>
      <c r="U53" s="3"/>
      <c r="V53" s="23"/>
      <c r="W53" s="23"/>
      <c r="X53" s="18"/>
      <c r="Y53" s="18"/>
      <c r="Z53" s="18"/>
      <c r="AA53" s="18"/>
      <c r="AB53" s="18"/>
      <c r="AC53" s="18"/>
    </row>
    <row r="54" spans="1:29" x14ac:dyDescent="0.25">
      <c r="A54" s="9"/>
      <c r="B54" s="32"/>
      <c r="C54" s="41"/>
      <c r="D54" s="41"/>
      <c r="E54" s="14"/>
      <c r="F54" s="14"/>
      <c r="G54" s="41"/>
      <c r="H54" s="41"/>
      <c r="I54" s="10"/>
      <c r="J54" s="11"/>
      <c r="K54" s="15"/>
      <c r="L54" s="15"/>
      <c r="M54" s="11"/>
      <c r="O54" s="22"/>
      <c r="P54" s="18"/>
      <c r="Q54" s="18"/>
      <c r="R54" s="18"/>
      <c r="S54" s="18"/>
      <c r="T54" s="3"/>
      <c r="U54" s="3"/>
      <c r="V54" s="23"/>
      <c r="W54" s="23"/>
      <c r="X54" s="18"/>
      <c r="Y54" s="18"/>
      <c r="Z54" s="18"/>
      <c r="AA54" s="18"/>
      <c r="AB54" s="18"/>
      <c r="AC54" s="18"/>
    </row>
    <row r="55" spans="1:29" x14ac:dyDescent="0.25">
      <c r="A55" s="9"/>
      <c r="B55" s="32"/>
      <c r="C55" s="41"/>
      <c r="D55" s="41"/>
      <c r="E55" s="14"/>
      <c r="F55" s="14"/>
      <c r="G55" s="41"/>
      <c r="H55" s="41"/>
      <c r="I55" s="10"/>
      <c r="J55" s="11"/>
      <c r="K55" s="15"/>
      <c r="L55" s="15"/>
      <c r="M55" s="11"/>
      <c r="O55" s="22"/>
      <c r="P55" s="18"/>
      <c r="Q55" s="18"/>
      <c r="R55" s="18"/>
      <c r="S55" s="18"/>
      <c r="T55" s="3"/>
      <c r="U55" s="3"/>
      <c r="V55" s="23"/>
      <c r="W55" s="23"/>
      <c r="X55" s="18"/>
      <c r="Y55" s="18"/>
      <c r="Z55" s="18"/>
      <c r="AA55" s="18"/>
      <c r="AB55" s="18"/>
      <c r="AC55" s="18"/>
    </row>
    <row r="56" spans="1:29" x14ac:dyDescent="0.25">
      <c r="A56" s="9"/>
      <c r="B56" s="32"/>
      <c r="C56" s="41"/>
      <c r="D56" s="41"/>
      <c r="E56" s="14"/>
      <c r="F56" s="14"/>
      <c r="G56" s="41"/>
      <c r="H56" s="41"/>
      <c r="I56" s="10"/>
      <c r="J56" s="11"/>
      <c r="K56" s="15"/>
      <c r="L56" s="15"/>
      <c r="M56" s="11"/>
      <c r="O56" s="22"/>
      <c r="P56" s="18"/>
      <c r="Q56" s="18"/>
      <c r="R56" s="18"/>
      <c r="S56" s="18"/>
      <c r="T56" s="3"/>
      <c r="U56" s="3"/>
      <c r="V56" s="23"/>
      <c r="W56" s="23"/>
      <c r="X56" s="18"/>
      <c r="Y56" s="18"/>
      <c r="Z56" s="18"/>
      <c r="AA56" s="18"/>
      <c r="AB56" s="18"/>
      <c r="AC56" s="18"/>
    </row>
    <row r="57" spans="1:29" x14ac:dyDescent="0.25">
      <c r="A57" s="9"/>
      <c r="B57" s="32"/>
      <c r="C57" s="41"/>
      <c r="D57" s="41"/>
      <c r="E57" s="14"/>
      <c r="F57" s="14"/>
      <c r="G57" s="41"/>
      <c r="H57" s="41"/>
      <c r="I57" s="10"/>
      <c r="J57" s="11"/>
      <c r="K57" s="15"/>
      <c r="L57" s="15"/>
      <c r="M57" s="11"/>
      <c r="O57" s="22"/>
      <c r="P57" s="18"/>
      <c r="Q57" s="18"/>
      <c r="R57" s="18"/>
      <c r="S57" s="18"/>
      <c r="T57" s="3"/>
      <c r="U57" s="3"/>
      <c r="V57" s="23"/>
      <c r="W57" s="23"/>
      <c r="X57" s="18"/>
      <c r="Y57" s="18"/>
      <c r="Z57" s="18"/>
      <c r="AA57" s="18"/>
      <c r="AB57" s="18"/>
      <c r="AC57" s="18"/>
    </row>
    <row r="58" spans="1:29" x14ac:dyDescent="0.25">
      <c r="A58" s="9"/>
      <c r="B58" s="32"/>
      <c r="C58" s="41"/>
      <c r="D58" s="41"/>
      <c r="E58" s="14"/>
      <c r="F58" s="14"/>
      <c r="G58" s="41"/>
      <c r="H58" s="41"/>
      <c r="I58" s="10"/>
      <c r="J58" s="11"/>
      <c r="K58" s="15"/>
      <c r="L58" s="15"/>
      <c r="M58" s="11"/>
      <c r="O58" s="22"/>
      <c r="P58" s="18"/>
      <c r="Q58" s="18"/>
      <c r="R58" s="18"/>
      <c r="S58" s="18"/>
      <c r="T58" s="3"/>
      <c r="U58" s="3"/>
      <c r="V58" s="23"/>
      <c r="W58" s="23"/>
      <c r="X58" s="18"/>
      <c r="Y58" s="18"/>
      <c r="Z58" s="18"/>
      <c r="AA58" s="18"/>
      <c r="AB58" s="18"/>
      <c r="AC58" s="18"/>
    </row>
    <row r="59" spans="1:29" x14ac:dyDescent="0.25">
      <c r="A59" s="13"/>
      <c r="B59" s="9"/>
      <c r="C59" s="41"/>
      <c r="D59" s="41"/>
      <c r="E59" s="14"/>
      <c r="F59" s="14"/>
      <c r="G59" s="41"/>
      <c r="H59" s="45" t="s">
        <v>15</v>
      </c>
      <c r="I59" s="25">
        <f>SUM(I49:I58)</f>
        <v>0</v>
      </c>
      <c r="J59" s="11"/>
      <c r="K59" s="9"/>
      <c r="L59" s="9"/>
      <c r="M59" s="12"/>
    </row>
    <row r="60" spans="1:29" x14ac:dyDescent="0.25">
      <c r="A60" s="16" t="s">
        <v>8</v>
      </c>
      <c r="B60" s="9"/>
      <c r="C60" s="41"/>
      <c r="D60" s="41"/>
      <c r="E60" s="14"/>
      <c r="F60" s="14"/>
      <c r="G60" s="41"/>
      <c r="H60" s="41"/>
      <c r="I60" s="10"/>
      <c r="J60" s="15"/>
      <c r="K60" s="9"/>
      <c r="L60" s="9"/>
      <c r="M60" s="12"/>
    </row>
    <row r="61" spans="1:29" x14ac:dyDescent="0.25">
      <c r="A61" s="13" t="s">
        <v>40</v>
      </c>
      <c r="B61" s="9"/>
      <c r="C61" s="41"/>
      <c r="D61" s="41"/>
      <c r="E61" s="14"/>
      <c r="F61" s="14"/>
      <c r="G61" s="41"/>
      <c r="H61" s="41"/>
      <c r="I61" s="10"/>
      <c r="J61" s="15"/>
      <c r="K61" s="9"/>
      <c r="L61" s="9"/>
      <c r="M61" s="12"/>
    </row>
    <row r="66" spans="1:81" ht="18.75" x14ac:dyDescent="0.3">
      <c r="A66" s="1" t="s">
        <v>29</v>
      </c>
    </row>
    <row r="67" spans="1:81" x14ac:dyDescent="0.25">
      <c r="A67" s="30" t="s">
        <v>37</v>
      </c>
    </row>
    <row r="68" spans="1:81" x14ac:dyDescent="0.25">
      <c r="M68" s="30"/>
      <c r="T68" s="30"/>
      <c r="U68" s="30"/>
    </row>
    <row r="69" spans="1:81" x14ac:dyDescent="0.25">
      <c r="M69" s="30"/>
      <c r="T69" s="30"/>
      <c r="U69" s="30"/>
    </row>
    <row r="70" spans="1:81" x14ac:dyDescent="0.25">
      <c r="M70" s="30"/>
      <c r="T70" s="30"/>
      <c r="U70" s="3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row r="429" spans="1:8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row>
    <row r="430" spans="1:8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row>
    <row r="431" spans="1:8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row>
    <row r="432" spans="1:8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row>
    <row r="433" spans="1:8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row>
    <row r="434" spans="1:8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row>
    <row r="435" spans="1:8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row>
    <row r="436" spans="1:8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row>
    <row r="437" spans="1:8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row>
  </sheetData>
  <sortState xmlns:xlrd2="http://schemas.microsoft.com/office/spreadsheetml/2017/richdata2" ref="A4:AC13">
    <sortCondition ref="Q4:Q13"/>
    <sortCondition ref="X4:X13"/>
    <sortCondition ref="P4:P13"/>
  </sortState>
  <phoneticPr fontId="10" type="noConversion"/>
  <conditionalFormatting sqref="C58">
    <cfRule type="expression" dxfId="199" priority="20594" stopIfTrue="1">
      <formula>AND(NOT(ISBLANK(C58)),NOT(_xlfn.ISFORMULA(C58)))</formula>
    </cfRule>
  </conditionalFormatting>
  <conditionalFormatting sqref="D58">
    <cfRule type="expression" dxfId="198" priority="20593" stopIfTrue="1">
      <formula>AND(NOT(ISBLANK(D58)),NOT(_xlfn.ISFORMULA(D58)))</formula>
    </cfRule>
  </conditionalFormatting>
  <conditionalFormatting sqref="G58">
    <cfRule type="expression" dxfId="197" priority="20592" stopIfTrue="1">
      <formula>AND(NOT(ISBLANK(G58)),NOT(_xlfn.ISFORMULA(G58)))</formula>
    </cfRule>
  </conditionalFormatting>
  <conditionalFormatting sqref="H58">
    <cfRule type="expression" dxfId="196" priority="20591" stopIfTrue="1">
      <formula>AND(NOT(ISBLANK(H58)),NOT(_xlfn.ISFORMULA(H58)))</formula>
    </cfRule>
  </conditionalFormatting>
  <conditionalFormatting sqref="D49">
    <cfRule type="expression" dxfId="195" priority="20709" stopIfTrue="1">
      <formula>AND(NOT(ISBLANK(D49)),NOT(_xlfn.ISFORMULA(D49)))</formula>
    </cfRule>
  </conditionalFormatting>
  <conditionalFormatting sqref="G49">
    <cfRule type="expression" dxfId="194" priority="20708" stopIfTrue="1">
      <formula>AND(NOT(ISBLANK(G49)),NOT(_xlfn.ISFORMULA(G49)))</formula>
    </cfRule>
  </conditionalFormatting>
  <conditionalFormatting sqref="H49">
    <cfRule type="expression" dxfId="193" priority="20707" stopIfTrue="1">
      <formula>AND(NOT(ISBLANK(H49)),NOT(_xlfn.ISFORMULA(H49)))</formula>
    </cfRule>
  </conditionalFormatting>
  <conditionalFormatting sqref="E38">
    <cfRule type="expression" dxfId="192" priority="20705">
      <formula>AND(AND(NOT(ISBLANK(D38)),NOT(D38=$O$1)),AND(NOT(ISBLANK(C38)),NOT(C38=$O$1)))</formula>
    </cfRule>
    <cfRule type="expression" dxfId="191" priority="20706">
      <formula>OR(AND(NOT(ISBLANK(D38)),NOT(D38=$O$1)),AND(NOT(ISBLANK(C38)),NOT(C38=$O$1)))</formula>
    </cfRule>
  </conditionalFormatting>
  <conditionalFormatting sqref="F38">
    <cfRule type="expression" dxfId="190" priority="20703">
      <formula>AND(AND(NOT(ISBLANK(G38)),NOT(G38=$O$1)),AND(NOT(ISBLANK(H38)),NOT(H38=$O$1)))</formula>
    </cfRule>
    <cfRule type="expression" dxfId="189" priority="20704">
      <formula>OR(AND(NOT(ISBLANK(G38)),NOT(G38=$O$1)),AND(NOT(ISBLANK(H38)),NOT(H38=$O$1)))</formula>
    </cfRule>
  </conditionalFormatting>
  <conditionalFormatting sqref="C38">
    <cfRule type="expression" dxfId="188" priority="20702" stopIfTrue="1">
      <formula>AND(NOT(ISBLANK(C38)),NOT(_xlfn.ISFORMULA(C38)))</formula>
    </cfRule>
  </conditionalFormatting>
  <conditionalFormatting sqref="D38">
    <cfRule type="expression" dxfId="187" priority="20701" stopIfTrue="1">
      <formula>AND(NOT(ISBLANK(D38)),NOT(_xlfn.ISFORMULA(D38)))</formula>
    </cfRule>
  </conditionalFormatting>
  <conditionalFormatting sqref="G38">
    <cfRule type="expression" dxfId="186" priority="20700" stopIfTrue="1">
      <formula>AND(NOT(ISBLANK(G38)),NOT(_xlfn.ISFORMULA(G38)))</formula>
    </cfRule>
  </conditionalFormatting>
  <conditionalFormatting sqref="H38">
    <cfRule type="expression" dxfId="185" priority="20699" stopIfTrue="1">
      <formula>AND(NOT(ISBLANK(H38)),NOT(_xlfn.ISFORMULA(H38)))</formula>
    </cfRule>
  </conditionalFormatting>
  <conditionalFormatting sqref="E49">
    <cfRule type="expression" dxfId="184" priority="20713">
      <formula>AND(AND(NOT(ISBLANK(D49)),NOT(D49=$O$1)),AND(NOT(ISBLANK(C49)),NOT(C49=$O$1)))</formula>
    </cfRule>
    <cfRule type="expression" dxfId="183" priority="20714">
      <formula>OR(AND(NOT(ISBLANK(D49)),NOT(D49=$O$1)),AND(NOT(ISBLANK(C49)),NOT(C49=$O$1)))</formula>
    </cfRule>
  </conditionalFormatting>
  <conditionalFormatting sqref="F49">
    <cfRule type="expression" dxfId="182" priority="20711">
      <formula>AND(AND(NOT(ISBLANK(G49)),NOT(G49=$O$1)),AND(NOT(ISBLANK(H49)),NOT(H49=$O$1)))</formula>
    </cfRule>
    <cfRule type="expression" dxfId="181" priority="20712">
      <formula>OR(AND(NOT(ISBLANK(G49)),NOT(G49=$O$1)),AND(NOT(ISBLANK(H49)),NOT(H49=$O$1)))</formula>
    </cfRule>
  </conditionalFormatting>
  <conditionalFormatting sqref="C49">
    <cfRule type="expression" dxfId="180" priority="20710" stopIfTrue="1">
      <formula>AND(NOT(ISBLANK(C49)),NOT(_xlfn.ISFORMULA(C49)))</formula>
    </cfRule>
  </conditionalFormatting>
  <conditionalFormatting sqref="E50">
    <cfRule type="expression" dxfId="179" priority="20697">
      <formula>AND(AND(NOT(ISBLANK(D50)),NOT(D50=$O$1)),AND(NOT(ISBLANK(C50)),NOT(C50=$O$1)))</formula>
    </cfRule>
    <cfRule type="expression" dxfId="178" priority="20698">
      <formula>OR(AND(NOT(ISBLANK(D50)),NOT(D50=$O$1)),AND(NOT(ISBLANK(C50)),NOT(C50=$O$1)))</formula>
    </cfRule>
  </conditionalFormatting>
  <conditionalFormatting sqref="F50">
    <cfRule type="expression" dxfId="177" priority="20695">
      <formula>AND(AND(NOT(ISBLANK(G50)),NOT(G50=$O$1)),AND(NOT(ISBLANK(H50)),NOT(H50=$O$1)))</formula>
    </cfRule>
    <cfRule type="expression" dxfId="176" priority="20696">
      <formula>OR(AND(NOT(ISBLANK(G50)),NOT(G50=$O$1)),AND(NOT(ISBLANK(H50)),NOT(H50=$O$1)))</formula>
    </cfRule>
  </conditionalFormatting>
  <conditionalFormatting sqref="C50">
    <cfRule type="expression" dxfId="175" priority="20694" stopIfTrue="1">
      <formula>AND(NOT(ISBLANK(C50)),NOT(_xlfn.ISFORMULA(C50)))</formula>
    </cfRule>
  </conditionalFormatting>
  <conditionalFormatting sqref="D50">
    <cfRule type="expression" dxfId="174" priority="20693" stopIfTrue="1">
      <formula>AND(NOT(ISBLANK(D50)),NOT(_xlfn.ISFORMULA(D50)))</formula>
    </cfRule>
  </conditionalFormatting>
  <conditionalFormatting sqref="G50">
    <cfRule type="expression" dxfId="173" priority="20692" stopIfTrue="1">
      <formula>AND(NOT(ISBLANK(G50)),NOT(_xlfn.ISFORMULA(G50)))</formula>
    </cfRule>
  </conditionalFormatting>
  <conditionalFormatting sqref="H50">
    <cfRule type="expression" dxfId="172" priority="20691" stopIfTrue="1">
      <formula>AND(NOT(ISBLANK(H50)),NOT(_xlfn.ISFORMULA(H50)))</formula>
    </cfRule>
  </conditionalFormatting>
  <conditionalFormatting sqref="C51">
    <cfRule type="expression" dxfId="171" priority="20686" stopIfTrue="1">
      <formula>AND(NOT(ISBLANK(C51)),NOT(_xlfn.ISFORMULA(C51)))</formula>
    </cfRule>
  </conditionalFormatting>
  <conditionalFormatting sqref="D51">
    <cfRule type="expression" dxfId="170" priority="20685" stopIfTrue="1">
      <formula>AND(NOT(ISBLANK(D51)),NOT(_xlfn.ISFORMULA(D51)))</formula>
    </cfRule>
  </conditionalFormatting>
  <conditionalFormatting sqref="G51">
    <cfRule type="expression" dxfId="169" priority="20684" stopIfTrue="1">
      <formula>AND(NOT(ISBLANK(G51)),NOT(_xlfn.ISFORMULA(G51)))</formula>
    </cfRule>
  </conditionalFormatting>
  <conditionalFormatting sqref="E51">
    <cfRule type="expression" dxfId="168" priority="20689">
      <formula>AND(AND(NOT(ISBLANK(D51)),NOT(D51=$O$1)),AND(NOT(ISBLANK(C51)),NOT(C51=$O$1)))</formula>
    </cfRule>
    <cfRule type="expression" dxfId="167" priority="20690">
      <formula>OR(AND(NOT(ISBLANK(D51)),NOT(D51=$O$1)),AND(NOT(ISBLANK(C51)),NOT(C51=$O$1)))</formula>
    </cfRule>
  </conditionalFormatting>
  <conditionalFormatting sqref="F51">
    <cfRule type="expression" dxfId="166" priority="20687">
      <formula>AND(AND(NOT(ISBLANK(G51)),NOT(G51=$O$1)),AND(NOT(ISBLANK(H51)),NOT(H51=$O$1)))</formula>
    </cfRule>
    <cfRule type="expression" dxfId="165" priority="20688">
      <formula>OR(AND(NOT(ISBLANK(G51)),NOT(G51=$O$1)),AND(NOT(ISBLANK(H51)),NOT(H51=$O$1)))</formula>
    </cfRule>
  </conditionalFormatting>
  <conditionalFormatting sqref="C39">
    <cfRule type="expression" dxfId="164" priority="20678" stopIfTrue="1">
      <formula>AND(NOT(ISBLANK(C39)),NOT(_xlfn.ISFORMULA(C39)))</formula>
    </cfRule>
  </conditionalFormatting>
  <conditionalFormatting sqref="D39">
    <cfRule type="expression" dxfId="163" priority="20677" stopIfTrue="1">
      <formula>AND(NOT(ISBLANK(D39)),NOT(_xlfn.ISFORMULA(D39)))</formula>
    </cfRule>
  </conditionalFormatting>
  <conditionalFormatting sqref="G39">
    <cfRule type="expression" dxfId="162" priority="20676" stopIfTrue="1">
      <formula>AND(NOT(ISBLANK(G39)),NOT(_xlfn.ISFORMULA(G39)))</formula>
    </cfRule>
  </conditionalFormatting>
  <conditionalFormatting sqref="H51">
    <cfRule type="expression" dxfId="161" priority="20683" stopIfTrue="1">
      <formula>AND(NOT(ISBLANK(H51)),NOT(_xlfn.ISFORMULA(H51)))</formula>
    </cfRule>
  </conditionalFormatting>
  <conditionalFormatting sqref="E39">
    <cfRule type="expression" dxfId="160" priority="20681">
      <formula>AND(AND(NOT(ISBLANK(D39)),NOT(D39=$O$1)),AND(NOT(ISBLANK(C39)),NOT(C39=$O$1)))</formula>
    </cfRule>
    <cfRule type="expression" dxfId="159" priority="20682">
      <formula>OR(AND(NOT(ISBLANK(D39)),NOT(D39=$O$1)),AND(NOT(ISBLANK(C39)),NOT(C39=$O$1)))</formula>
    </cfRule>
  </conditionalFormatting>
  <conditionalFormatting sqref="F39">
    <cfRule type="expression" dxfId="158" priority="20679">
      <formula>AND(AND(NOT(ISBLANK(G39)),NOT(G39=$O$1)),AND(NOT(ISBLANK(H39)),NOT(H39=$O$1)))</formula>
    </cfRule>
    <cfRule type="expression" dxfId="157" priority="20680">
      <formula>OR(AND(NOT(ISBLANK(G39)),NOT(G39=$O$1)),AND(NOT(ISBLANK(H39)),NOT(H39=$O$1)))</formula>
    </cfRule>
  </conditionalFormatting>
  <conditionalFormatting sqref="C52">
    <cfRule type="expression" dxfId="156" priority="20670" stopIfTrue="1">
      <formula>AND(NOT(ISBLANK(C52)),NOT(_xlfn.ISFORMULA(C52)))</formula>
    </cfRule>
  </conditionalFormatting>
  <conditionalFormatting sqref="D52">
    <cfRule type="expression" dxfId="155" priority="20669" stopIfTrue="1">
      <formula>AND(NOT(ISBLANK(D52)),NOT(_xlfn.ISFORMULA(D52)))</formula>
    </cfRule>
  </conditionalFormatting>
  <conditionalFormatting sqref="G52">
    <cfRule type="expression" dxfId="154" priority="20668" stopIfTrue="1">
      <formula>AND(NOT(ISBLANK(G52)),NOT(_xlfn.ISFORMULA(G52)))</formula>
    </cfRule>
  </conditionalFormatting>
  <conditionalFormatting sqref="H39">
    <cfRule type="expression" dxfId="153" priority="20675" stopIfTrue="1">
      <formula>AND(NOT(ISBLANK(H39)),NOT(_xlfn.ISFORMULA(H39)))</formula>
    </cfRule>
  </conditionalFormatting>
  <conditionalFormatting sqref="E52">
    <cfRule type="expression" dxfId="152" priority="20673">
      <formula>AND(AND(NOT(ISBLANK(D52)),NOT(D52=$O$1)),AND(NOT(ISBLANK(C52)),NOT(C52=$O$1)))</formula>
    </cfRule>
    <cfRule type="expression" dxfId="151" priority="20674">
      <formula>OR(AND(NOT(ISBLANK(D52)),NOT(D52=$O$1)),AND(NOT(ISBLANK(C52)),NOT(C52=$O$1)))</formula>
    </cfRule>
  </conditionalFormatting>
  <conditionalFormatting sqref="F52">
    <cfRule type="expression" dxfId="150" priority="20671">
      <formula>AND(AND(NOT(ISBLANK(G52)),NOT(G52=$O$1)),AND(NOT(ISBLANK(H52)),NOT(H52=$O$1)))</formula>
    </cfRule>
    <cfRule type="expression" dxfId="149" priority="20672">
      <formula>OR(AND(NOT(ISBLANK(G52)),NOT(G52=$O$1)),AND(NOT(ISBLANK(H52)),NOT(H52=$O$1)))</formula>
    </cfRule>
  </conditionalFormatting>
  <conditionalFormatting sqref="H52">
    <cfRule type="expression" dxfId="148" priority="20667" stopIfTrue="1">
      <formula>AND(NOT(ISBLANK(H52)),NOT(_xlfn.ISFORMULA(H52)))</formula>
    </cfRule>
  </conditionalFormatting>
  <conditionalFormatting sqref="H53">
    <cfRule type="expression" dxfId="147" priority="20659" stopIfTrue="1">
      <formula>AND(NOT(ISBLANK(H53)),NOT(_xlfn.ISFORMULA(H53)))</formula>
    </cfRule>
  </conditionalFormatting>
  <conditionalFormatting sqref="E53">
    <cfRule type="expression" dxfId="146" priority="20665">
      <formula>AND(AND(NOT(ISBLANK(D53)),NOT(D53=$O$1)),AND(NOT(ISBLANK(C53)),NOT(C53=$O$1)))</formula>
    </cfRule>
    <cfRule type="expression" dxfId="145" priority="20666">
      <formula>OR(AND(NOT(ISBLANK(D53)),NOT(D53=$O$1)),AND(NOT(ISBLANK(C53)),NOT(C53=$O$1)))</formula>
    </cfRule>
  </conditionalFormatting>
  <conditionalFormatting sqref="F53">
    <cfRule type="expression" dxfId="144" priority="20663">
      <formula>AND(AND(NOT(ISBLANK(G53)),NOT(G53=$O$1)),AND(NOT(ISBLANK(H53)),NOT(H53=$O$1)))</formula>
    </cfRule>
    <cfRule type="expression" dxfId="143" priority="20664">
      <formula>OR(AND(NOT(ISBLANK(G53)),NOT(G53=$O$1)),AND(NOT(ISBLANK(H53)),NOT(H53=$O$1)))</formula>
    </cfRule>
  </conditionalFormatting>
  <conditionalFormatting sqref="C53">
    <cfRule type="expression" dxfId="142" priority="20662" stopIfTrue="1">
      <formula>AND(NOT(ISBLANK(C53)),NOT(_xlfn.ISFORMULA(C53)))</formula>
    </cfRule>
  </conditionalFormatting>
  <conditionalFormatting sqref="D53">
    <cfRule type="expression" dxfId="141" priority="20661" stopIfTrue="1">
      <formula>AND(NOT(ISBLANK(D53)),NOT(_xlfn.ISFORMULA(D53)))</formula>
    </cfRule>
  </conditionalFormatting>
  <conditionalFormatting sqref="G53">
    <cfRule type="expression" dxfId="140" priority="20660" stopIfTrue="1">
      <formula>AND(NOT(ISBLANK(G53)),NOT(_xlfn.ISFORMULA(G53)))</formula>
    </cfRule>
  </conditionalFormatting>
  <conditionalFormatting sqref="E40">
    <cfRule type="expression" dxfId="139" priority="20657">
      <formula>AND(AND(NOT(ISBLANK(D40)),NOT(D40=$O$1)),AND(NOT(ISBLANK(C40)),NOT(C40=$O$1)))</formula>
    </cfRule>
    <cfRule type="expression" dxfId="138" priority="20658">
      <formula>OR(AND(NOT(ISBLANK(D40)),NOT(D40=$O$1)),AND(NOT(ISBLANK(C40)),NOT(C40=$O$1)))</formula>
    </cfRule>
  </conditionalFormatting>
  <conditionalFormatting sqref="F40">
    <cfRule type="expression" dxfId="137" priority="20655">
      <formula>AND(AND(NOT(ISBLANK(G40)),NOT(G40=$O$1)),AND(NOT(ISBLANK(H40)),NOT(H40=$O$1)))</formula>
    </cfRule>
    <cfRule type="expression" dxfId="136" priority="20656">
      <formula>OR(AND(NOT(ISBLANK(G40)),NOT(G40=$O$1)),AND(NOT(ISBLANK(H40)),NOT(H40=$O$1)))</formula>
    </cfRule>
  </conditionalFormatting>
  <conditionalFormatting sqref="C40">
    <cfRule type="expression" dxfId="135" priority="20654" stopIfTrue="1">
      <formula>AND(NOT(ISBLANK(C40)),NOT(_xlfn.ISFORMULA(C40)))</formula>
    </cfRule>
  </conditionalFormatting>
  <conditionalFormatting sqref="D40">
    <cfRule type="expression" dxfId="134" priority="20653" stopIfTrue="1">
      <formula>AND(NOT(ISBLANK(D40)),NOT(_xlfn.ISFORMULA(D40)))</formula>
    </cfRule>
  </conditionalFormatting>
  <conditionalFormatting sqref="G40">
    <cfRule type="expression" dxfId="133" priority="20652" stopIfTrue="1">
      <formula>AND(NOT(ISBLANK(G40)),NOT(_xlfn.ISFORMULA(G40)))</formula>
    </cfRule>
  </conditionalFormatting>
  <conditionalFormatting sqref="H40">
    <cfRule type="expression" dxfId="132" priority="20651" stopIfTrue="1">
      <formula>AND(NOT(ISBLANK(H40)),NOT(_xlfn.ISFORMULA(H40)))</formula>
    </cfRule>
  </conditionalFormatting>
  <conditionalFormatting sqref="E54">
    <cfRule type="expression" dxfId="131" priority="20649">
      <formula>AND(AND(NOT(ISBLANK(D54)),NOT(D54=$O$1)),AND(NOT(ISBLANK(C54)),NOT(C54=$O$1)))</formula>
    </cfRule>
    <cfRule type="expression" dxfId="130" priority="20650">
      <formula>OR(AND(NOT(ISBLANK(D54)),NOT(D54=$O$1)),AND(NOT(ISBLANK(C54)),NOT(C54=$O$1)))</formula>
    </cfRule>
  </conditionalFormatting>
  <conditionalFormatting sqref="F54">
    <cfRule type="expression" dxfId="129" priority="20647">
      <formula>AND(AND(NOT(ISBLANK(G54)),NOT(G54=$O$1)),AND(NOT(ISBLANK(H54)),NOT(H54=$O$1)))</formula>
    </cfRule>
    <cfRule type="expression" dxfId="128" priority="20648">
      <formula>OR(AND(NOT(ISBLANK(G54)),NOT(G54=$O$1)),AND(NOT(ISBLANK(H54)),NOT(H54=$O$1)))</formula>
    </cfRule>
  </conditionalFormatting>
  <conditionalFormatting sqref="C54">
    <cfRule type="expression" dxfId="127" priority="20646" stopIfTrue="1">
      <formula>AND(NOT(ISBLANK(C54)),NOT(_xlfn.ISFORMULA(C54)))</formula>
    </cfRule>
  </conditionalFormatting>
  <conditionalFormatting sqref="D54">
    <cfRule type="expression" dxfId="126" priority="20645" stopIfTrue="1">
      <formula>AND(NOT(ISBLANK(D54)),NOT(_xlfn.ISFORMULA(D54)))</formula>
    </cfRule>
  </conditionalFormatting>
  <conditionalFormatting sqref="G54">
    <cfRule type="expression" dxfId="125" priority="20644" stopIfTrue="1">
      <formula>AND(NOT(ISBLANK(G54)),NOT(_xlfn.ISFORMULA(G54)))</formula>
    </cfRule>
  </conditionalFormatting>
  <conditionalFormatting sqref="H54">
    <cfRule type="expression" dxfId="124" priority="20643" stopIfTrue="1">
      <formula>AND(NOT(ISBLANK(H54)),NOT(_xlfn.ISFORMULA(H54)))</formula>
    </cfRule>
  </conditionalFormatting>
  <conditionalFormatting sqref="H55">
    <cfRule type="expression" dxfId="123" priority="20631" stopIfTrue="1">
      <formula>AND(NOT(ISBLANK(H55)),NOT(_xlfn.ISFORMULA(H55)))</formula>
    </cfRule>
  </conditionalFormatting>
  <conditionalFormatting sqref="E55">
    <cfRule type="expression" dxfId="122" priority="20637">
      <formula>AND(AND(NOT(ISBLANK(D55)),NOT(D55=$O$1)),AND(NOT(ISBLANK(C55)),NOT(C55=$O$1)))</formula>
    </cfRule>
    <cfRule type="expression" dxfId="121" priority="20638">
      <formula>OR(AND(NOT(ISBLANK(D55)),NOT(D55=$O$1)),AND(NOT(ISBLANK(C55)),NOT(C55=$O$1)))</formula>
    </cfRule>
  </conditionalFormatting>
  <conditionalFormatting sqref="F55">
    <cfRule type="expression" dxfId="120" priority="20635">
      <formula>AND(AND(NOT(ISBLANK(G55)),NOT(G55=$O$1)),AND(NOT(ISBLANK(H55)),NOT(H55=$O$1)))</formula>
    </cfRule>
    <cfRule type="expression" dxfId="119" priority="20636">
      <formula>OR(AND(NOT(ISBLANK(G55)),NOT(G55=$O$1)),AND(NOT(ISBLANK(H55)),NOT(H55=$O$1)))</formula>
    </cfRule>
  </conditionalFormatting>
  <conditionalFormatting sqref="C55">
    <cfRule type="expression" dxfId="118" priority="20634" stopIfTrue="1">
      <formula>AND(NOT(ISBLANK(C55)),NOT(_xlfn.ISFORMULA(C55)))</formula>
    </cfRule>
  </conditionalFormatting>
  <conditionalFormatting sqref="D55">
    <cfRule type="expression" dxfId="117" priority="20633" stopIfTrue="1">
      <formula>AND(NOT(ISBLANK(D55)),NOT(_xlfn.ISFORMULA(D55)))</formula>
    </cfRule>
  </conditionalFormatting>
  <conditionalFormatting sqref="G55">
    <cfRule type="expression" dxfId="116" priority="20632" stopIfTrue="1">
      <formula>AND(NOT(ISBLANK(G55)),NOT(_xlfn.ISFORMULA(G55)))</formula>
    </cfRule>
  </conditionalFormatting>
  <conditionalFormatting sqref="E41">
    <cfRule type="expression" dxfId="115" priority="20629">
      <formula>AND(AND(NOT(ISBLANK(D41)),NOT(D41=$O$1)),AND(NOT(ISBLANK(C41)),NOT(C41=$O$1)))</formula>
    </cfRule>
    <cfRule type="expression" dxfId="114" priority="20630">
      <formula>OR(AND(NOT(ISBLANK(D41)),NOT(D41=$O$1)),AND(NOT(ISBLANK(C41)),NOT(C41=$O$1)))</formula>
    </cfRule>
  </conditionalFormatting>
  <conditionalFormatting sqref="F41">
    <cfRule type="expression" dxfId="113" priority="20627">
      <formula>AND(AND(NOT(ISBLANK(G41)),NOT(G41=$O$1)),AND(NOT(ISBLANK(H41)),NOT(H41=$O$1)))</formula>
    </cfRule>
    <cfRule type="expression" dxfId="112" priority="20628">
      <formula>OR(AND(NOT(ISBLANK(G41)),NOT(G41=$O$1)),AND(NOT(ISBLANK(H41)),NOT(H41=$O$1)))</formula>
    </cfRule>
  </conditionalFormatting>
  <conditionalFormatting sqref="C41">
    <cfRule type="expression" dxfId="111" priority="20626" stopIfTrue="1">
      <formula>AND(NOT(ISBLANK(C41)),NOT(_xlfn.ISFORMULA(C41)))</formula>
    </cfRule>
  </conditionalFormatting>
  <conditionalFormatting sqref="D41">
    <cfRule type="expression" dxfId="110" priority="20625" stopIfTrue="1">
      <formula>AND(NOT(ISBLANK(D41)),NOT(_xlfn.ISFORMULA(D41)))</formula>
    </cfRule>
  </conditionalFormatting>
  <conditionalFormatting sqref="G41">
    <cfRule type="expression" dxfId="109" priority="20624" stopIfTrue="1">
      <formula>AND(NOT(ISBLANK(G41)),NOT(_xlfn.ISFORMULA(G41)))</formula>
    </cfRule>
  </conditionalFormatting>
  <conditionalFormatting sqref="H41">
    <cfRule type="expression" dxfId="108" priority="20623" stopIfTrue="1">
      <formula>AND(NOT(ISBLANK(H41)),NOT(_xlfn.ISFORMULA(H41)))</formula>
    </cfRule>
  </conditionalFormatting>
  <conditionalFormatting sqref="E56">
    <cfRule type="expression" dxfId="107" priority="20621">
      <formula>AND(AND(NOT(ISBLANK(D56)),NOT(D56=$O$1)),AND(NOT(ISBLANK(C56)),NOT(C56=$O$1)))</formula>
    </cfRule>
    <cfRule type="expression" dxfId="106" priority="20622">
      <formula>OR(AND(NOT(ISBLANK(D56)),NOT(D56=$O$1)),AND(NOT(ISBLANK(C56)),NOT(C56=$O$1)))</formula>
    </cfRule>
  </conditionalFormatting>
  <conditionalFormatting sqref="F56">
    <cfRule type="expression" dxfId="105" priority="20619">
      <formula>AND(AND(NOT(ISBLANK(G56)),NOT(G56=$O$1)),AND(NOT(ISBLANK(H56)),NOT(H56=$O$1)))</formula>
    </cfRule>
    <cfRule type="expression" dxfId="104" priority="20620">
      <formula>OR(AND(NOT(ISBLANK(G56)),NOT(G56=$O$1)),AND(NOT(ISBLANK(H56)),NOT(H56=$O$1)))</formula>
    </cfRule>
  </conditionalFormatting>
  <conditionalFormatting sqref="C56">
    <cfRule type="expression" dxfId="103" priority="20618" stopIfTrue="1">
      <formula>AND(NOT(ISBLANK(C56)),NOT(_xlfn.ISFORMULA(C56)))</formula>
    </cfRule>
  </conditionalFormatting>
  <conditionalFormatting sqref="D56">
    <cfRule type="expression" dxfId="102" priority="20617" stopIfTrue="1">
      <formula>AND(NOT(ISBLANK(D56)),NOT(_xlfn.ISFORMULA(D56)))</formula>
    </cfRule>
  </conditionalFormatting>
  <conditionalFormatting sqref="G56">
    <cfRule type="expression" dxfId="101" priority="20616" stopIfTrue="1">
      <formula>AND(NOT(ISBLANK(G56)),NOT(_xlfn.ISFORMULA(G56)))</formula>
    </cfRule>
  </conditionalFormatting>
  <conditionalFormatting sqref="H56">
    <cfRule type="expression" dxfId="100" priority="20615" stopIfTrue="1">
      <formula>AND(NOT(ISBLANK(H56)),NOT(_xlfn.ISFORMULA(H56)))</formula>
    </cfRule>
  </conditionalFormatting>
  <conditionalFormatting sqref="E57">
    <cfRule type="expression" dxfId="99" priority="20613">
      <formula>AND(AND(NOT(ISBLANK(D57)),NOT(D57=$O$1)),AND(NOT(ISBLANK(C57)),NOT(C57=$O$1)))</formula>
    </cfRule>
    <cfRule type="expression" dxfId="98" priority="20614">
      <formula>OR(AND(NOT(ISBLANK(D57)),NOT(D57=$O$1)),AND(NOT(ISBLANK(C57)),NOT(C57=$O$1)))</formula>
    </cfRule>
  </conditionalFormatting>
  <conditionalFormatting sqref="F57">
    <cfRule type="expression" dxfId="97" priority="20611">
      <formula>AND(AND(NOT(ISBLANK(G57)),NOT(G57=$O$1)),AND(NOT(ISBLANK(H57)),NOT(H57=$O$1)))</formula>
    </cfRule>
    <cfRule type="expression" dxfId="96" priority="20612">
      <formula>OR(AND(NOT(ISBLANK(G57)),NOT(G57=$O$1)),AND(NOT(ISBLANK(H57)),NOT(H57=$O$1)))</formula>
    </cfRule>
  </conditionalFormatting>
  <conditionalFormatting sqref="E42">
    <cfRule type="expression" dxfId="95" priority="20605">
      <formula>AND(AND(NOT(ISBLANK(D42)),NOT(D42=$O$1)),AND(NOT(ISBLANK(C42)),NOT(C42=$O$1)))</formula>
    </cfRule>
    <cfRule type="expression" dxfId="94" priority="20606">
      <formula>OR(AND(NOT(ISBLANK(D42)),NOT(D42=$O$1)),AND(NOT(ISBLANK(C42)),NOT(C42=$O$1)))</formula>
    </cfRule>
  </conditionalFormatting>
  <conditionalFormatting sqref="F42">
    <cfRule type="expression" dxfId="93" priority="20603">
      <formula>AND(AND(NOT(ISBLANK(G42)),NOT(G42=$O$1)),AND(NOT(ISBLANK(H42)),NOT(H42=$O$1)))</formula>
    </cfRule>
    <cfRule type="expression" dxfId="92" priority="20604">
      <formula>OR(AND(NOT(ISBLANK(G42)),NOT(G42=$O$1)),AND(NOT(ISBLANK(H42)),NOT(H42=$O$1)))</formula>
    </cfRule>
  </conditionalFormatting>
  <conditionalFormatting sqref="C57">
    <cfRule type="expression" dxfId="91" priority="20610" stopIfTrue="1">
      <formula>AND(NOT(ISBLANK(C57)),NOT(_xlfn.ISFORMULA(C57)))</formula>
    </cfRule>
  </conditionalFormatting>
  <conditionalFormatting sqref="D57">
    <cfRule type="expression" dxfId="90" priority="20609" stopIfTrue="1">
      <formula>AND(NOT(ISBLANK(D57)),NOT(_xlfn.ISFORMULA(D57)))</formula>
    </cfRule>
  </conditionalFormatting>
  <conditionalFormatting sqref="G57">
    <cfRule type="expression" dxfId="89" priority="20608" stopIfTrue="1">
      <formula>AND(NOT(ISBLANK(G57)),NOT(_xlfn.ISFORMULA(G57)))</formula>
    </cfRule>
  </conditionalFormatting>
  <conditionalFormatting sqref="H57">
    <cfRule type="expression" dxfId="88" priority="20607" stopIfTrue="1">
      <formula>AND(NOT(ISBLANK(H57)),NOT(_xlfn.ISFORMULA(H57)))</formula>
    </cfRule>
  </conditionalFormatting>
  <conditionalFormatting sqref="C42">
    <cfRule type="expression" dxfId="87" priority="20602" stopIfTrue="1">
      <formula>AND(NOT(ISBLANK(C42)),NOT(_xlfn.ISFORMULA(C42)))</formula>
    </cfRule>
  </conditionalFormatting>
  <conditionalFormatting sqref="D42">
    <cfRule type="expression" dxfId="86" priority="20601" stopIfTrue="1">
      <formula>AND(NOT(ISBLANK(D42)),NOT(_xlfn.ISFORMULA(D42)))</formula>
    </cfRule>
  </conditionalFormatting>
  <conditionalFormatting sqref="G42">
    <cfRule type="expression" dxfId="85" priority="20600" stopIfTrue="1">
      <formula>AND(NOT(ISBLANK(G42)),NOT(_xlfn.ISFORMULA(G42)))</formula>
    </cfRule>
  </conditionalFormatting>
  <conditionalFormatting sqref="H42">
    <cfRule type="expression" dxfId="84" priority="20599" stopIfTrue="1">
      <formula>AND(NOT(ISBLANK(H42)),NOT(_xlfn.ISFORMULA(H42)))</formula>
    </cfRule>
  </conditionalFormatting>
  <conditionalFormatting sqref="E58">
    <cfRule type="expression" dxfId="83" priority="20597">
      <formula>AND(AND(NOT(ISBLANK(D58)),NOT(D58=$O$1)),AND(NOT(ISBLANK(C58)),NOT(C58=$O$1)))</formula>
    </cfRule>
    <cfRule type="expression" dxfId="82" priority="20598">
      <formula>OR(AND(NOT(ISBLANK(D58)),NOT(D58=$O$1)),AND(NOT(ISBLANK(C58)),NOT(C58=$O$1)))</formula>
    </cfRule>
  </conditionalFormatting>
  <conditionalFormatting sqref="F58">
    <cfRule type="expression" dxfId="81" priority="20595">
      <formula>AND(AND(NOT(ISBLANK(G58)),NOT(G58=$O$1)),AND(NOT(ISBLANK(H58)),NOT(H58=$O$1)))</formula>
    </cfRule>
    <cfRule type="expression" dxfId="80" priority="20596">
      <formula>OR(AND(NOT(ISBLANK(G58)),NOT(G58=$O$1)),AND(NOT(ISBLANK(H58)),NOT(H58=$O$1)))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49:F58 E38:F42 J49:L50 A38:B42 I38:L42 J51:J58 A49:B58 I49:I5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3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tabSelected="1" view="pageBreakPreview" zoomScaleNormal="100" zoomScaleSheetLayoutView="100" workbookViewId="0"/>
  </sheetViews>
  <sheetFormatPr defaultRowHeight="15" x14ac:dyDescent="0.25"/>
  <cols>
    <col min="1" max="1" width="9.140625" style="82"/>
  </cols>
  <sheetData/>
  <pageMargins left="0.7" right="0.7" top="0.75" bottom="0.75" header="0.3" footer="0.3"/>
  <pageSetup paperSize="9" orientation="portrait" r:id="rId1"/>
  <headerFooter>
    <oddHeader>&amp;R&amp;D. &amp;T. Страница &amp;P/&amp;N&amp;LСКЛД bCad-teh</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N19"/>
  <sheetViews>
    <sheetView workbookViewId="0">
      <selection activeCell="E37" sqref="E37"/>
    </sheetView>
  </sheetViews>
  <sheetFormatPr defaultRowHeight="15" x14ac:dyDescent="0.25"/>
  <cols>
    <col min="2" max="2" width="21.85546875" customWidth="1"/>
    <col min="10" max="10" width="15.7109375" customWidth="1"/>
    <col min="13" max="13" width="23.5703125" bestFit="1" customWidth="1"/>
  </cols>
  <sheetData>
    <row r="1" spans="1:14" ht="18.75" x14ac:dyDescent="0.3">
      <c r="A1" s="1" t="s">
        <v>107</v>
      </c>
      <c r="B1" s="1"/>
      <c r="C1" s="84"/>
      <c r="D1" s="84"/>
      <c r="E1" s="30"/>
      <c r="F1" s="30"/>
      <c r="G1" s="30"/>
      <c r="H1" s="85"/>
      <c r="I1" s="85"/>
      <c r="J1" s="30"/>
      <c r="K1" s="30"/>
      <c r="L1" s="30"/>
      <c r="M1" s="86" t="s">
        <v>98</v>
      </c>
    </row>
    <row r="2" spans="1:14" ht="30" x14ac:dyDescent="0.25">
      <c r="A2" s="65" t="s">
        <v>6</v>
      </c>
      <c r="B2" s="65" t="str">
        <f>"Наименование"</f>
        <v>Наименование</v>
      </c>
      <c r="C2" s="87" t="s">
        <v>9</v>
      </c>
      <c r="D2" s="87" t="s">
        <v>11</v>
      </c>
      <c r="E2" s="88" t="s">
        <v>99</v>
      </c>
      <c r="F2" s="87" t="s">
        <v>10</v>
      </c>
      <c r="G2" s="87" t="s">
        <v>12</v>
      </c>
      <c r="H2" s="89" t="s">
        <v>100</v>
      </c>
      <c r="I2" s="65" t="s">
        <v>2</v>
      </c>
      <c r="J2" s="65" t="s">
        <v>48</v>
      </c>
      <c r="K2" s="65" t="s">
        <v>49</v>
      </c>
      <c r="L2" s="65" t="s">
        <v>50</v>
      </c>
      <c r="M2" s="65" t="s">
        <v>4</v>
      </c>
    </row>
    <row r="3" spans="1:14" s="30" customFormat="1" x14ac:dyDescent="0.25">
      <c r="A3"/>
      <c r="B3"/>
      <c r="C3"/>
      <c r="D3"/>
      <c r="E3"/>
      <c r="F3"/>
      <c r="G3"/>
      <c r="H3"/>
      <c r="I3"/>
      <c r="J3"/>
      <c r="K3"/>
      <c r="L3"/>
      <c r="M3"/>
      <c r="N3"/>
    </row>
    <row r="4" spans="1:14" s="30" customFormat="1" x14ac:dyDescent="0.25">
      <c r="A4"/>
      <c r="B4"/>
      <c r="C4"/>
      <c r="D4"/>
      <c r="E4"/>
      <c r="F4"/>
      <c r="G4"/>
      <c r="H4"/>
      <c r="I4"/>
      <c r="J4"/>
      <c r="K4"/>
      <c r="L4"/>
      <c r="M4"/>
      <c r="N4"/>
    </row>
    <row r="5" spans="1:14" s="30" customFormat="1" x14ac:dyDescent="0.25">
      <c r="A5"/>
      <c r="B5"/>
      <c r="C5"/>
      <c r="D5"/>
      <c r="E5"/>
      <c r="F5"/>
      <c r="G5"/>
      <c r="H5"/>
      <c r="I5"/>
      <c r="J5"/>
      <c r="K5"/>
      <c r="L5"/>
      <c r="M5"/>
      <c r="N5"/>
    </row>
    <row r="6" spans="1:14" s="30" customFormat="1" x14ac:dyDescent="0.25">
      <c r="A6"/>
      <c r="B6"/>
      <c r="C6"/>
      <c r="D6"/>
      <c r="E6"/>
      <c r="F6"/>
      <c r="G6"/>
      <c r="H6"/>
      <c r="I6"/>
      <c r="J6"/>
      <c r="K6"/>
      <c r="L6"/>
      <c r="M6"/>
      <c r="N6"/>
    </row>
    <row r="7" spans="1:14" x14ac:dyDescent="0.25">
      <c r="A7" s="13"/>
      <c r="B7" s="30"/>
      <c r="C7" s="30"/>
      <c r="D7" s="30"/>
      <c r="E7" s="50"/>
      <c r="F7" s="35"/>
      <c r="G7" s="34"/>
      <c r="H7" s="92" t="s">
        <v>101</v>
      </c>
      <c r="I7" s="102">
        <f>SUM(I3:I6)</f>
        <v>0</v>
      </c>
      <c r="J7" s="92"/>
      <c r="K7" s="92"/>
      <c r="L7" s="92" t="s">
        <v>102</v>
      </c>
      <c r="M7" s="102">
        <f>SUM(N3:N6)</f>
        <v>0</v>
      </c>
    </row>
    <row r="8" spans="1:14" x14ac:dyDescent="0.25">
      <c r="A8" s="34"/>
      <c r="B8" s="34"/>
      <c r="C8" s="93"/>
      <c r="D8" s="94"/>
      <c r="E8" s="35"/>
      <c r="F8" s="34"/>
      <c r="G8" s="34"/>
      <c r="H8" s="36"/>
      <c r="I8" s="30"/>
      <c r="J8" s="30"/>
      <c r="K8" s="30"/>
      <c r="L8" s="30"/>
      <c r="M8" s="30"/>
    </row>
    <row r="9" spans="1:14" x14ac:dyDescent="0.25">
      <c r="A9" s="2" t="s">
        <v>8</v>
      </c>
      <c r="B9" s="30"/>
      <c r="C9" s="30"/>
      <c r="D9" s="30"/>
      <c r="E9" s="30"/>
      <c r="F9" s="30"/>
      <c r="G9" s="30"/>
      <c r="H9" s="30"/>
      <c r="I9" s="30"/>
      <c r="J9" s="30"/>
      <c r="K9" s="30"/>
      <c r="L9" s="30"/>
      <c r="M9" s="30"/>
    </row>
    <row r="10" spans="1:14" x14ac:dyDescent="0.25">
      <c r="A10" s="30" t="s">
        <v>103</v>
      </c>
      <c r="B10" s="30"/>
      <c r="C10" s="30"/>
      <c r="D10" s="30"/>
      <c r="E10" s="30"/>
      <c r="F10" s="30"/>
      <c r="G10" s="30"/>
      <c r="H10" s="30"/>
      <c r="I10" s="30"/>
      <c r="J10" s="30"/>
      <c r="K10" s="30"/>
      <c r="L10" s="30"/>
      <c r="M10" s="30"/>
    </row>
    <row r="11" spans="1:14" x14ac:dyDescent="0.25">
      <c r="A11" s="30" t="s">
        <v>104</v>
      </c>
      <c r="B11" s="30"/>
      <c r="C11" s="30"/>
      <c r="D11" s="30"/>
      <c r="E11" s="30"/>
      <c r="F11" s="30"/>
      <c r="G11" s="30"/>
      <c r="H11" s="30"/>
      <c r="I11" s="30"/>
      <c r="J11" s="30"/>
      <c r="K11" s="30"/>
      <c r="L11" s="30"/>
      <c r="M11" s="30"/>
    </row>
    <row r="12" spans="1:14" x14ac:dyDescent="0.25">
      <c r="A12" s="30" t="s">
        <v>105</v>
      </c>
      <c r="B12" s="30"/>
      <c r="C12" s="30"/>
      <c r="D12" s="30"/>
      <c r="E12" s="30"/>
      <c r="F12" s="30"/>
      <c r="G12" s="30"/>
      <c r="H12" s="30"/>
      <c r="I12" s="30"/>
      <c r="J12" s="30"/>
      <c r="K12" s="30"/>
      <c r="L12" s="30"/>
      <c r="M12" s="30"/>
    </row>
    <row r="13" spans="1:14" x14ac:dyDescent="0.25">
      <c r="A13" s="30"/>
      <c r="B13" s="30"/>
      <c r="C13" s="30"/>
      <c r="D13" s="30"/>
      <c r="E13" s="30"/>
      <c r="F13" s="30"/>
      <c r="G13" s="30"/>
      <c r="H13" s="30"/>
      <c r="I13" s="30"/>
      <c r="J13" s="30"/>
      <c r="K13" s="30"/>
      <c r="L13" s="30"/>
      <c r="M13" s="30"/>
    </row>
    <row r="14" spans="1:14" ht="18.75" x14ac:dyDescent="0.3">
      <c r="A14" s="1"/>
      <c r="B14" s="1" t="s">
        <v>41</v>
      </c>
      <c r="C14" s="38"/>
      <c r="D14" s="30"/>
      <c r="E14" s="30"/>
      <c r="F14" s="38"/>
      <c r="G14" s="38"/>
      <c r="H14" s="30"/>
      <c r="I14" s="30"/>
      <c r="J14" s="30"/>
      <c r="K14" s="30"/>
      <c r="L14" s="30"/>
      <c r="M14" s="30"/>
    </row>
    <row r="15" spans="1:14" x14ac:dyDescent="0.25">
      <c r="A15" s="95" t="s">
        <v>6</v>
      </c>
      <c r="B15" s="103" t="s">
        <v>23</v>
      </c>
      <c r="C15" s="104"/>
      <c r="D15" s="104"/>
      <c r="E15" s="104"/>
      <c r="F15" s="104"/>
      <c r="G15" s="105"/>
      <c r="H15" s="96" t="s">
        <v>31</v>
      </c>
      <c r="I15" s="97" t="s">
        <v>30</v>
      </c>
      <c r="J15" s="95" t="s">
        <v>48</v>
      </c>
      <c r="K15" s="95" t="s">
        <v>52</v>
      </c>
      <c r="L15" s="95" t="s">
        <v>53</v>
      </c>
      <c r="M15" s="30"/>
    </row>
    <row r="16" spans="1:14" x14ac:dyDescent="0.25">
      <c r="A16" s="98"/>
      <c r="B16" s="106"/>
      <c r="C16" s="107"/>
      <c r="D16" s="107"/>
      <c r="E16" s="107"/>
      <c r="F16" s="107"/>
      <c r="G16" s="108"/>
      <c r="H16" s="99"/>
      <c r="I16" s="98"/>
      <c r="J16" s="98"/>
      <c r="K16" s="90"/>
      <c r="L16" s="90"/>
      <c r="M16" s="30"/>
    </row>
    <row r="17" spans="1:13" x14ac:dyDescent="0.25">
      <c r="A17" s="100"/>
      <c r="B17" s="109"/>
      <c r="C17" s="110"/>
      <c r="D17" s="110"/>
      <c r="E17" s="110"/>
      <c r="F17" s="110"/>
      <c r="G17" s="111"/>
      <c r="H17" s="101"/>
      <c r="I17" s="101"/>
      <c r="J17" s="100"/>
      <c r="K17" s="91"/>
      <c r="L17" s="91"/>
      <c r="M17" s="30"/>
    </row>
    <row r="18" spans="1:13" x14ac:dyDescent="0.25">
      <c r="A18" s="100"/>
      <c r="B18" s="109"/>
      <c r="C18" s="110"/>
      <c r="D18" s="110"/>
      <c r="E18" s="110"/>
      <c r="F18" s="110"/>
      <c r="G18" s="111"/>
      <c r="H18" s="101"/>
      <c r="I18" s="100"/>
      <c r="J18" s="100"/>
      <c r="K18" s="91"/>
      <c r="L18" s="91"/>
      <c r="M18" s="30"/>
    </row>
    <row r="19" spans="1:13" x14ac:dyDescent="0.25">
      <c r="A19" s="100"/>
      <c r="B19" s="109"/>
      <c r="C19" s="110"/>
      <c r="D19" s="110"/>
      <c r="E19" s="110"/>
      <c r="F19" s="110"/>
      <c r="G19" s="111"/>
      <c r="H19" s="101"/>
      <c r="I19" s="101"/>
      <c r="J19" s="100"/>
      <c r="K19" s="91"/>
      <c r="L19" s="91"/>
      <c r="M19" s="30"/>
    </row>
  </sheetData>
  <mergeCells count="5">
    <mergeCell ref="B15:G15"/>
    <mergeCell ref="B16:G16"/>
    <mergeCell ref="B17:G17"/>
    <mergeCell ref="B18:G18"/>
    <mergeCell ref="B19:G19"/>
  </mergeCells>
  <pageMargins left="0.7" right="0.7" top="0.75" bottom="0.75" header="0.3" footer="0.3"/>
  <pageSetup paperSize="9" orientation="portrait" r:id="rId1"/>
  <headerFooter>
    <oddHeader>&amp;LКРОМКА bCad-teh</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ИсходныйСкрытый</vt:lpstr>
      <vt:lpstr>Деталировка</vt:lpstr>
      <vt:lpstr>СКЛАД</vt:lpstr>
      <vt:lpstr>КРОМКА</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2022-02-05T08:49:23Z</cp:lastPrinted>
  <dcterms:created xsi:type="dcterms:W3CDTF">2014-06-23T08:47:00Z</dcterms:created>
  <dcterms:modified xsi:type="dcterms:W3CDTF">2022-02-05T08:54:14Z</dcterms:modified>
</cp:coreProperties>
</file>
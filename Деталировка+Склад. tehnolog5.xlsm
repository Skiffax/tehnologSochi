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F:\Проекты\tehnolog-sochi\"/>
    </mc:Choice>
  </mc:AlternateContent>
  <xr:revisionPtr revIDLastSave="0" documentId="13_ncr:1_{0947DA5A-605B-459F-AF46-B4024E16C49E}" xr6:coauthVersionLast="45" xr6:coauthVersionMax="47" xr10:uidLastSave="{00000000-0000-0000-0000-000000000000}"/>
  <bookViews>
    <workbookView xWindow="-120" yWindow="-120" windowWidth="29040" windowHeight="15840" tabRatio="550" activeTab="1" xr2:uid="{00000000-000D-0000-FFFF-FFFF00000000}"/>
  </bookViews>
  <sheets>
    <sheet name="ИсходныйСкрытый" sheetId="662" r:id="rId1"/>
    <sheet name="Деталировка" sheetId="660" r:id="rId2"/>
    <sheet name="СКЛАД" sheetId="663" r:id="rId3"/>
    <sheet name="КРОМКА" sheetId="704" r:id="rId4"/>
    <sheet name="РАСПИЛ" sheetId="701" r:id="rId5"/>
    <sheet name="СБОРКА" sheetId="706" r:id="rId6"/>
  </sheets>
  <functionGroups builtInGroupCount="19"/>
  <definedNames>
    <definedName name="_xlnm._FilterDatabase" localSheetId="1" hidden="1">Деталировка!#REF!</definedName>
    <definedName name="_xlnm.Print_Titles" localSheetId="3">КРОМКА!$2:$2</definedName>
    <definedName name="_xlnm.Print_Titles" localSheetId="4">РАСПИЛ!$2:$2</definedName>
    <definedName name="_xlnm.Print_Titles" localSheetId="5">СБОРКА!$2:$2</definedName>
    <definedName name="_xlnm.Print_Area" localSheetId="1">Деталировка!$A$2:$M$25</definedName>
    <definedName name="_xlnm.Print_Area" localSheetId="3">КРОМКА!$A$1:$M$34</definedName>
    <definedName name="_xlnm.Print_Area" localSheetId="4">РАСПИЛ!$A$1:$J$29</definedName>
    <definedName name="_xlnm.Print_Area" localSheetId="5">СБОРКА!$A$1:$J$30</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8" i="706" l="1"/>
  <c r="B2" i="706"/>
  <c r="I18" i="704" l="1"/>
  <c r="B2" i="704" l="1"/>
  <c r="E27" i="701" l="1"/>
  <c r="B2" i="701"/>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49" i="660"/>
  <c r="I33" i="660"/>
  <c r="B3" i="660"/>
  <c r="D15" i="662" l="1"/>
  <c r="N15" i="662" s="1"/>
  <c r="E15" i="662"/>
  <c r="A22" i="660"/>
  <c r="A37" i="660"/>
  <c r="A2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0C08DE20-81C2-474A-A4BF-8C685FCC0013}">
      <text>
        <r>
          <rPr>
            <b/>
            <sz val="9"/>
            <color indexed="81"/>
            <rFont val="Tahoma"/>
            <family val="2"/>
            <charset val="204"/>
          </rPr>
          <t>сделать столбец скрываемым из диалога "ИНСТРУМЕНТЫ"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1801B935-723A-4787-87A2-E558BD9B0631}">
      <text>
        <r>
          <rPr>
            <b/>
            <sz val="9"/>
            <color indexed="81"/>
            <rFont val="Tahoma"/>
            <family val="2"/>
            <charset val="204"/>
          </rPr>
          <t>сделать столбец скрываемым из диалога "ИНСТРУМЕНТЫ"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20CCC060-32D2-431B-B91E-83429BD30948}">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<sst xmlns="http://schemas.openxmlformats.org/spreadsheetml/2006/main" count="402" uniqueCount="217">
  <si>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</si>
  <si>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</si>
  <si>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</si>
  <si>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</si>
  <si>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</si>
  <si>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</si>
  <si>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</si>
  <si>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</si>
  <si>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</si>
  <si>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</si>
  <si>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</si>
  <si>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</si>
  <si>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</si>
  <si>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</si>
  <si>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</si>
  <si>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</si>
  <si>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</si>
  <si>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</si>
  <si>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</si>
  <si>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</si>
  <si>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</si>
  <si>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</si>
  <si>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</si>
  <si>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</si>
  <si>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</si>
  <si>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</si>
  <si>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</si>
  <si>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</si>
  <si>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</si>
  <si>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</si>
  <si>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</si>
  <si>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</si>
  <si>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</si>
  <si>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</si>
  <si>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</si>
  <si>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</si>
  <si>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</si>
  <si>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</si>
  <si>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</si>
  <si>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</si>
  <si>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</si>
  <si>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</si>
  <si>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</si>
  <si>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</si>
  <si>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</si>
  <si>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</si>
  <si>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</si>
  <si>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</si>
  <si>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</si>
  <si>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</si>
  <si>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</si>
  <si>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</si>
  <si>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</si>
  <si>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</si>
  <si>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</si>
  <si>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</si>
  <si>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</si>
  <si>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</si>
  <si>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</si>
  <si>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</si>
  <si>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</si>
  <si>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</si>
  <si>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</si>
  <si>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</si>
  <si>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</si>
  <si>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</si>
  <si>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</si>
  <si>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</si>
  <si>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</si>
  <si>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</si>
  <si>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</si>
  <si>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</si>
  <si>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</si>
  <si>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</si>
  <si>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</si>
  <si>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</si>
  <si>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</si>
  <si>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</si>
  <si>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</si>
  <si>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</si>
  <si>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</si>
  <si>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</si>
  <si>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</si>
  <si>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</si>
  <si>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</si>
  <si>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</si>
  <si>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</si>
  <si>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</si>
  <si>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</si>
  <si>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</si>
  <si>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</si>
  <si>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</si>
  <si>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</si>
  <si>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</si>
  <si>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</si>
  <si>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</si>
  <si>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</si>
  <si>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t>Длина пильная</t>
  </si>
  <si>
    <t>Ширина пильная</t>
  </si>
  <si>
    <t>Итого деталей:</t>
  </si>
  <si>
    <t>Итого м.п. кромки б/к:</t>
  </si>
  <si>
    <t>Итого м2 б/к:</t>
  </si>
  <si>
    <t>Присадка</t>
  </si>
  <si>
    <t>Длина готового</t>
  </si>
  <si>
    <t>Шт</t>
  </si>
  <si>
    <t>Толщи-на</t>
  </si>
  <si>
    <t>камень_Akrilika MA-502 Everest 3660*760*12 б/к</t>
  </si>
  <si>
    <t>Склейка 28 ДСП</t>
  </si>
  <si>
    <t>МДФ 2800х2070х16 лам. Белый 2 ст. б/к</t>
  </si>
  <si>
    <t>стена</t>
  </si>
  <si>
    <t>ЛДСП Lamarty 2750*1830*16мм Вулканический серый б/к</t>
  </si>
  <si>
    <t>ЛДСП FB68 Ares 2800х2070х18</t>
  </si>
  <si>
    <t>KHR Глянец</t>
  </si>
  <si>
    <t>пластик ПОДКЛАДОЧНЫЙ б/к</t>
  </si>
  <si>
    <t>ПВХ 0,4х19 Белый б/к</t>
  </si>
  <si>
    <t>ПВХ 0,4х19 Вулканический серый б/к</t>
  </si>
  <si>
    <t>Кромка ABS FB68 Ares 1х22</t>
  </si>
  <si>
    <t>водоотбойник цоколя 19мм</t>
  </si>
  <si>
    <t>TANDEMBOX antaro, ручка с поводком д/внутр.ящика, серая</t>
  </si>
  <si>
    <t>AVENTOS HK-XS TIP-ON, силовой механизм 15</t>
  </si>
  <si>
    <t>AVENTOS HK-XS, крепление в корпусе</t>
  </si>
  <si>
    <t>AVENTOS HK-XS, крепление фасада</t>
  </si>
  <si>
    <t>2-уровн сушка в базу 600/16 бронза</t>
  </si>
  <si>
    <t>86° Ограничитель угла открывания для петли 110°(BLUM)</t>
  </si>
  <si>
    <t>86° Ограничитель угла открывания для петли 107°(BLUM)</t>
  </si>
  <si>
    <t>BLUM Tip-on длинный 38 мм</t>
  </si>
  <si>
    <t>BLUM Tip-on короткий 18 мм</t>
  </si>
  <si>
    <t>400 х 400</t>
  </si>
  <si>
    <t>эксцентриковая стяжка с заглушкой</t>
  </si>
  <si>
    <t>евровинт 7*50</t>
  </si>
  <si>
    <t>петля BLUM вкладная под фальшпанель 83° с доводчиком</t>
  </si>
  <si>
    <t>ящик Blum TANDEMBOX antaro D (224мм) царги М - 1 релинг, глуб. 500мм, Белый шелк</t>
  </si>
  <si>
    <t>лоток для столовых приборов</t>
  </si>
  <si>
    <t>ящик внутренний Blum TANDEMBOX antaro M (106мм), глуб. 500мм, Белый шелк</t>
  </si>
  <si>
    <t>ящик Blum TANDEMBOX antaro M (98,5мм), глуб. 500мм, Белый шелк</t>
  </si>
  <si>
    <t>подпятник регулируемый М6 белый</t>
  </si>
  <si>
    <t>петля BLUM накладная 110° с доводчиком</t>
  </si>
  <si>
    <t>уголок крепежный 20х20х16мм с пласт. крышкой (в цвет корпуса)</t>
  </si>
  <si>
    <t>евронавес Scarpi с заглушкой и шиной Правый</t>
  </si>
  <si>
    <t>евронавес Scarpi с заглушкой и шиной Левый</t>
  </si>
  <si>
    <t>шахта вытяжки вертикальная 125мм</t>
  </si>
  <si>
    <t>петля BLUM накладная 110° Без пружины</t>
  </si>
  <si>
    <t>стяжка VB 35М/16</t>
  </si>
  <si>
    <t>стеклокерамика</t>
  </si>
  <si>
    <t>подвеска полок скрытая, правая</t>
  </si>
  <si>
    <t>заглушка d.10мм для подвески арт.818, белая</t>
  </si>
  <si>
    <t>кронштейн 60х28мм для подвески полок, оцинкованный</t>
  </si>
  <si>
    <t>подвеска полок скрытая, левая</t>
  </si>
  <si>
    <t>скрытая ручка 901056</t>
  </si>
  <si>
    <t>пластик EGGER W908 SM белый базовый 2800*1310*0,8 б/к</t>
  </si>
  <si>
    <t>пластик EGGER U763 ST9 cерый перламутровый 2800*1310*0,8 б/к</t>
  </si>
  <si>
    <t>ПВХ 2х19 EGGER W908 SM белый базовый б/к</t>
  </si>
  <si>
    <t>ПВХ 0,4х35 Белый б/к</t>
  </si>
  <si>
    <t>древесный</t>
  </si>
  <si>
    <t>ПВХ 2х19 EGGER U763 ST9 cерый перламутровый б/к</t>
  </si>
  <si>
    <t>ПВХ 0,4х19 EGGER W908 SM белый базовый б/к</t>
  </si>
  <si>
    <t>сушилка Variant 3 2-уровневая 800</t>
  </si>
  <si>
    <t>встраиваемая посудомоечная машина PM 4542</t>
  </si>
  <si>
    <t>газовый лифт Boyard N100 с фикс. положения, GL104GR/100/3</t>
  </si>
  <si>
    <t>шариковые направляющие Master DB4504Zn/500</t>
  </si>
  <si>
    <t>фасадный эксцентрик</t>
  </si>
  <si>
    <t>опора кухонная Н=100</t>
  </si>
  <si>
    <t>заглушка тех. отверстия D5</t>
  </si>
  <si>
    <t>полкодержатель (боченок)</t>
  </si>
  <si>
    <t>стяжка для столешницы М6 Х 100</t>
  </si>
  <si>
    <t>TANDEM, замок, левый T51.1700.04</t>
  </si>
  <si>
    <t>TANDEM, замок, правый T51.1700.04</t>
  </si>
  <si>
    <t>направляющие Tandem с BLUMOTION, полного выдв., 30кг, 300мм, комплект</t>
  </si>
  <si>
    <t>ящик Blum TANDEMBOX antaro D (224мм) царги М - 1 релинг, глуб. 300мм, Белый шелк</t>
  </si>
  <si>
    <t>белый</t>
  </si>
  <si>
    <t>водоотбойник цоколя для плит 19мм</t>
  </si>
  <si>
    <t>камень1</t>
  </si>
  <si>
    <t>вишня Оксфорд</t>
  </si>
  <si>
    <t>graphite</t>
  </si>
  <si>
    <t>груша дикая (светлая)</t>
  </si>
  <si>
    <t>ЛДСП 16 SwissKrono D4091 Юта 2750х1830 б/к</t>
  </si>
  <si>
    <t>ЛМДФ 2800*2070*22 Белый 2 ст. б/к</t>
  </si>
  <si>
    <t>эмаль KKR мат. б/к</t>
  </si>
  <si>
    <t>анодированный</t>
  </si>
  <si>
    <t>крепление полкодержателя</t>
  </si>
  <si>
    <t>крепление штанги для одежды</t>
  </si>
  <si>
    <t>угловое соединение профилей под 90°</t>
  </si>
  <si>
    <t>стеновое крепление</t>
  </si>
  <si>
    <t>регулируемое основание ножки</t>
  </si>
  <si>
    <t>напр .Tandem+Bl. 400мм п.выдв. с замками</t>
  </si>
  <si>
    <t>напр .Tandem+Bl. 300мм п.выдв. с замками</t>
  </si>
  <si>
    <t>бок. стабил. к TANDEM част. выдв. 550/551 До ном. длины 650мм, до ШК 1400мм</t>
  </si>
  <si>
    <t>штанга</t>
  </si>
  <si>
    <t>эмаль NCS S 1002-Y50R мат. б/к</t>
  </si>
  <si>
    <t>ПВХ 0,4х19 SwissKrono D4091 Юта б/к</t>
  </si>
  <si>
    <t>ЛДСП 16 SwissKrono D4092 MX Винтерберг 2750х1830 б/к</t>
  </si>
  <si>
    <t>ПВХ 0,4х19 SwissKrono D4092 MX Винтерберг б/к</t>
  </si>
  <si>
    <t>напр .Tandem+Bl. 550мм п.выдв. с замками</t>
  </si>
  <si>
    <t>уголок Grandis 22 +заглушка в цвет</t>
  </si>
  <si>
    <t>знак</t>
  </si>
  <si>
    <t>Ширина гото-вого</t>
  </si>
  <si>
    <t>ЛМДФ 2800*2070*16 Белый 2 ст. б/к</t>
  </si>
  <si>
    <t>склейка МДФ 20 шлиф. б/к</t>
  </si>
  <si>
    <t>26.02.2022 17:19:47</t>
  </si>
  <si>
    <t>26.02.2022 17:19:49</t>
  </si>
  <si>
    <t>Лебедев</t>
  </si>
  <si>
    <t>КРОМКА Лебедев</t>
  </si>
  <si>
    <t>РАСПИЛ Лебедев</t>
  </si>
  <si>
    <t>СБОРКА Лебедев</t>
  </si>
  <si>
    <t>эмаль RAL 9002 матовый</t>
  </si>
  <si>
    <t>Кромка H1181 ST37 Дуб Галифакс табак 2х19 б/к</t>
  </si>
  <si>
    <t>Кромка H1181 ST37 Дуб Галифакс табак 2х35 б/к</t>
  </si>
  <si>
    <t>МДФ 2800х2070х19 лам. Белый 2 ст. б/к</t>
  </si>
  <si>
    <t>камень листовой 12мм</t>
  </si>
  <si>
    <t>ЛДСП Egger H1181 ST37 Дуб Галифакс табак 2800х2070х16 б/к</t>
  </si>
  <si>
    <t>склейка*32 ЛДСП Egger H1181 ST37 Дуб Галифакс табак 2800х2070 б/к</t>
  </si>
  <si>
    <t>26.02.2022 17:52:42</t>
  </si>
  <si>
    <t>26.02.2022 17:52:43</t>
  </si>
  <si>
    <t>26.02.2022 17:52:44</t>
  </si>
  <si>
    <t>26.02.2022 17:52:46</t>
  </si>
  <si>
    <t>26.02.2022 17:52:47</t>
  </si>
  <si>
    <t>26.02.2022 17:52:48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</si>
</sst>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
      <b/>
      <i/>
      <sz val="10"/>
      <color theme="1"/>
      <name val="Calibri"/>
      <family val="2"/>
      <charset val="204"/>
      <scheme val="minor"/>
    </font>
    <font>
      <u val="double"/>
      <sz val="11"/>
      <color theme="1"/>
      <name val="Calibri"/>
      <family val="2"/>
      <charset val="204"/>
      <scheme val="minor"/>
    </font>
    <font>
      <u/>
      <sz val="11"/>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12">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cellStyleXfs>
  <cellXfs count="116">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xf numFmtId="1" fontId="2" fillId="0" borderId="8" xfId="0" applyNumberFormat="1" applyFont="1" applyBorder="1" applyAlignment="1">
      <alignment vertical="center"/>
    </xf>
    <xf numFmtId="0" fontId="17" fillId="0" borderId="1" xfId="0" applyFont="1" applyBorder="1" applyAlignment="1">
      <alignment horizontal="center" vertical="center" wrapText="1"/>
    </xf>
    <xf numFmtId="0" fontId="0" fillId="0" borderId="3" xfId="0" applyFont="1" applyBorder="1"/>
    <xf numFmtId="2" fontId="2" fillId="0" borderId="8" xfId="0" applyNumberFormat="1" applyFont="1" applyBorder="1"/>
    <xf numFmtId="0" fontId="11" fillId="0" borderId="1" xfId="0" applyFont="1" applyBorder="1" applyAlignment="1">
      <alignment horizontal="center" vertical="center" wrapText="1"/>
    </xf>
    <xf numFmtId="0" fontId="7" fillId="0" borderId="1" xfId="0" applyFont="1" applyBorder="1" applyAlignment="1">
      <alignment horizontal="center" vertical="center" wrapText="1"/>
    </xf>
    <xf numFmtId="49" fontId="15" fillId="0" borderId="9" xfId="0" applyNumberFormat="1" applyFont="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0" fillId="0" borderId="10" xfId="0" applyBorder="1" applyAlignment="1">
      <alignment horizontal="center" vertical="center"/>
    </xf>
    <xf numFmtId="0" fontId="4" fillId="0" borderId="1" xfId="0" applyFont="1" applyBorder="1"/>
    <xf numFmtId="0" fontId="0" fillId="0" borderId="11" xfId="0" applyBorder="1"/>
    <xf numFmtId="0" fontId="0" fillId="0" borderId="11" xfId="0" applyBorder="1" applyAlignment="1">
      <alignment horizontal="center" vertical="center"/>
    </xf>
    <xf numFmtId="0" fontId="0" fillId="0" borderId="11" xfId="0" applyBorder="1" applyAlignment="1">
      <alignment wrapText="1"/>
    </xf>
    <xf numFmtId="0" fontId="0" fillId="0" borderId="10" xfId="0" applyBorder="1" applyAlignment="1">
      <alignment horizontal="left" vertical="center" wrapText="1"/>
    </xf>
    <xf numFmtId="0" fontId="2" fillId="0" borderId="10" xfId="0" applyFont="1" applyBorder="1" applyAlignment="1">
      <alignment horizontal="center" vertical="center"/>
    </xf>
    <xf numFmtId="0" fontId="18" fillId="0" borderId="10" xfId="0" applyFont="1" applyBorder="1" applyAlignment="1">
      <alignment horizontal="center" vertical="center"/>
    </xf>
    <xf numFmtId="0" fontId="19" fillId="0" borderId="10" xfId="0" applyFont="1" applyBorder="1" applyAlignment="1">
      <alignment horizontal="center" vertical="center"/>
    </xf>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xf numFmtId="49" fontId="15" fillId="0" borderId="11" xfId="0" applyNumberFormat="1" applyFont="1" applyBorder="1" applyAlignment="1">
      <alignment horizontal="center"/>
    </xf>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0</xdr:row>
          <xdr:rowOff>171450</xdr:rowOff>
        </xdr:from>
        <xdr:to>
          <xdr:col>16</xdr:col>
          <xdr:colOff>1238250</xdr:colOff>
          <xdr:row>1</xdr:row>
          <xdr:rowOff>219075</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933450</xdr:colOff>
          <xdr:row>0</xdr:row>
          <xdr:rowOff>142875</xdr:rowOff>
        </xdr:from>
        <xdr:to>
          <xdr:col>16</xdr:col>
          <xdr:colOff>76200</xdr:colOff>
          <xdr:row>3</xdr:row>
          <xdr:rowOff>57150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0300-000001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323850</xdr:colOff>
          <xdr:row>1</xdr:row>
          <xdr:rowOff>19050</xdr:rowOff>
        </xdr:from>
        <xdr:to>
          <xdr:col>19</xdr:col>
          <xdr:colOff>19050</xdr:colOff>
          <xdr:row>1</xdr:row>
          <xdr:rowOff>390525</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0300-000002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361950</xdr:colOff>
          <xdr:row>0</xdr:row>
          <xdr:rowOff>114300</xdr:rowOff>
        </xdr:from>
        <xdr:to>
          <xdr:col>14</xdr:col>
          <xdr:colOff>0</xdr:colOff>
          <xdr:row>1</xdr:row>
          <xdr:rowOff>304800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4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104775</xdr:colOff>
          <xdr:row>0</xdr:row>
          <xdr:rowOff>142875</xdr:rowOff>
        </xdr:from>
        <xdr:to>
          <xdr:col>15</xdr:col>
          <xdr:colOff>561975</xdr:colOff>
          <xdr:row>1</xdr:row>
          <xdr:rowOff>276225</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400-000002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180975</xdr:colOff>
          <xdr:row>0</xdr:row>
          <xdr:rowOff>180975</xdr:rowOff>
        </xdr:from>
        <xdr:to>
          <xdr:col>15</xdr:col>
          <xdr:colOff>371475</xdr:colOff>
          <xdr:row>1</xdr:row>
          <xdr:rowOff>371475</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AB8C75D8-0F01-4015-8D22-4B47934474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600075</xdr:colOff>
          <xdr:row>0</xdr:row>
          <xdr:rowOff>209550</xdr:rowOff>
        </xdr:from>
        <xdr:to>
          <xdr:col>17</xdr:col>
          <xdr:colOff>485775</xdr:colOff>
          <xdr:row>1</xdr:row>
          <xdr:rowOff>342900</xdr:rowOff>
        </xdr:to>
        <xdr:sp macro="" textlink="">
          <xdr:nvSpPr>
            <xdr:cNvPr id="117762" name="Button 2" hidden="1">
              <a:extLst>
                <a:ext uri="{63B3BB69-23CF-44E3-9099-C40C66FF867C}">
                  <a14:compatExt spid="_x0000_s117762"/>
                </a:ext>
                <a:ext uri="{FF2B5EF4-FFF2-40B4-BE49-F238E27FC236}">
                  <a16:creationId xmlns:a16="http://schemas.microsoft.com/office/drawing/2014/main" id="{387033E1-3734-4203-A196-F6FF79473DD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98"/>
  <sheetViews>
    <sheetView workbookViewId="0">
      <selection activeCell="I10" sqref="I10"/>
    </sheetView>
  </sheetViews>
  <sheetFormatPr defaultRowHeight="15" x14ac:dyDescent="0.25"/>
  <cols>
    <col min="1" max="1" width="50.85546875" customWidth="1"/>
    <col min="2" max="2" width="52" customWidth="1"/>
  </cols>
  <sheetData>
    <row r="1" spans="1:30" s="27" customFormat="1" x14ac:dyDescent="0.25">
      <c r="A1" s="30" t="s">
        <v>41</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30" ht="18.75" x14ac:dyDescent="0.3">
      <c r="A2" s="1" t="s">
        <v>60</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30"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30" x14ac:dyDescent="0.25">
      <c r="A4" s="2" t="s">
        <v>37</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30"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c r="AD5" s="18"/>
    </row>
    <row r="6" spans="1:30"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30"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30"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30" x14ac:dyDescent="0.25">
      <c r="A9" s="2" t="s">
        <v>40</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30" x14ac:dyDescent="0.25">
      <c r="A10" s="3"/>
      <c r="B10" s="4"/>
      <c r="C10" s="46"/>
      <c r="D10" s="62"/>
      <c r="E10" s="63"/>
      <c r="F10" s="5"/>
      <c r="G10" s="43"/>
      <c r="H10" s="59"/>
      <c r="I10" s="104"/>
      <c r="J10" s="3"/>
      <c r="K10" s="3"/>
      <c r="L10" s="55"/>
      <c r="M10" s="56"/>
      <c r="N10" s="30"/>
      <c r="O10" s="30"/>
      <c r="P10" s="30"/>
      <c r="Q10" s="30"/>
      <c r="R10" s="30"/>
      <c r="S10" s="30"/>
      <c r="T10" s="30"/>
      <c r="U10" s="30"/>
      <c r="V10" s="30"/>
      <c r="W10" s="30"/>
      <c r="X10" s="30"/>
      <c r="Y10" s="30"/>
      <c r="Z10" s="30"/>
      <c r="AA10" s="30"/>
      <c r="AB10" s="30"/>
      <c r="AC10" s="30"/>
    </row>
    <row r="11" spans="1:30"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30"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30"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30" x14ac:dyDescent="0.25">
      <c r="A14" s="2" t="s">
        <v>38</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30"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61</v>
      </c>
      <c r="B17" s="2" t="s">
        <v>42</v>
      </c>
    </row>
    <row r="18" spans="1:6" ht="15.75" x14ac:dyDescent="0.25">
      <c r="B18" s="31" t="s">
        <v>44</v>
      </c>
    </row>
    <row r="19" spans="1:6" x14ac:dyDescent="0.25">
      <c r="B19" t="s">
        <v>45</v>
      </c>
    </row>
    <row r="20" spans="1:6" ht="15.75" x14ac:dyDescent="0.25">
      <c r="B20" s="31" t="s">
        <v>43</v>
      </c>
    </row>
    <row r="21" spans="1:6" x14ac:dyDescent="0.25">
      <c r="B21" t="s">
        <v>46</v>
      </c>
    </row>
    <row r="22" spans="1:6" x14ac:dyDescent="0.25">
      <c r="B22" s="2" t="s">
        <v>54</v>
      </c>
    </row>
    <row r="23" spans="1:6" x14ac:dyDescent="0.25">
      <c r="B23" s="30" t="s">
        <v>57</v>
      </c>
    </row>
    <row r="24" spans="1:6" x14ac:dyDescent="0.25">
      <c r="B24" t="s">
        <v>59</v>
      </c>
    </row>
    <row r="26" spans="1:6" s="30" customFormat="1" ht="21" x14ac:dyDescent="0.35">
      <c r="A26" s="79" t="s">
        <v>84</v>
      </c>
    </row>
    <row r="27" spans="1:6" s="30" customFormat="1" x14ac:dyDescent="0.25"/>
    <row r="28" spans="1:6" s="30" customFormat="1" ht="15.75" x14ac:dyDescent="0.25">
      <c r="A28" s="2" t="s">
        <v>62</v>
      </c>
      <c r="F28" s="31" t="s">
        <v>63</v>
      </c>
    </row>
    <row r="29" spans="1:6" s="30" customFormat="1" x14ac:dyDescent="0.25">
      <c r="A29" s="72" t="s">
        <v>3</v>
      </c>
      <c r="B29" s="72" t="s">
        <v>64</v>
      </c>
      <c r="C29" s="72" t="s">
        <v>65</v>
      </c>
      <c r="F29" s="73" t="s">
        <v>66</v>
      </c>
    </row>
    <row r="30" spans="1:6" s="30" customFormat="1" x14ac:dyDescent="0.25">
      <c r="F30" s="30" t="s">
        <v>67</v>
      </c>
    </row>
    <row r="31" spans="1:6" s="30" customFormat="1" x14ac:dyDescent="0.25">
      <c r="A31" s="74" t="s">
        <v>68</v>
      </c>
      <c r="C31" s="75"/>
      <c r="F31" s="30" t="s">
        <v>69</v>
      </c>
    </row>
    <row r="32" spans="1:6" s="30" customFormat="1" x14ac:dyDescent="0.25">
      <c r="A32" s="72" t="s">
        <v>3</v>
      </c>
      <c r="B32" s="72" t="s">
        <v>64</v>
      </c>
      <c r="C32" s="72" t="s">
        <v>65</v>
      </c>
    </row>
    <row r="33" spans="1:6" s="30" customFormat="1" x14ac:dyDescent="0.25">
      <c r="F33" s="30" t="s">
        <v>86</v>
      </c>
    </row>
    <row r="34" spans="1:6" s="30" customFormat="1" x14ac:dyDescent="0.25">
      <c r="A34" s="2" t="s">
        <v>70</v>
      </c>
      <c r="B34" s="2"/>
      <c r="C34" s="76"/>
    </row>
    <row r="35" spans="1:6" s="30" customFormat="1" x14ac:dyDescent="0.25">
      <c r="A35" s="72" t="s">
        <v>3</v>
      </c>
      <c r="B35" s="72" t="s">
        <v>71</v>
      </c>
      <c r="C35" s="77">
        <v>1.2</v>
      </c>
    </row>
    <row r="36" spans="1:6" s="30" customFormat="1" x14ac:dyDescent="0.25"/>
    <row r="37" spans="1:6" s="30" customFormat="1" x14ac:dyDescent="0.25">
      <c r="A37" s="2" t="s">
        <v>73</v>
      </c>
      <c r="C37" s="75"/>
    </row>
    <row r="38" spans="1:6" s="30" customFormat="1" x14ac:dyDescent="0.25">
      <c r="A38" s="72" t="s">
        <v>74</v>
      </c>
      <c r="B38" s="72" t="s">
        <v>75</v>
      </c>
      <c r="C38" s="72" t="s">
        <v>76</v>
      </c>
    </row>
    <row r="39" spans="1:6" s="30" customFormat="1" x14ac:dyDescent="0.25"/>
    <row r="40" spans="1:6" s="30" customFormat="1" x14ac:dyDescent="0.25">
      <c r="A40" s="74" t="s">
        <v>77</v>
      </c>
      <c r="B40" s="78"/>
      <c r="C40" s="78"/>
    </row>
    <row r="41" spans="1:6" s="30" customFormat="1" x14ac:dyDescent="0.25">
      <c r="A41" s="72" t="s">
        <v>74</v>
      </c>
      <c r="B41" s="72" t="s">
        <v>78</v>
      </c>
      <c r="C41" s="72" t="s">
        <v>76</v>
      </c>
    </row>
    <row r="42" spans="1:6" s="30" customFormat="1" x14ac:dyDescent="0.25"/>
    <row r="43" spans="1:6" s="30" customFormat="1" ht="18.75" x14ac:dyDescent="0.3">
      <c r="A43" s="1" t="s">
        <v>79</v>
      </c>
    </row>
    <row r="44" spans="1:6" s="30" customFormat="1" x14ac:dyDescent="0.25"/>
    <row r="45" spans="1:6" x14ac:dyDescent="0.25">
      <c r="A45" s="30"/>
      <c r="B45" s="30"/>
      <c r="C45" s="30"/>
      <c r="D45" s="30"/>
      <c r="E45" s="30"/>
      <c r="F45" s="30"/>
    </row>
    <row r="46" spans="1:6" x14ac:dyDescent="0.25">
      <c r="A46" s="2" t="s">
        <v>80</v>
      </c>
      <c r="B46" s="30"/>
      <c r="C46" s="30"/>
      <c r="D46" s="30"/>
      <c r="E46" s="30"/>
      <c r="F46" s="30"/>
    </row>
    <row r="47" spans="1:6" s="30" customFormat="1" x14ac:dyDescent="0.25">
      <c r="A47" s="30" t="s">
        <v>81</v>
      </c>
    </row>
    <row r="48" spans="1:6" s="30" customFormat="1" x14ac:dyDescent="0.25">
      <c r="A48" s="30" t="s">
        <v>82</v>
      </c>
    </row>
    <row r="49" spans="1:6" s="30" customFormat="1" x14ac:dyDescent="0.25">
      <c r="A49" s="2" t="s">
        <v>83</v>
      </c>
    </row>
    <row r="50" spans="1:6" s="30" customFormat="1" x14ac:dyDescent="0.25"/>
    <row r="51" spans="1:6" s="30" customFormat="1" ht="21" x14ac:dyDescent="0.35">
      <c r="A51" s="79" t="s">
        <v>85</v>
      </c>
      <c r="F51" s="31" t="s">
        <v>63</v>
      </c>
    </row>
    <row r="52" spans="1:6" s="30" customFormat="1" x14ac:dyDescent="0.25">
      <c r="F52" s="30" t="s">
        <v>72</v>
      </c>
    </row>
    <row r="53" spans="1:6" x14ac:dyDescent="0.25">
      <c r="F53" t="s">
        <v>89</v>
      </c>
    </row>
    <row r="54" spans="1:6" ht="18.75" x14ac:dyDescent="0.3">
      <c r="A54" s="1" t="s">
        <v>54</v>
      </c>
      <c r="B54" t="s">
        <v>91</v>
      </c>
      <c r="F54" t="s">
        <v>90</v>
      </c>
    </row>
    <row r="55" spans="1:6" x14ac:dyDescent="0.25">
      <c r="A55" s="64" t="s">
        <v>55</v>
      </c>
      <c r="B55" s="64" t="s">
        <v>56</v>
      </c>
    </row>
    <row r="56" spans="1:6" s="30" customFormat="1" x14ac:dyDescent="0.25">
      <c r="A56" s="100" t="s">
        <v>93</v>
      </c>
      <c r="B56" s="100" t="s">
        <v>93</v>
      </c>
    </row>
    <row r="57" spans="1:6" s="30" customFormat="1" x14ac:dyDescent="0.25">
      <c r="A57" s="100" t="s">
        <v>87</v>
      </c>
      <c r="B57" s="100" t="s">
        <v>87</v>
      </c>
    </row>
    <row r="58" spans="1:6" s="30" customFormat="1" x14ac:dyDescent="0.25">
      <c r="A58" s="100" t="s">
        <v>88</v>
      </c>
      <c r="B58" s="100" t="s">
        <v>88</v>
      </c>
    </row>
    <row r="59" spans="1:6" s="30" customFormat="1" x14ac:dyDescent="0.25">
      <c r="A59" s="100" t="s">
        <v>95</v>
      </c>
      <c r="B59" s="100" t="s">
        <v>95</v>
      </c>
    </row>
    <row r="60" spans="1:6" s="30" customFormat="1" x14ac:dyDescent="0.25">
      <c r="A60" s="100" t="s">
        <v>92</v>
      </c>
      <c r="B60" s="100" t="s">
        <v>92</v>
      </c>
    </row>
    <row r="61" spans="1:6" s="30" customFormat="1" x14ac:dyDescent="0.25">
      <c r="A61" s="100" t="s">
        <v>94</v>
      </c>
      <c r="B61" s="100" t="s">
        <v>94</v>
      </c>
    </row>
    <row r="62" spans="1:6" s="30" customFormat="1" x14ac:dyDescent="0.25">
      <c r="A62" s="100" t="s">
        <v>149</v>
      </c>
      <c r="B62" s="100" t="s">
        <v>149</v>
      </c>
    </row>
    <row r="63" spans="1:6" s="30" customFormat="1" x14ac:dyDescent="0.25">
      <c r="A63" s="100" t="s">
        <v>150</v>
      </c>
      <c r="B63" s="100" t="s">
        <v>150</v>
      </c>
    </row>
    <row r="64" spans="1:6" s="30" customFormat="1" x14ac:dyDescent="0.25">
      <c r="A64" s="100" t="s">
        <v>113</v>
      </c>
      <c r="B64" s="100" t="s">
        <v>113</v>
      </c>
    </row>
    <row r="65" spans="1:2" s="30" customFormat="1" x14ac:dyDescent="0.25">
      <c r="A65" s="100" t="s">
        <v>151</v>
      </c>
      <c r="B65" s="100" t="s">
        <v>151</v>
      </c>
    </row>
    <row r="66" spans="1:2" s="30" customFormat="1" x14ac:dyDescent="0.25">
      <c r="A66" s="100" t="s">
        <v>152</v>
      </c>
      <c r="B66" s="100" t="s">
        <v>152</v>
      </c>
    </row>
    <row r="67" spans="1:2" s="30" customFormat="1" x14ac:dyDescent="0.25">
      <c r="A67" s="100" t="s">
        <v>153</v>
      </c>
      <c r="B67" s="100" t="s">
        <v>153</v>
      </c>
    </row>
    <row r="68" spans="1:2" s="30" customFormat="1" x14ac:dyDescent="0.25">
      <c r="A68" s="100" t="s">
        <v>154</v>
      </c>
      <c r="B68" s="100" t="s">
        <v>154</v>
      </c>
    </row>
    <row r="69" spans="1:2" s="30" customFormat="1" x14ac:dyDescent="0.25">
      <c r="A69" s="100" t="s">
        <v>155</v>
      </c>
      <c r="B69" s="100" t="s">
        <v>155</v>
      </c>
    </row>
    <row r="70" spans="1:2" s="30" customFormat="1" x14ac:dyDescent="0.25">
      <c r="A70" s="100" t="s">
        <v>138</v>
      </c>
      <c r="B70" s="100" t="s">
        <v>138</v>
      </c>
    </row>
    <row r="71" spans="1:2" s="30" customFormat="1" x14ac:dyDescent="0.25">
      <c r="A71" s="100" t="s">
        <v>139</v>
      </c>
      <c r="B71" s="100" t="s">
        <v>139</v>
      </c>
    </row>
    <row r="72" spans="1:2" s="30" customFormat="1" x14ac:dyDescent="0.25">
      <c r="A72" s="100" t="s">
        <v>136</v>
      </c>
      <c r="B72" s="100" t="s">
        <v>136</v>
      </c>
    </row>
    <row r="73" spans="1:2" s="30" customFormat="1" x14ac:dyDescent="0.25">
      <c r="A73" s="100" t="s">
        <v>123</v>
      </c>
      <c r="B73" s="100" t="s">
        <v>123</v>
      </c>
    </row>
    <row r="74" spans="1:2" s="30" customFormat="1" x14ac:dyDescent="0.25">
      <c r="A74" s="100" t="s">
        <v>128</v>
      </c>
      <c r="B74" s="100" t="s">
        <v>128</v>
      </c>
    </row>
    <row r="75" spans="1:2" s="30" customFormat="1" x14ac:dyDescent="0.25">
      <c r="A75" s="100" t="s">
        <v>156</v>
      </c>
      <c r="B75" s="100" t="s">
        <v>156</v>
      </c>
    </row>
    <row r="76" spans="1:2" s="30" customFormat="1" x14ac:dyDescent="0.25">
      <c r="A76" s="100" t="s">
        <v>129</v>
      </c>
      <c r="B76" s="100" t="s">
        <v>129</v>
      </c>
    </row>
    <row r="77" spans="1:2" s="30" customFormat="1" x14ac:dyDescent="0.25">
      <c r="A77" s="100" t="s">
        <v>137</v>
      </c>
      <c r="B77" s="100" t="s">
        <v>137</v>
      </c>
    </row>
    <row r="78" spans="1:2" s="30" customFormat="1" x14ac:dyDescent="0.25">
      <c r="A78" s="100" t="s">
        <v>135</v>
      </c>
      <c r="B78" s="100" t="s">
        <v>135</v>
      </c>
    </row>
    <row r="79" spans="1:2" s="30" customFormat="1" x14ac:dyDescent="0.25">
      <c r="A79" s="100" t="s">
        <v>157</v>
      </c>
      <c r="B79" s="100" t="s">
        <v>157</v>
      </c>
    </row>
    <row r="80" spans="1:2" s="30" customFormat="1" x14ac:dyDescent="0.25">
      <c r="A80" s="100" t="s">
        <v>130</v>
      </c>
      <c r="B80" s="100" t="s">
        <v>130</v>
      </c>
    </row>
    <row r="81" spans="1:2" s="30" customFormat="1" x14ac:dyDescent="0.25">
      <c r="A81" s="100" t="s">
        <v>158</v>
      </c>
      <c r="B81" s="100" t="s">
        <v>158</v>
      </c>
    </row>
    <row r="82" spans="1:2" s="30" customFormat="1" x14ac:dyDescent="0.25">
      <c r="A82" s="100" t="s">
        <v>131</v>
      </c>
      <c r="B82" s="100" t="s">
        <v>131</v>
      </c>
    </row>
    <row r="83" spans="1:2" s="30" customFormat="1" x14ac:dyDescent="0.25">
      <c r="A83" s="100" t="s">
        <v>134</v>
      </c>
      <c r="B83" s="100" t="s">
        <v>134</v>
      </c>
    </row>
    <row r="84" spans="1:2" s="30" customFormat="1" x14ac:dyDescent="0.25">
      <c r="A84" s="100" t="s">
        <v>159</v>
      </c>
      <c r="B84" s="100" t="s">
        <v>159</v>
      </c>
    </row>
    <row r="85" spans="1:2" s="30" customFormat="1" x14ac:dyDescent="0.25">
      <c r="A85" s="100" t="s">
        <v>160</v>
      </c>
      <c r="B85" s="100" t="s">
        <v>160</v>
      </c>
    </row>
    <row r="86" spans="1:2" s="30" customFormat="1" x14ac:dyDescent="0.25">
      <c r="A86" s="100" t="s">
        <v>161</v>
      </c>
      <c r="B86" s="100" t="s">
        <v>161</v>
      </c>
    </row>
    <row r="87" spans="1:2" s="30" customFormat="1" x14ac:dyDescent="0.25">
      <c r="A87" s="100" t="s">
        <v>162</v>
      </c>
      <c r="B87" s="100" t="s">
        <v>162</v>
      </c>
    </row>
    <row r="88" spans="1:2" s="30" customFormat="1" x14ac:dyDescent="0.25">
      <c r="A88" s="100" t="s">
        <v>163</v>
      </c>
      <c r="B88" s="100" t="s">
        <v>163</v>
      </c>
    </row>
    <row r="89" spans="1:2" s="30" customFormat="1" x14ac:dyDescent="0.25">
      <c r="A89" s="100" t="s">
        <v>164</v>
      </c>
      <c r="B89" s="100" t="s">
        <v>164</v>
      </c>
    </row>
    <row r="90" spans="1:2" s="30" customFormat="1" x14ac:dyDescent="0.25">
      <c r="A90" s="100" t="s">
        <v>165</v>
      </c>
      <c r="B90" s="100" t="s">
        <v>165</v>
      </c>
    </row>
    <row r="91" spans="1:2" s="30" customFormat="1" x14ac:dyDescent="0.25">
      <c r="A91" s="100" t="s">
        <v>166</v>
      </c>
      <c r="B91" s="100" t="s">
        <v>166</v>
      </c>
    </row>
    <row r="92" spans="1:2" s="30" customFormat="1" x14ac:dyDescent="0.25">
      <c r="A92" s="100" t="s">
        <v>167</v>
      </c>
      <c r="B92" s="100" t="s">
        <v>167</v>
      </c>
    </row>
    <row r="93" spans="1:2" s="30" customFormat="1" x14ac:dyDescent="0.25">
      <c r="A93" s="100" t="s">
        <v>168</v>
      </c>
      <c r="B93" s="100" t="s">
        <v>168</v>
      </c>
    </row>
    <row r="94" spans="1:2" s="30" customFormat="1" x14ac:dyDescent="0.25">
      <c r="A94" s="100" t="s">
        <v>169</v>
      </c>
      <c r="B94" s="100" t="s">
        <v>169</v>
      </c>
    </row>
    <row r="95" spans="1:2" s="30" customFormat="1" x14ac:dyDescent="0.25">
      <c r="A95" s="100" t="s">
        <v>148</v>
      </c>
      <c r="B95" s="100" t="s">
        <v>148</v>
      </c>
    </row>
    <row r="96" spans="1:2" s="30" customFormat="1" x14ac:dyDescent="0.25">
      <c r="A96" s="100" t="s">
        <v>170</v>
      </c>
      <c r="B96" s="100" t="s">
        <v>170</v>
      </c>
    </row>
    <row r="97" spans="1:2" s="30" customFormat="1" x14ac:dyDescent="0.25">
      <c r="A97" s="100" t="s">
        <v>171</v>
      </c>
      <c r="B97" s="100" t="s">
        <v>171</v>
      </c>
    </row>
    <row r="98" spans="1:2" s="30" customFormat="1" x14ac:dyDescent="0.25">
      <c r="A98" s="100" t="s">
        <v>172</v>
      </c>
      <c r="B98" s="100" t="s">
        <v>172</v>
      </c>
    </row>
    <row r="99" spans="1:2" s="30" customFormat="1" x14ac:dyDescent="0.25">
      <c r="A99" s="100" t="s">
        <v>173</v>
      </c>
      <c r="B99" s="100" t="s">
        <v>173</v>
      </c>
    </row>
    <row r="100" spans="1:2" s="30" customFormat="1" x14ac:dyDescent="0.25">
      <c r="A100" s="100" t="s">
        <v>174</v>
      </c>
      <c r="B100" s="100" t="s">
        <v>174</v>
      </c>
    </row>
    <row r="101" spans="1:2" s="30" customFormat="1" x14ac:dyDescent="0.25">
      <c r="A101" s="100" t="s">
        <v>114</v>
      </c>
      <c r="B101" s="100" t="s">
        <v>114</v>
      </c>
    </row>
    <row r="102" spans="1:2" s="30" customFormat="1" x14ac:dyDescent="0.25">
      <c r="A102" s="100" t="s">
        <v>106</v>
      </c>
      <c r="B102" s="100" t="s">
        <v>106</v>
      </c>
    </row>
    <row r="103" spans="1:2" s="30" customFormat="1" x14ac:dyDescent="0.25">
      <c r="A103" s="100" t="s">
        <v>115</v>
      </c>
      <c r="B103" s="100" t="s">
        <v>115</v>
      </c>
    </row>
    <row r="104" spans="1:2" s="30" customFormat="1" x14ac:dyDescent="0.25">
      <c r="A104" s="100" t="s">
        <v>107</v>
      </c>
      <c r="B104" s="100" t="s">
        <v>107</v>
      </c>
    </row>
    <row r="105" spans="1:2" s="30" customFormat="1" x14ac:dyDescent="0.25">
      <c r="A105" s="100" t="s">
        <v>116</v>
      </c>
      <c r="B105" s="100" t="s">
        <v>116</v>
      </c>
    </row>
    <row r="106" spans="1:2" s="30" customFormat="1" x14ac:dyDescent="0.25">
      <c r="A106" s="100" t="s">
        <v>108</v>
      </c>
      <c r="B106" s="100" t="s">
        <v>108</v>
      </c>
    </row>
    <row r="107" spans="1:2" s="30" customFormat="1" x14ac:dyDescent="0.25">
      <c r="A107" s="100" t="s">
        <v>112</v>
      </c>
      <c r="B107" s="100" t="s">
        <v>112</v>
      </c>
    </row>
    <row r="108" spans="1:2" s="30" customFormat="1" x14ac:dyDescent="0.25">
      <c r="A108" s="100" t="s">
        <v>110</v>
      </c>
      <c r="B108" s="100" t="s">
        <v>110</v>
      </c>
    </row>
    <row r="109" spans="1:2" s="30" customFormat="1" x14ac:dyDescent="0.25">
      <c r="A109" s="100" t="s">
        <v>111</v>
      </c>
      <c r="B109" s="100" t="s">
        <v>111</v>
      </c>
    </row>
    <row r="110" spans="1:2" s="30" customFormat="1" x14ac:dyDescent="0.25">
      <c r="A110" s="100" t="s">
        <v>175</v>
      </c>
      <c r="B110" s="100" t="s">
        <v>175</v>
      </c>
    </row>
    <row r="111" spans="1:2" s="30" customFormat="1" x14ac:dyDescent="0.25">
      <c r="A111" s="100" t="s">
        <v>176</v>
      </c>
      <c r="B111" s="100" t="s">
        <v>176</v>
      </c>
    </row>
    <row r="112" spans="1:2" s="30" customFormat="1" x14ac:dyDescent="0.25">
      <c r="A112" s="100" t="s">
        <v>177</v>
      </c>
      <c r="B112" s="100" t="s">
        <v>177</v>
      </c>
    </row>
    <row r="113" spans="1:2" s="30" customFormat="1" x14ac:dyDescent="0.25">
      <c r="A113" s="100" t="s">
        <v>178</v>
      </c>
      <c r="B113" s="100" t="s">
        <v>178</v>
      </c>
    </row>
    <row r="114" spans="1:2" s="30" customFormat="1" x14ac:dyDescent="0.25">
      <c r="A114" s="100" t="s">
        <v>179</v>
      </c>
      <c r="B114" s="100" t="s">
        <v>179</v>
      </c>
    </row>
    <row r="115" spans="1:2" s="30" customFormat="1" x14ac:dyDescent="0.25">
      <c r="A115" s="100" t="s">
        <v>180</v>
      </c>
      <c r="B115" s="100" t="s">
        <v>180</v>
      </c>
    </row>
    <row r="116" spans="1:2" s="30" customFormat="1" x14ac:dyDescent="0.25">
      <c r="A116" s="100" t="s">
        <v>181</v>
      </c>
      <c r="B116" s="100" t="s">
        <v>181</v>
      </c>
    </row>
    <row r="117" spans="1:2" s="30" customFormat="1" x14ac:dyDescent="0.25">
      <c r="A117" s="100" t="s">
        <v>182</v>
      </c>
      <c r="B117" s="100" t="s">
        <v>182</v>
      </c>
    </row>
    <row r="118" spans="1:2" s="30" customFormat="1" x14ac:dyDescent="0.25">
      <c r="A118" s="100" t="s">
        <v>183</v>
      </c>
      <c r="B118" s="100" t="s">
        <v>183</v>
      </c>
    </row>
    <row r="119" spans="1:2" s="30" customFormat="1" x14ac:dyDescent="0.25">
      <c r="A119" s="100" t="s">
        <v>184</v>
      </c>
      <c r="B119" s="100" t="s">
        <v>184</v>
      </c>
    </row>
    <row r="120" spans="1:2" s="30" customFormat="1" x14ac:dyDescent="0.25">
      <c r="A120" s="100" t="s">
        <v>185</v>
      </c>
      <c r="B120" s="100" t="s">
        <v>185</v>
      </c>
    </row>
    <row r="121" spans="1:2" s="30" customFormat="1" x14ac:dyDescent="0.25">
      <c r="A121" s="100" t="s">
        <v>186</v>
      </c>
      <c r="B121" s="100" t="s">
        <v>186</v>
      </c>
    </row>
    <row r="122" spans="1:2" s="30" customFormat="1" x14ac:dyDescent="0.25">
      <c r="A122" s="100" t="s">
        <v>187</v>
      </c>
      <c r="B122" s="100" t="s">
        <v>187</v>
      </c>
    </row>
    <row r="123" spans="1:2" s="30" customFormat="1" x14ac:dyDescent="0.25">
      <c r="A123" s="100" t="s">
        <v>188</v>
      </c>
      <c r="B123" s="100" t="s">
        <v>188</v>
      </c>
    </row>
    <row r="124" spans="1:2" s="30" customFormat="1" x14ac:dyDescent="0.25">
      <c r="A124" s="100" t="s">
        <v>189</v>
      </c>
      <c r="B124" s="100" t="s">
        <v>189</v>
      </c>
    </row>
    <row r="125" spans="1:2" s="30" customFormat="1" x14ac:dyDescent="0.25">
      <c r="A125" s="100" t="s">
        <v>190</v>
      </c>
      <c r="B125" s="100" t="s">
        <v>190</v>
      </c>
    </row>
    <row r="126" spans="1:2" s="30" customFormat="1" x14ac:dyDescent="0.25">
      <c r="A126" s="100" t="s">
        <v>191</v>
      </c>
      <c r="B126" s="100" t="s">
        <v>191</v>
      </c>
    </row>
    <row r="127" spans="1:2" s="30" customFormat="1" x14ac:dyDescent="0.25">
      <c r="A127" s="100" t="s">
        <v>192</v>
      </c>
      <c r="B127" s="100" t="s">
        <v>192</v>
      </c>
    </row>
    <row r="128" spans="1:2" s="30" customFormat="1" x14ac:dyDescent="0.25">
      <c r="A128" s="100" t="s">
        <v>193</v>
      </c>
      <c r="B128" s="100" t="s">
        <v>193</v>
      </c>
    </row>
    <row r="129" spans="1:2" s="30" customFormat="1" x14ac:dyDescent="0.25">
      <c r="A129" s="100" t="s">
        <v>109</v>
      </c>
      <c r="B129" s="100" t="s">
        <v>109</v>
      </c>
    </row>
    <row r="130" spans="1:2" s="30" customFormat="1" x14ac:dyDescent="0.25">
      <c r="A130" s="100" t="s">
        <v>132</v>
      </c>
      <c r="B130" s="100" t="s">
        <v>132</v>
      </c>
    </row>
    <row r="131" spans="1:2" s="30" customFormat="1" x14ac:dyDescent="0.25">
      <c r="A131" s="100" t="s">
        <v>133</v>
      </c>
      <c r="B131" s="100" t="s">
        <v>133</v>
      </c>
    </row>
    <row r="132" spans="1:2" s="30" customFormat="1" x14ac:dyDescent="0.25">
      <c r="A132" s="100" t="s">
        <v>118</v>
      </c>
      <c r="B132" s="100" t="s">
        <v>118</v>
      </c>
    </row>
    <row r="133" spans="1:2" s="30" customFormat="1" x14ac:dyDescent="0.25">
      <c r="A133" s="100" t="s">
        <v>140</v>
      </c>
      <c r="B133" s="100" t="s">
        <v>140</v>
      </c>
    </row>
    <row r="134" spans="1:2" s="30" customFormat="1" x14ac:dyDescent="0.25">
      <c r="A134" s="100" t="s">
        <v>141</v>
      </c>
      <c r="B134" s="100" t="s">
        <v>141</v>
      </c>
    </row>
    <row r="135" spans="1:2" s="30" customFormat="1" x14ac:dyDescent="0.25">
      <c r="A135" s="100" t="s">
        <v>119</v>
      </c>
      <c r="B135" s="100" t="s">
        <v>119</v>
      </c>
    </row>
    <row r="136" spans="1:2" s="30" customFormat="1" x14ac:dyDescent="0.25">
      <c r="A136" s="100" t="s">
        <v>120</v>
      </c>
      <c r="B136" s="100" t="s">
        <v>120</v>
      </c>
    </row>
    <row r="137" spans="1:2" s="30" customFormat="1" x14ac:dyDescent="0.25">
      <c r="A137" s="100" t="s">
        <v>121</v>
      </c>
      <c r="B137" s="100" t="s">
        <v>121</v>
      </c>
    </row>
    <row r="138" spans="1:2" s="30" customFormat="1" x14ac:dyDescent="0.25">
      <c r="A138" s="100" t="s">
        <v>142</v>
      </c>
      <c r="B138" s="100" t="s">
        <v>142</v>
      </c>
    </row>
    <row r="139" spans="1:2" s="30" customFormat="1" x14ac:dyDescent="0.25">
      <c r="A139" s="100" t="s">
        <v>122</v>
      </c>
      <c r="B139" s="100" t="s">
        <v>122</v>
      </c>
    </row>
    <row r="140" spans="1:2" s="30" customFormat="1" x14ac:dyDescent="0.25">
      <c r="A140" s="100" t="s">
        <v>143</v>
      </c>
      <c r="B140" s="100" t="s">
        <v>143</v>
      </c>
    </row>
    <row r="141" spans="1:2" s="30" customFormat="1" x14ac:dyDescent="0.25">
      <c r="A141" s="100" t="s">
        <v>124</v>
      </c>
      <c r="B141" s="100" t="s">
        <v>124</v>
      </c>
    </row>
    <row r="142" spans="1:2" s="30" customFormat="1" x14ac:dyDescent="0.25">
      <c r="A142" s="100" t="s">
        <v>125</v>
      </c>
      <c r="B142" s="100" t="s">
        <v>125</v>
      </c>
    </row>
    <row r="143" spans="1:2" s="30" customFormat="1" x14ac:dyDescent="0.25">
      <c r="A143" s="100" t="s">
        <v>126</v>
      </c>
      <c r="B143" s="100" t="s">
        <v>126</v>
      </c>
    </row>
    <row r="144" spans="1:2" s="30" customFormat="1" x14ac:dyDescent="0.25">
      <c r="A144" s="100" t="s">
        <v>144</v>
      </c>
      <c r="B144" s="100" t="s">
        <v>144</v>
      </c>
    </row>
    <row r="145" spans="1:3" s="30" customFormat="1" x14ac:dyDescent="0.25">
      <c r="A145" s="100" t="s">
        <v>145</v>
      </c>
      <c r="B145" s="100" t="s">
        <v>145</v>
      </c>
    </row>
    <row r="146" spans="1:3" s="30" customFormat="1" x14ac:dyDescent="0.25">
      <c r="A146" s="100" t="s">
        <v>146</v>
      </c>
      <c r="B146" s="100" t="s">
        <v>146</v>
      </c>
    </row>
    <row r="147" spans="1:3" s="30" customFormat="1" x14ac:dyDescent="0.25">
      <c r="A147" s="100" t="s">
        <v>147</v>
      </c>
      <c r="B147" s="100" t="s">
        <v>147</v>
      </c>
    </row>
    <row r="148" spans="1:3" s="30" customFormat="1" x14ac:dyDescent="0.25">
      <c r="A148" s="100" t="s">
        <v>127</v>
      </c>
      <c r="B148" s="100" t="s">
        <v>127</v>
      </c>
    </row>
    <row r="149" spans="1:3" s="30" customFormat="1" x14ac:dyDescent="0.25">
      <c r="A149" s="100" t="s">
        <v>117</v>
      </c>
      <c r="B149" s="100" t="s">
        <v>117</v>
      </c>
    </row>
    <row r="150" spans="1:3" s="30" customFormat="1" x14ac:dyDescent="0.25">
      <c r="A150" s="115" t="s">
        <v>196</v>
      </c>
      <c r="B150" s="115" t="s">
        <v>196</v>
      </c>
      <c r="C150" s="30" t="s">
        <v>198</v>
      </c>
    </row>
    <row r="151" spans="1:3" s="30" customFormat="1" x14ac:dyDescent="0.25">
      <c r="A151" s="115" t="s">
        <v>197</v>
      </c>
      <c r="B151" s="115" t="s">
        <v>197</v>
      </c>
      <c r="C151" s="30" t="s">
        <v>199</v>
      </c>
    </row>
    <row r="152" spans="1:3" s="30" customFormat="1" x14ac:dyDescent="0.25">
      <c r="A152" s="115" t="s">
        <v>204</v>
      </c>
      <c r="B152" s="115" t="s">
        <v>204</v>
      </c>
      <c r="C152" s="30" t="s">
        <v>211</v>
      </c>
    </row>
    <row r="153" spans="1:3" s="30" customFormat="1" x14ac:dyDescent="0.25">
      <c r="A153" s="115" t="s">
        <v>205</v>
      </c>
      <c r="B153" s="115" t="s">
        <v>205</v>
      </c>
      <c r="C153" s="30" t="s">
        <v>212</v>
      </c>
    </row>
    <row r="154" spans="1:3" s="30" customFormat="1" x14ac:dyDescent="0.25">
      <c r="A154" s="115" t="s">
        <v>206</v>
      </c>
      <c r="B154" s="115" t="s">
        <v>206</v>
      </c>
      <c r="C154" s="30" t="s">
        <v>213</v>
      </c>
    </row>
    <row r="155" spans="1:3" s="30" customFormat="1" x14ac:dyDescent="0.25">
      <c r="A155" s="115" t="s">
        <v>207</v>
      </c>
      <c r="B155" s="115" t="s">
        <v>207</v>
      </c>
      <c r="C155" s="30" t="s">
        <v>213</v>
      </c>
    </row>
    <row r="156" spans="1:3" s="30" customFormat="1" x14ac:dyDescent="0.25">
      <c r="A156" s="115" t="s">
        <v>208</v>
      </c>
      <c r="B156" s="115" t="s">
        <v>208</v>
      </c>
      <c r="C156" s="30" t="s">
        <v>214</v>
      </c>
    </row>
    <row r="157" spans="1:3" s="30" customFormat="1" x14ac:dyDescent="0.25">
      <c r="A157" s="115" t="s">
        <v>209</v>
      </c>
      <c r="B157" s="115" t="s">
        <v>209</v>
      </c>
      <c r="C157" s="30" t="s">
        <v>215</v>
      </c>
    </row>
    <row r="158" spans="1:3" s="30" customFormat="1" x14ac:dyDescent="0.25">
      <c r="A158" s="115" t="s">
        <v>210</v>
      </c>
      <c r="B158" s="115" t="s">
        <v>210</v>
      </c>
      <c r="C158" s="30" t="s">
        <v>216</v>
      </c>
    </row>
    <row r="159" spans="1:3" s="30" customFormat="1" x14ac:dyDescent="0.25">
      <c r="A159" s="18"/>
      <c r="B159" s="18"/>
    </row>
    <row r="160" spans="1:3" s="30" customFormat="1" x14ac:dyDescent="0.25">
      <c r="A160" s="18"/>
      <c r="B160" s="18"/>
    </row>
    <row r="161" spans="1:2" s="30" customFormat="1"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row r="208" spans="1:2" x14ac:dyDescent="0.25">
      <c r="A208" s="18"/>
      <c r="B208" s="18"/>
    </row>
    <row r="209" spans="1:2" x14ac:dyDescent="0.25">
      <c r="A209" s="18"/>
      <c r="B209" s="18"/>
    </row>
    <row r="210" spans="1:2" x14ac:dyDescent="0.25">
      <c r="A210" s="18"/>
      <c r="B210" s="18"/>
    </row>
    <row r="211" spans="1:2" x14ac:dyDescent="0.25">
      <c r="A211" s="18"/>
      <c r="B211" s="18"/>
    </row>
    <row r="212" spans="1:2" x14ac:dyDescent="0.25">
      <c r="A212" s="18"/>
      <c r="B212" s="18"/>
    </row>
    <row r="213" spans="1:2" x14ac:dyDescent="0.25">
      <c r="A213" s="18"/>
      <c r="B213" s="18"/>
    </row>
    <row r="214" spans="1:2" x14ac:dyDescent="0.25">
      <c r="A214" s="18"/>
      <c r="B214" s="18"/>
    </row>
    <row r="215" spans="1:2" x14ac:dyDescent="0.25">
      <c r="A215" s="18"/>
      <c r="B215" s="18"/>
    </row>
    <row r="216" spans="1:2" x14ac:dyDescent="0.25">
      <c r="A216" s="18"/>
      <c r="B216" s="18"/>
    </row>
    <row r="217" spans="1:2" x14ac:dyDescent="0.25">
      <c r="A217" s="18"/>
      <c r="B217" s="18"/>
    </row>
    <row r="218" spans="1:2" x14ac:dyDescent="0.25">
      <c r="A218" s="18"/>
      <c r="B218" s="18"/>
    </row>
    <row r="298" spans="35:35" x14ac:dyDescent="0.25">
      <c r="AI298" t="s">
        <v>58</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7"/>
  <sheetViews>
    <sheetView tabSelected="1" view="pageBreakPreview" zoomScale="70" zoomScaleNormal="100" zoomScaleSheetLayoutView="70" workbookViewId="0">
      <selection activeCell="M9" sqref="M9"/>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200</v>
      </c>
      <c r="C1" s="38">
        <v>1</v>
      </c>
      <c r="J1" s="19"/>
      <c r="O1" s="20" t="s">
        <v>27</v>
      </c>
      <c r="P1" s="30">
        <v>10</v>
      </c>
      <c r="Q1" s="30">
        <v>20</v>
      </c>
      <c r="S1" s="30" t="s">
        <v>50</v>
      </c>
      <c r="X1" s="30" t="s">
        <v>53</v>
      </c>
      <c r="AA1"/>
      <c r="AB1"/>
      <c r="AC1"/>
      <c r="AD1"/>
      <c r="AE1"/>
      <c r="AG1" s="30" t="s">
        <v>35</v>
      </c>
    </row>
    <row r="2" spans="1:56" ht="18.75" x14ac:dyDescent="0.3">
      <c r="A2" s="1" t="str">
        <f>A1</f>
        <v>Лебедев</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47</v>
      </c>
      <c r="K3" s="66" t="s">
        <v>48</v>
      </c>
      <c r="L3" s="66" t="s">
        <v>49</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33</v>
      </c>
      <c r="AB3" s="3" t="s">
        <v>51</v>
      </c>
      <c r="AC3" s="3" t="s">
        <v>52</v>
      </c>
      <c r="AD3" s="3" t="s">
        <v>96</v>
      </c>
      <c r="AE3" s="3" t="s">
        <v>102</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AE4" s="18"/>
      <c r="BB4" s="30" t="s">
        <v>87</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AE5" s="18"/>
      <c r="BB5" s="30" t="s">
        <v>93</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AE6" s="18"/>
      <c r="BB6" s="30" t="s">
        <v>88</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AE7" s="18"/>
      <c r="BB7" s="30" t="s">
        <v>94</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AE8" s="18"/>
      <c r="BB8" s="30" t="s">
        <v>95</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AE9" s="18"/>
      <c r="BB9" s="30" t="s">
        <v>92</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c r="AE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c r="AE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c r="AE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c r="AE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9" x14ac:dyDescent="0.25">
      <c r="A17" s="30" t="s">
        <v>31</v>
      </c>
      <c r="B17" s="13"/>
      <c r="C17" s="42"/>
      <c r="D17" s="42"/>
      <c r="E17" s="33"/>
      <c r="F17" s="33"/>
      <c r="G17" s="42"/>
      <c r="H17" s="42"/>
      <c r="I17" s="25"/>
      <c r="J17" s="37"/>
      <c r="K17" s="13"/>
      <c r="L17" s="13"/>
      <c r="M17" s="36"/>
      <c r="O17" s="24"/>
      <c r="V17" s="17"/>
      <c r="W17" s="17"/>
    </row>
    <row r="18" spans="1:29" x14ac:dyDescent="0.25">
      <c r="A18" s="13" t="s">
        <v>32</v>
      </c>
    </row>
    <row r="19" spans="1:29" x14ac:dyDescent="0.25">
      <c r="A19" s="13" t="s">
        <v>16</v>
      </c>
    </row>
    <row r="20" spans="1:29" x14ac:dyDescent="0.25">
      <c r="A20" s="13" t="s">
        <v>28</v>
      </c>
    </row>
    <row r="21" spans="1:29" x14ac:dyDescent="0.25">
      <c r="A21" s="13"/>
    </row>
    <row r="22" spans="1:29" ht="18.75" x14ac:dyDescent="0.3">
      <c r="A22" s="1" t="str">
        <f>CONCATENATE(A2, ". Соответствие кромки и ДСП")</f>
        <v>Лебедев. Соответствие кромки и ДСП</v>
      </c>
      <c r="N22" s="30" t="s">
        <v>34</v>
      </c>
    </row>
    <row r="23" spans="1:29" x14ac:dyDescent="0.25">
      <c r="A23" s="3" t="s">
        <v>6</v>
      </c>
      <c r="B23" s="4" t="s">
        <v>14</v>
      </c>
      <c r="C23" s="40"/>
      <c r="D23" s="60"/>
      <c r="E23" s="61"/>
      <c r="F23" s="5"/>
      <c r="G23" s="44"/>
      <c r="H23" s="57" t="s">
        <v>30</v>
      </c>
      <c r="I23" s="58" t="s">
        <v>194</v>
      </c>
      <c r="J23" s="3" t="s">
        <v>13</v>
      </c>
      <c r="K23" s="3" t="s">
        <v>51</v>
      </c>
      <c r="L23" s="55"/>
      <c r="M23" s="56"/>
    </row>
    <row r="24" spans="1:29" x14ac:dyDescent="0.25">
      <c r="A24" s="3"/>
      <c r="B24" s="4"/>
      <c r="C24" s="46"/>
      <c r="D24" s="62"/>
      <c r="E24" s="63"/>
      <c r="F24" s="5"/>
      <c r="G24" s="43"/>
      <c r="H24" s="59"/>
      <c r="I24" s="104"/>
      <c r="J24" s="3"/>
      <c r="K24" s="3"/>
      <c r="L24" s="55"/>
      <c r="M24" s="56"/>
    </row>
    <row r="25" spans="1:29" x14ac:dyDescent="0.25">
      <c r="A25" s="3"/>
      <c r="B25" s="4"/>
      <c r="C25" s="46"/>
      <c r="D25" s="62"/>
      <c r="E25" s="63"/>
      <c r="F25" s="5"/>
      <c r="G25" s="43"/>
      <c r="H25" s="59"/>
      <c r="I25" s="104"/>
      <c r="J25" s="80"/>
      <c r="K25" s="3"/>
      <c r="L25" s="55"/>
      <c r="M25" s="56"/>
    </row>
    <row r="26" spans="1:29" ht="18.75" x14ac:dyDescent="0.3">
      <c r="A26" s="1" t="str">
        <f>CONCATENATE(A2, ". Стекло")</f>
        <v>Лебедев. Стекло</v>
      </c>
    </row>
    <row r="27" spans="1:29" x14ac:dyDescent="0.25">
      <c r="A27" s="3" t="s">
        <v>6</v>
      </c>
      <c r="B27" s="4" t="s">
        <v>5</v>
      </c>
      <c r="C27" s="39" t="s">
        <v>9</v>
      </c>
      <c r="D27" s="40" t="s">
        <v>11</v>
      </c>
      <c r="E27" s="6" t="s">
        <v>1</v>
      </c>
      <c r="F27" s="7" t="s">
        <v>0</v>
      </c>
      <c r="G27" s="40" t="s">
        <v>10</v>
      </c>
      <c r="H27" s="44" t="s">
        <v>12</v>
      </c>
      <c r="I27" s="8" t="s">
        <v>2</v>
      </c>
      <c r="J27" s="3" t="s">
        <v>3</v>
      </c>
      <c r="K27" s="4"/>
      <c r="L27" s="4"/>
      <c r="M27" s="3" t="s">
        <v>4</v>
      </c>
    </row>
    <row r="28" spans="1:29" x14ac:dyDescent="0.25">
      <c r="A28" s="9"/>
      <c r="B28" s="32"/>
      <c r="C28" s="41"/>
      <c r="D28" s="41"/>
      <c r="E28" s="14"/>
      <c r="F28" s="14"/>
      <c r="G28" s="41"/>
      <c r="H28" s="41"/>
      <c r="I28" s="10"/>
      <c r="J28" s="11"/>
      <c r="K28" s="32"/>
      <c r="L28" s="32"/>
      <c r="M28" s="28"/>
      <c r="O28" s="22"/>
      <c r="P28" s="18"/>
      <c r="Q28" s="18"/>
      <c r="R28" s="18"/>
      <c r="S28" s="18"/>
      <c r="T28" s="3"/>
      <c r="U28" s="3"/>
      <c r="V28" s="23"/>
      <c r="W28" s="23"/>
      <c r="X28" s="18"/>
      <c r="Y28" s="18"/>
      <c r="Z28" s="18"/>
      <c r="AA28" s="18"/>
      <c r="AB28" s="18"/>
      <c r="AC28" s="18"/>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13"/>
      <c r="B33" s="9"/>
      <c r="C33" s="41"/>
      <c r="D33" s="41"/>
      <c r="E33" s="14"/>
      <c r="F33" s="14"/>
      <c r="G33" s="41"/>
      <c r="H33" s="45" t="s">
        <v>15</v>
      </c>
      <c r="I33" s="25">
        <f>SUM(I28:I32)</f>
        <v>0</v>
      </c>
      <c r="J33" s="11"/>
      <c r="K33" s="9"/>
      <c r="L33" s="9"/>
      <c r="M33" s="12"/>
      <c r="O33" s="24"/>
      <c r="V33" s="17"/>
      <c r="W33" s="17"/>
    </row>
    <row r="34" spans="1:29" x14ac:dyDescent="0.25">
      <c r="A34" s="16" t="s">
        <v>8</v>
      </c>
      <c r="B34" s="9"/>
      <c r="C34" s="41"/>
      <c r="D34" s="41"/>
      <c r="E34" s="14"/>
      <c r="F34" s="14"/>
      <c r="G34" s="41"/>
      <c r="H34" s="41"/>
      <c r="I34" s="10"/>
      <c r="J34" s="15"/>
      <c r="K34" s="9"/>
      <c r="L34" s="9"/>
      <c r="M34" s="12"/>
    </row>
    <row r="35" spans="1:29" x14ac:dyDescent="0.25">
      <c r="A35" s="13" t="s">
        <v>39</v>
      </c>
      <c r="B35" s="9"/>
      <c r="C35" s="41"/>
      <c r="D35" s="41"/>
      <c r="E35" s="14"/>
      <c r="F35" s="14"/>
      <c r="G35" s="41"/>
      <c r="H35" s="41"/>
      <c r="I35" s="10"/>
      <c r="J35" s="15"/>
      <c r="K35" s="9"/>
      <c r="L35" s="9"/>
      <c r="M35" s="12"/>
    </row>
    <row r="37" spans="1:29" ht="18.75" x14ac:dyDescent="0.3">
      <c r="A37" s="1" t="str">
        <f>CONCATENATE(A2, ". Пластик")</f>
        <v>Лебедев. Пластик</v>
      </c>
    </row>
    <row r="38" spans="1:29" x14ac:dyDescent="0.25">
      <c r="A38" s="3" t="s">
        <v>6</v>
      </c>
      <c r="B38" s="4" t="s">
        <v>5</v>
      </c>
      <c r="C38" s="39" t="s">
        <v>9</v>
      </c>
      <c r="D38" s="40" t="s">
        <v>11</v>
      </c>
      <c r="E38" s="6" t="s">
        <v>1</v>
      </c>
      <c r="F38" s="7" t="s">
        <v>0</v>
      </c>
      <c r="G38" s="40" t="s">
        <v>10</v>
      </c>
      <c r="H38" s="44" t="s">
        <v>12</v>
      </c>
      <c r="I38" s="8" t="s">
        <v>2</v>
      </c>
      <c r="J38" s="3" t="s">
        <v>3</v>
      </c>
      <c r="K38" s="4"/>
      <c r="L38" s="4"/>
      <c r="M38" s="3" t="s">
        <v>4</v>
      </c>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15"/>
      <c r="L41" s="15"/>
      <c r="M41" s="11"/>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57" x14ac:dyDescent="0.25">
      <c r="A49" s="13"/>
      <c r="B49" s="9"/>
      <c r="C49" s="41"/>
      <c r="D49" s="41"/>
      <c r="E49" s="14"/>
      <c r="F49" s="14"/>
      <c r="G49" s="41"/>
      <c r="H49" s="45" t="s">
        <v>15</v>
      </c>
      <c r="I49" s="25">
        <f>SUM(I39:I48)</f>
        <v>0</v>
      </c>
      <c r="J49" s="11"/>
      <c r="K49" s="9"/>
      <c r="L49" s="9"/>
      <c r="M49" s="12"/>
    </row>
    <row r="50" spans="1:57" x14ac:dyDescent="0.25">
      <c r="A50" s="16" t="s">
        <v>8</v>
      </c>
      <c r="B50" s="9"/>
      <c r="C50" s="41"/>
      <c r="D50" s="41"/>
      <c r="E50" s="14"/>
      <c r="F50" s="14"/>
      <c r="G50" s="41"/>
      <c r="H50" s="41"/>
      <c r="I50" s="10"/>
      <c r="J50" s="15"/>
      <c r="K50" s="9"/>
      <c r="L50" s="9"/>
      <c r="M50" s="12"/>
    </row>
    <row r="51" spans="1:57" x14ac:dyDescent="0.25">
      <c r="A51" s="13" t="s">
        <v>39</v>
      </c>
      <c r="B51" s="9"/>
      <c r="C51" s="41"/>
      <c r="D51" s="41"/>
      <c r="E51" s="14"/>
      <c r="F51" s="14"/>
      <c r="G51" s="41"/>
      <c r="H51" s="41"/>
      <c r="I51" s="10"/>
      <c r="J51" s="15"/>
      <c r="K51" s="9"/>
      <c r="L51" s="9"/>
      <c r="M51" s="12"/>
    </row>
    <row r="56" spans="1:57" ht="18.75" x14ac:dyDescent="0.3">
      <c r="A56" s="1" t="s">
        <v>29</v>
      </c>
    </row>
    <row r="57" spans="1:57" x14ac:dyDescent="0.25">
      <c r="A57" s="30" t="s">
        <v>36</v>
      </c>
    </row>
    <row r="58" spans="1:57" x14ac:dyDescent="0.25">
      <c r="M58" s="30"/>
      <c r="T58" s="30"/>
      <c r="U58" s="30"/>
    </row>
    <row r="59" spans="1:57" x14ac:dyDescent="0.25">
      <c r="M59" s="30"/>
      <c r="T59" s="30"/>
      <c r="U59" s="30"/>
    </row>
    <row r="60" spans="1:57" x14ac:dyDescent="0.25">
      <c r="M60" s="30"/>
      <c r="T60" s="30"/>
      <c r="U60" s="30"/>
    </row>
    <row r="61" spans="1:5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row>
    <row r="63" spans="1:5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sheetData>
  <sortState xmlns:xlrd2="http://schemas.microsoft.com/office/spreadsheetml/2017/richdata2" ref="A4:AC13">
    <sortCondition ref="Q4:Q13"/>
    <sortCondition ref="X4:X13"/>
    <sortCondition ref="P4:P13"/>
  </sortState>
  <phoneticPr fontId="10" type="noConversion"/>
  <conditionalFormatting sqref="C48">
    <cfRule type="expression" dxfId="199" priority="20594" stopIfTrue="1">
      <formula>AND(NOT(ISBLANK(C48)),NOT(_xlfn.ISFORMULA(C48)))</formula>
    </cfRule>
  </conditionalFormatting>
  <conditionalFormatting sqref="D48">
    <cfRule type="expression" dxfId="198" priority="20593" stopIfTrue="1">
      <formula>AND(NOT(ISBLANK(D48)),NOT(_xlfn.ISFORMULA(D48)))</formula>
    </cfRule>
  </conditionalFormatting>
  <conditionalFormatting sqref="G48">
    <cfRule type="expression" dxfId="197" priority="20592" stopIfTrue="1">
      <formula>AND(NOT(ISBLANK(G48)),NOT(_xlfn.ISFORMULA(G48)))</formula>
    </cfRule>
  </conditionalFormatting>
  <conditionalFormatting sqref="H48">
    <cfRule type="expression" dxfId="196" priority="20591" stopIfTrue="1">
      <formula>AND(NOT(ISBLANK(H48)),NOT(_xlfn.ISFORMULA(H48)))</formula>
    </cfRule>
  </conditionalFormatting>
  <conditionalFormatting sqref="D39">
    <cfRule type="expression" dxfId="195" priority="20709" stopIfTrue="1">
      <formula>AND(NOT(ISBLANK(D39)),NOT(_xlfn.ISFORMULA(D39)))</formula>
    </cfRule>
  </conditionalFormatting>
  <conditionalFormatting sqref="G39">
    <cfRule type="expression" dxfId="194" priority="20708" stopIfTrue="1">
      <formula>AND(NOT(ISBLANK(G39)),NOT(_xlfn.ISFORMULA(G39)))</formula>
    </cfRule>
  </conditionalFormatting>
  <conditionalFormatting sqref="H39">
    <cfRule type="expression" dxfId="193" priority="20707" stopIfTrue="1">
      <formula>AND(NOT(ISBLANK(H39)),NOT(_xlfn.ISFORMULA(H39)))</formula>
    </cfRule>
  </conditionalFormatting>
  <conditionalFormatting sqref="E28">
    <cfRule type="expression" dxfId="192" priority="20705">
      <formula>AND(AND(NOT(ISBLANK(D28)),NOT(D28=$O$1)),AND(NOT(ISBLANK(C28)),NOT(C28=$O$1)))</formula>
    </cfRule>
    <cfRule type="expression" dxfId="191" priority="20706">
      <formula>OR(AND(NOT(ISBLANK(D28)),NOT(D28=$O$1)),AND(NOT(ISBLANK(C28)),NOT(C28=$O$1)))</formula>
    </cfRule>
  </conditionalFormatting>
  <conditionalFormatting sqref="F28">
    <cfRule type="expression" dxfId="190" priority="20703">
      <formula>AND(AND(NOT(ISBLANK(G28)),NOT(G28=$O$1)),AND(NOT(ISBLANK(H28)),NOT(H28=$O$1)))</formula>
    </cfRule>
    <cfRule type="expression" dxfId="189" priority="20704">
      <formula>OR(AND(NOT(ISBLANK(G28)),NOT(G28=$O$1)),AND(NOT(ISBLANK(H28)),NOT(H28=$O$1)))</formula>
    </cfRule>
  </conditionalFormatting>
  <conditionalFormatting sqref="C28">
    <cfRule type="expression" dxfId="188" priority="20702" stopIfTrue="1">
      <formula>AND(NOT(ISBLANK(C28)),NOT(_xlfn.ISFORMULA(C28)))</formula>
    </cfRule>
  </conditionalFormatting>
  <conditionalFormatting sqref="D28">
    <cfRule type="expression" dxfId="187" priority="20701" stopIfTrue="1">
      <formula>AND(NOT(ISBLANK(D28)),NOT(_xlfn.ISFORMULA(D28)))</formula>
    </cfRule>
  </conditionalFormatting>
  <conditionalFormatting sqref="G28">
    <cfRule type="expression" dxfId="186" priority="20700" stopIfTrue="1">
      <formula>AND(NOT(ISBLANK(G28)),NOT(_xlfn.ISFORMULA(G28)))</formula>
    </cfRule>
  </conditionalFormatting>
  <conditionalFormatting sqref="H28">
    <cfRule type="expression" dxfId="185" priority="20699" stopIfTrue="1">
      <formula>AND(NOT(ISBLANK(H28)),NOT(_xlfn.ISFORMULA(H28)))</formula>
    </cfRule>
  </conditionalFormatting>
  <conditionalFormatting sqref="E39">
    <cfRule type="expression" dxfId="184" priority="20713">
      <formula>AND(AND(NOT(ISBLANK(D39)),NOT(D39=$O$1)),AND(NOT(ISBLANK(C39)),NOT(C39=$O$1)))</formula>
    </cfRule>
    <cfRule type="expression" dxfId="183" priority="20714">
      <formula>OR(AND(NOT(ISBLANK(D39)),NOT(D39=$O$1)),AND(NOT(ISBLANK(C39)),NOT(C39=$O$1)))</formula>
    </cfRule>
  </conditionalFormatting>
  <conditionalFormatting sqref="F39">
    <cfRule type="expression" dxfId="182" priority="20711">
      <formula>AND(AND(NOT(ISBLANK(G39)),NOT(G39=$O$1)),AND(NOT(ISBLANK(H39)),NOT(H39=$O$1)))</formula>
    </cfRule>
    <cfRule type="expression" dxfId="181" priority="20712">
      <formula>OR(AND(NOT(ISBLANK(G39)),NOT(G39=$O$1)),AND(NOT(ISBLANK(H39)),NOT(H39=$O$1)))</formula>
    </cfRule>
  </conditionalFormatting>
  <conditionalFormatting sqref="C39">
    <cfRule type="expression" dxfId="180" priority="20710" stopIfTrue="1">
      <formula>AND(NOT(ISBLANK(C39)),NOT(_xlfn.ISFORMULA(C39)))</formula>
    </cfRule>
  </conditionalFormatting>
  <conditionalFormatting sqref="E40">
    <cfRule type="expression" dxfId="179" priority="20697">
      <formula>AND(AND(NOT(ISBLANK(D40)),NOT(D40=$O$1)),AND(NOT(ISBLANK(C40)),NOT(C40=$O$1)))</formula>
    </cfRule>
    <cfRule type="expression" dxfId="178" priority="20698">
      <formula>OR(AND(NOT(ISBLANK(D40)),NOT(D40=$O$1)),AND(NOT(ISBLANK(C40)),NOT(C40=$O$1)))</formula>
    </cfRule>
  </conditionalFormatting>
  <conditionalFormatting sqref="F40">
    <cfRule type="expression" dxfId="177" priority="20695">
      <formula>AND(AND(NOT(ISBLANK(G40)),NOT(G40=$O$1)),AND(NOT(ISBLANK(H40)),NOT(H40=$O$1)))</formula>
    </cfRule>
    <cfRule type="expression" dxfId="176" priority="20696">
      <formula>OR(AND(NOT(ISBLANK(G40)),NOT(G40=$O$1)),AND(NOT(ISBLANK(H40)),NOT(H40=$O$1)))</formula>
    </cfRule>
  </conditionalFormatting>
  <conditionalFormatting sqref="C40">
    <cfRule type="expression" dxfId="175" priority="20694" stopIfTrue="1">
      <formula>AND(NOT(ISBLANK(C40)),NOT(_xlfn.ISFORMULA(C40)))</formula>
    </cfRule>
  </conditionalFormatting>
  <conditionalFormatting sqref="D40">
    <cfRule type="expression" dxfId="174" priority="20693" stopIfTrue="1">
      <formula>AND(NOT(ISBLANK(D40)),NOT(_xlfn.ISFORMULA(D40)))</formula>
    </cfRule>
  </conditionalFormatting>
  <conditionalFormatting sqref="G40">
    <cfRule type="expression" dxfId="173" priority="20692" stopIfTrue="1">
      <formula>AND(NOT(ISBLANK(G40)),NOT(_xlfn.ISFORMULA(G40)))</formula>
    </cfRule>
  </conditionalFormatting>
  <conditionalFormatting sqref="H40">
    <cfRule type="expression" dxfId="172" priority="20691" stopIfTrue="1">
      <formula>AND(NOT(ISBLANK(H40)),NOT(_xlfn.ISFORMULA(H40)))</formula>
    </cfRule>
  </conditionalFormatting>
  <conditionalFormatting sqref="C41">
    <cfRule type="expression" dxfId="171" priority="20686" stopIfTrue="1">
      <formula>AND(NOT(ISBLANK(C41)),NOT(_xlfn.ISFORMULA(C41)))</formula>
    </cfRule>
  </conditionalFormatting>
  <conditionalFormatting sqref="D41">
    <cfRule type="expression" dxfId="170" priority="20685" stopIfTrue="1">
      <formula>AND(NOT(ISBLANK(D41)),NOT(_xlfn.ISFORMULA(D41)))</formula>
    </cfRule>
  </conditionalFormatting>
  <conditionalFormatting sqref="G41">
    <cfRule type="expression" dxfId="169" priority="20684" stopIfTrue="1">
      <formula>AND(NOT(ISBLANK(G41)),NOT(_xlfn.ISFORMULA(G41)))</formula>
    </cfRule>
  </conditionalFormatting>
  <conditionalFormatting sqref="E41">
    <cfRule type="expression" dxfId="168" priority="20689">
      <formula>AND(AND(NOT(ISBLANK(D41)),NOT(D41=$O$1)),AND(NOT(ISBLANK(C41)),NOT(C41=$O$1)))</formula>
    </cfRule>
    <cfRule type="expression" dxfId="167" priority="20690">
      <formula>OR(AND(NOT(ISBLANK(D41)),NOT(D41=$O$1)),AND(NOT(ISBLANK(C41)),NOT(C41=$O$1)))</formula>
    </cfRule>
  </conditionalFormatting>
  <conditionalFormatting sqref="F41">
    <cfRule type="expression" dxfId="166" priority="20687">
      <formula>AND(AND(NOT(ISBLANK(G41)),NOT(G41=$O$1)),AND(NOT(ISBLANK(H41)),NOT(H41=$O$1)))</formula>
    </cfRule>
    <cfRule type="expression" dxfId="165" priority="20688">
      <formula>OR(AND(NOT(ISBLANK(G41)),NOT(G41=$O$1)),AND(NOT(ISBLANK(H41)),NOT(H41=$O$1)))</formula>
    </cfRule>
  </conditionalFormatting>
  <conditionalFormatting sqref="C29">
    <cfRule type="expression" dxfId="164" priority="20678" stopIfTrue="1">
      <formula>AND(NOT(ISBLANK(C29)),NOT(_xlfn.ISFORMULA(C29)))</formula>
    </cfRule>
  </conditionalFormatting>
  <conditionalFormatting sqref="D29">
    <cfRule type="expression" dxfId="163" priority="20677" stopIfTrue="1">
      <formula>AND(NOT(ISBLANK(D29)),NOT(_xlfn.ISFORMULA(D29)))</formula>
    </cfRule>
  </conditionalFormatting>
  <conditionalFormatting sqref="G29">
    <cfRule type="expression" dxfId="162" priority="20676" stopIfTrue="1">
      <formula>AND(NOT(ISBLANK(G29)),NOT(_xlfn.ISFORMULA(G29)))</formula>
    </cfRule>
  </conditionalFormatting>
  <conditionalFormatting sqref="H41">
    <cfRule type="expression" dxfId="161" priority="20683" stopIfTrue="1">
      <formula>AND(NOT(ISBLANK(H41)),NOT(_xlfn.ISFORMULA(H41)))</formula>
    </cfRule>
  </conditionalFormatting>
  <conditionalFormatting sqref="E29">
    <cfRule type="expression" dxfId="160" priority="20681">
      <formula>AND(AND(NOT(ISBLANK(D29)),NOT(D29=$O$1)),AND(NOT(ISBLANK(C29)),NOT(C29=$O$1)))</formula>
    </cfRule>
    <cfRule type="expression" dxfId="159" priority="20682">
      <formula>OR(AND(NOT(ISBLANK(D29)),NOT(D29=$O$1)),AND(NOT(ISBLANK(C29)),NOT(C29=$O$1)))</formula>
    </cfRule>
  </conditionalFormatting>
  <conditionalFormatting sqref="F29">
    <cfRule type="expression" dxfId="158" priority="20679">
      <formula>AND(AND(NOT(ISBLANK(G29)),NOT(G29=$O$1)),AND(NOT(ISBLANK(H29)),NOT(H29=$O$1)))</formula>
    </cfRule>
    <cfRule type="expression" dxfId="157" priority="20680">
      <formula>OR(AND(NOT(ISBLANK(G29)),NOT(G29=$O$1)),AND(NOT(ISBLANK(H29)),NOT(H29=$O$1)))</formula>
    </cfRule>
  </conditionalFormatting>
  <conditionalFormatting sqref="C42">
    <cfRule type="expression" dxfId="156" priority="20670" stopIfTrue="1">
      <formula>AND(NOT(ISBLANK(C42)),NOT(_xlfn.ISFORMULA(C42)))</formula>
    </cfRule>
  </conditionalFormatting>
  <conditionalFormatting sqref="D42">
    <cfRule type="expression" dxfId="155" priority="20669" stopIfTrue="1">
      <formula>AND(NOT(ISBLANK(D42)),NOT(_xlfn.ISFORMULA(D42)))</formula>
    </cfRule>
  </conditionalFormatting>
  <conditionalFormatting sqref="G42">
    <cfRule type="expression" dxfId="154" priority="20668" stopIfTrue="1">
      <formula>AND(NOT(ISBLANK(G42)),NOT(_xlfn.ISFORMULA(G42)))</formula>
    </cfRule>
  </conditionalFormatting>
  <conditionalFormatting sqref="H29">
    <cfRule type="expression" dxfId="153" priority="20675" stopIfTrue="1">
      <formula>AND(NOT(ISBLANK(H29)),NOT(_xlfn.ISFORMULA(H29)))</formula>
    </cfRule>
  </conditionalFormatting>
  <conditionalFormatting sqref="E42">
    <cfRule type="expression" dxfId="152" priority="20673">
      <formula>AND(AND(NOT(ISBLANK(D42)),NOT(D42=$O$1)),AND(NOT(ISBLANK(C42)),NOT(C42=$O$1)))</formula>
    </cfRule>
    <cfRule type="expression" dxfId="151" priority="20674">
      <formula>OR(AND(NOT(ISBLANK(D42)),NOT(D42=$O$1)),AND(NOT(ISBLANK(C42)),NOT(C42=$O$1)))</formula>
    </cfRule>
  </conditionalFormatting>
  <conditionalFormatting sqref="F42">
    <cfRule type="expression" dxfId="150" priority="20671">
      <formula>AND(AND(NOT(ISBLANK(G42)),NOT(G42=$O$1)),AND(NOT(ISBLANK(H42)),NOT(H42=$O$1)))</formula>
    </cfRule>
    <cfRule type="expression" dxfId="149" priority="20672">
      <formula>OR(AND(NOT(ISBLANK(G42)),NOT(G42=$O$1)),AND(NOT(ISBLANK(H42)),NOT(H42=$O$1)))</formula>
    </cfRule>
  </conditionalFormatting>
  <conditionalFormatting sqref="H42">
    <cfRule type="expression" dxfId="148" priority="20667" stopIfTrue="1">
      <formula>AND(NOT(ISBLANK(H42)),NOT(_xlfn.ISFORMULA(H42)))</formula>
    </cfRule>
  </conditionalFormatting>
  <conditionalFormatting sqref="H43">
    <cfRule type="expression" dxfId="147" priority="20659" stopIfTrue="1">
      <formula>AND(NOT(ISBLANK(H43)),NOT(_xlfn.ISFORMULA(H43)))</formula>
    </cfRule>
  </conditionalFormatting>
  <conditionalFormatting sqref="E43">
    <cfRule type="expression" dxfId="146" priority="20665">
      <formula>AND(AND(NOT(ISBLANK(D43)),NOT(D43=$O$1)),AND(NOT(ISBLANK(C43)),NOT(C43=$O$1)))</formula>
    </cfRule>
    <cfRule type="expression" dxfId="145" priority="20666">
      <formula>OR(AND(NOT(ISBLANK(D43)),NOT(D43=$O$1)),AND(NOT(ISBLANK(C43)),NOT(C43=$O$1)))</formula>
    </cfRule>
  </conditionalFormatting>
  <conditionalFormatting sqref="F43">
    <cfRule type="expression" dxfId="144" priority="20663">
      <formula>AND(AND(NOT(ISBLANK(G43)),NOT(G43=$O$1)),AND(NOT(ISBLANK(H43)),NOT(H43=$O$1)))</formula>
    </cfRule>
    <cfRule type="expression" dxfId="143" priority="20664">
      <formula>OR(AND(NOT(ISBLANK(G43)),NOT(G43=$O$1)),AND(NOT(ISBLANK(H43)),NOT(H43=$O$1)))</formula>
    </cfRule>
  </conditionalFormatting>
  <conditionalFormatting sqref="C43">
    <cfRule type="expression" dxfId="142" priority="20662" stopIfTrue="1">
      <formula>AND(NOT(ISBLANK(C43)),NOT(_xlfn.ISFORMULA(C43)))</formula>
    </cfRule>
  </conditionalFormatting>
  <conditionalFormatting sqref="D43">
    <cfRule type="expression" dxfId="141" priority="20661" stopIfTrue="1">
      <formula>AND(NOT(ISBLANK(D43)),NOT(_xlfn.ISFORMULA(D43)))</formula>
    </cfRule>
  </conditionalFormatting>
  <conditionalFormatting sqref="G43">
    <cfRule type="expression" dxfId="140" priority="20660" stopIfTrue="1">
      <formula>AND(NOT(ISBLANK(G43)),NOT(_xlfn.ISFORMULA(G43)))</formula>
    </cfRule>
  </conditionalFormatting>
  <conditionalFormatting sqref="E30">
    <cfRule type="expression" dxfId="139" priority="20657">
      <formula>AND(AND(NOT(ISBLANK(D30)),NOT(D30=$O$1)),AND(NOT(ISBLANK(C30)),NOT(C30=$O$1)))</formula>
    </cfRule>
    <cfRule type="expression" dxfId="138" priority="20658">
      <formula>OR(AND(NOT(ISBLANK(D30)),NOT(D30=$O$1)),AND(NOT(ISBLANK(C30)),NOT(C30=$O$1)))</formula>
    </cfRule>
  </conditionalFormatting>
  <conditionalFormatting sqref="F30">
    <cfRule type="expression" dxfId="137" priority="20655">
      <formula>AND(AND(NOT(ISBLANK(G30)),NOT(G30=$O$1)),AND(NOT(ISBLANK(H30)),NOT(H30=$O$1)))</formula>
    </cfRule>
    <cfRule type="expression" dxfId="136" priority="20656">
      <formula>OR(AND(NOT(ISBLANK(G30)),NOT(G30=$O$1)),AND(NOT(ISBLANK(H30)),NOT(H30=$O$1)))</formula>
    </cfRule>
  </conditionalFormatting>
  <conditionalFormatting sqref="C30">
    <cfRule type="expression" dxfId="135" priority="20654" stopIfTrue="1">
      <formula>AND(NOT(ISBLANK(C30)),NOT(_xlfn.ISFORMULA(C30)))</formula>
    </cfRule>
  </conditionalFormatting>
  <conditionalFormatting sqref="D30">
    <cfRule type="expression" dxfId="134" priority="20653" stopIfTrue="1">
      <formula>AND(NOT(ISBLANK(D30)),NOT(_xlfn.ISFORMULA(D30)))</formula>
    </cfRule>
  </conditionalFormatting>
  <conditionalFormatting sqref="G30">
    <cfRule type="expression" dxfId="133" priority="20652" stopIfTrue="1">
      <formula>AND(NOT(ISBLANK(G30)),NOT(_xlfn.ISFORMULA(G30)))</formula>
    </cfRule>
  </conditionalFormatting>
  <conditionalFormatting sqref="H30">
    <cfRule type="expression" dxfId="132" priority="20651" stopIfTrue="1">
      <formula>AND(NOT(ISBLANK(H30)),NOT(_xlfn.ISFORMULA(H30)))</formula>
    </cfRule>
  </conditionalFormatting>
  <conditionalFormatting sqref="E44">
    <cfRule type="expression" dxfId="131" priority="20649">
      <formula>AND(AND(NOT(ISBLANK(D44)),NOT(D44=$O$1)),AND(NOT(ISBLANK(C44)),NOT(C44=$O$1)))</formula>
    </cfRule>
    <cfRule type="expression" dxfId="130" priority="20650">
      <formula>OR(AND(NOT(ISBLANK(D44)),NOT(D44=$O$1)),AND(NOT(ISBLANK(C44)),NOT(C44=$O$1)))</formula>
    </cfRule>
  </conditionalFormatting>
  <conditionalFormatting sqref="F44">
    <cfRule type="expression" dxfId="129" priority="20647">
      <formula>AND(AND(NOT(ISBLANK(G44)),NOT(G44=$O$1)),AND(NOT(ISBLANK(H44)),NOT(H44=$O$1)))</formula>
    </cfRule>
    <cfRule type="expression" dxfId="128" priority="20648">
      <formula>OR(AND(NOT(ISBLANK(G44)),NOT(G44=$O$1)),AND(NOT(ISBLANK(H44)),NOT(H44=$O$1)))</formula>
    </cfRule>
  </conditionalFormatting>
  <conditionalFormatting sqref="C44">
    <cfRule type="expression" dxfId="127" priority="20646" stopIfTrue="1">
      <formula>AND(NOT(ISBLANK(C44)),NOT(_xlfn.ISFORMULA(C44)))</formula>
    </cfRule>
  </conditionalFormatting>
  <conditionalFormatting sqref="D44">
    <cfRule type="expression" dxfId="126" priority="20645" stopIfTrue="1">
      <formula>AND(NOT(ISBLANK(D44)),NOT(_xlfn.ISFORMULA(D44)))</formula>
    </cfRule>
  </conditionalFormatting>
  <conditionalFormatting sqref="G44">
    <cfRule type="expression" dxfId="125" priority="20644" stopIfTrue="1">
      <formula>AND(NOT(ISBLANK(G44)),NOT(_xlfn.ISFORMULA(G44)))</formula>
    </cfRule>
  </conditionalFormatting>
  <conditionalFormatting sqref="H44">
    <cfRule type="expression" dxfId="124" priority="20643" stopIfTrue="1">
      <formula>AND(NOT(ISBLANK(H44)),NOT(_xlfn.ISFORMULA(H44)))</formula>
    </cfRule>
  </conditionalFormatting>
  <conditionalFormatting sqref="H45">
    <cfRule type="expression" dxfId="123" priority="20631" stopIfTrue="1">
      <formula>AND(NOT(ISBLANK(H45)),NOT(_xlfn.ISFORMULA(H45)))</formula>
    </cfRule>
  </conditionalFormatting>
  <conditionalFormatting sqref="E45">
    <cfRule type="expression" dxfId="122" priority="20637">
      <formula>AND(AND(NOT(ISBLANK(D45)),NOT(D45=$O$1)),AND(NOT(ISBLANK(C45)),NOT(C45=$O$1)))</formula>
    </cfRule>
    <cfRule type="expression" dxfId="121" priority="20638">
      <formula>OR(AND(NOT(ISBLANK(D45)),NOT(D45=$O$1)),AND(NOT(ISBLANK(C45)),NOT(C45=$O$1)))</formula>
    </cfRule>
  </conditionalFormatting>
  <conditionalFormatting sqref="F45">
    <cfRule type="expression" dxfId="120" priority="20635">
      <formula>AND(AND(NOT(ISBLANK(G45)),NOT(G45=$O$1)),AND(NOT(ISBLANK(H45)),NOT(H45=$O$1)))</formula>
    </cfRule>
    <cfRule type="expression" dxfId="119" priority="20636">
      <formula>OR(AND(NOT(ISBLANK(G45)),NOT(G45=$O$1)),AND(NOT(ISBLANK(H45)),NOT(H45=$O$1)))</formula>
    </cfRule>
  </conditionalFormatting>
  <conditionalFormatting sqref="C45">
    <cfRule type="expression" dxfId="118" priority="20634" stopIfTrue="1">
      <formula>AND(NOT(ISBLANK(C45)),NOT(_xlfn.ISFORMULA(C45)))</formula>
    </cfRule>
  </conditionalFormatting>
  <conditionalFormatting sqref="D45">
    <cfRule type="expression" dxfId="117" priority="20633" stopIfTrue="1">
      <formula>AND(NOT(ISBLANK(D45)),NOT(_xlfn.ISFORMULA(D45)))</formula>
    </cfRule>
  </conditionalFormatting>
  <conditionalFormatting sqref="G45">
    <cfRule type="expression" dxfId="116" priority="20632" stopIfTrue="1">
      <formula>AND(NOT(ISBLANK(G45)),NOT(_xlfn.ISFORMULA(G45)))</formula>
    </cfRule>
  </conditionalFormatting>
  <conditionalFormatting sqref="E31">
    <cfRule type="expression" dxfId="115" priority="20629">
      <formula>AND(AND(NOT(ISBLANK(D31)),NOT(D31=$O$1)),AND(NOT(ISBLANK(C31)),NOT(C31=$O$1)))</formula>
    </cfRule>
    <cfRule type="expression" dxfId="114" priority="20630">
      <formula>OR(AND(NOT(ISBLANK(D31)),NOT(D31=$O$1)),AND(NOT(ISBLANK(C31)),NOT(C31=$O$1)))</formula>
    </cfRule>
  </conditionalFormatting>
  <conditionalFormatting sqref="F31">
    <cfRule type="expression" dxfId="113" priority="20627">
      <formula>AND(AND(NOT(ISBLANK(G31)),NOT(G31=$O$1)),AND(NOT(ISBLANK(H31)),NOT(H31=$O$1)))</formula>
    </cfRule>
    <cfRule type="expression" dxfId="112" priority="20628">
      <formula>OR(AND(NOT(ISBLANK(G31)),NOT(G31=$O$1)),AND(NOT(ISBLANK(H31)),NOT(H31=$O$1)))</formula>
    </cfRule>
  </conditionalFormatting>
  <conditionalFormatting sqref="C31">
    <cfRule type="expression" dxfId="111" priority="20626" stopIfTrue="1">
      <formula>AND(NOT(ISBLANK(C31)),NOT(_xlfn.ISFORMULA(C31)))</formula>
    </cfRule>
  </conditionalFormatting>
  <conditionalFormatting sqref="D31">
    <cfRule type="expression" dxfId="110" priority="20625" stopIfTrue="1">
      <formula>AND(NOT(ISBLANK(D31)),NOT(_xlfn.ISFORMULA(D31)))</formula>
    </cfRule>
  </conditionalFormatting>
  <conditionalFormatting sqref="G31">
    <cfRule type="expression" dxfId="109" priority="20624" stopIfTrue="1">
      <formula>AND(NOT(ISBLANK(G31)),NOT(_xlfn.ISFORMULA(G31)))</formula>
    </cfRule>
  </conditionalFormatting>
  <conditionalFormatting sqref="H31">
    <cfRule type="expression" dxfId="108" priority="20623" stopIfTrue="1">
      <formula>AND(NOT(ISBLANK(H31)),NOT(_xlfn.ISFORMULA(H31)))</formula>
    </cfRule>
  </conditionalFormatting>
  <conditionalFormatting sqref="E46">
    <cfRule type="expression" dxfId="107" priority="20621">
      <formula>AND(AND(NOT(ISBLANK(D46)),NOT(D46=$O$1)),AND(NOT(ISBLANK(C46)),NOT(C46=$O$1)))</formula>
    </cfRule>
    <cfRule type="expression" dxfId="106" priority="20622">
      <formula>OR(AND(NOT(ISBLANK(D46)),NOT(D46=$O$1)),AND(NOT(ISBLANK(C46)),NOT(C46=$O$1)))</formula>
    </cfRule>
  </conditionalFormatting>
  <conditionalFormatting sqref="F46">
    <cfRule type="expression" dxfId="105" priority="20619">
      <formula>AND(AND(NOT(ISBLANK(G46)),NOT(G46=$O$1)),AND(NOT(ISBLANK(H46)),NOT(H46=$O$1)))</formula>
    </cfRule>
    <cfRule type="expression" dxfId="104" priority="20620">
      <formula>OR(AND(NOT(ISBLANK(G46)),NOT(G46=$O$1)),AND(NOT(ISBLANK(H46)),NOT(H46=$O$1)))</formula>
    </cfRule>
  </conditionalFormatting>
  <conditionalFormatting sqref="C46">
    <cfRule type="expression" dxfId="103" priority="20618" stopIfTrue="1">
      <formula>AND(NOT(ISBLANK(C46)),NOT(_xlfn.ISFORMULA(C46)))</formula>
    </cfRule>
  </conditionalFormatting>
  <conditionalFormatting sqref="D46">
    <cfRule type="expression" dxfId="102" priority="20617" stopIfTrue="1">
      <formula>AND(NOT(ISBLANK(D46)),NOT(_xlfn.ISFORMULA(D46)))</formula>
    </cfRule>
  </conditionalFormatting>
  <conditionalFormatting sqref="G46">
    <cfRule type="expression" dxfId="101" priority="20616" stopIfTrue="1">
      <formula>AND(NOT(ISBLANK(G46)),NOT(_xlfn.ISFORMULA(G46)))</formula>
    </cfRule>
  </conditionalFormatting>
  <conditionalFormatting sqref="H46">
    <cfRule type="expression" dxfId="100" priority="20615" stopIfTrue="1">
      <formula>AND(NOT(ISBLANK(H46)),NOT(_xlfn.ISFORMULA(H46)))</formula>
    </cfRule>
  </conditionalFormatting>
  <conditionalFormatting sqref="E47">
    <cfRule type="expression" dxfId="99" priority="20613">
      <formula>AND(AND(NOT(ISBLANK(D47)),NOT(D47=$O$1)),AND(NOT(ISBLANK(C47)),NOT(C47=$O$1)))</formula>
    </cfRule>
    <cfRule type="expression" dxfId="98" priority="20614">
      <formula>OR(AND(NOT(ISBLANK(D47)),NOT(D47=$O$1)),AND(NOT(ISBLANK(C47)),NOT(C47=$O$1)))</formula>
    </cfRule>
  </conditionalFormatting>
  <conditionalFormatting sqref="F47">
    <cfRule type="expression" dxfId="97" priority="20611">
      <formula>AND(AND(NOT(ISBLANK(G47)),NOT(G47=$O$1)),AND(NOT(ISBLANK(H47)),NOT(H47=$O$1)))</formula>
    </cfRule>
    <cfRule type="expression" dxfId="96" priority="20612">
      <formula>OR(AND(NOT(ISBLANK(G47)),NOT(G47=$O$1)),AND(NOT(ISBLANK(H47)),NOT(H47=$O$1)))</formula>
    </cfRule>
  </conditionalFormatting>
  <conditionalFormatting sqref="E32">
    <cfRule type="expression" dxfId="95" priority="20605">
      <formula>AND(AND(NOT(ISBLANK(D32)),NOT(D32=$O$1)),AND(NOT(ISBLANK(C32)),NOT(C32=$O$1)))</formula>
    </cfRule>
    <cfRule type="expression" dxfId="94" priority="20606">
      <formula>OR(AND(NOT(ISBLANK(D32)),NOT(D32=$O$1)),AND(NOT(ISBLANK(C32)),NOT(C32=$O$1)))</formula>
    </cfRule>
  </conditionalFormatting>
  <conditionalFormatting sqref="F32">
    <cfRule type="expression" dxfId="93" priority="20603">
      <formula>AND(AND(NOT(ISBLANK(G32)),NOT(G32=$O$1)),AND(NOT(ISBLANK(H32)),NOT(H32=$O$1)))</formula>
    </cfRule>
    <cfRule type="expression" dxfId="92" priority="20604">
      <formula>OR(AND(NOT(ISBLANK(G32)),NOT(G32=$O$1)),AND(NOT(ISBLANK(H32)),NOT(H32=$O$1)))</formula>
    </cfRule>
  </conditionalFormatting>
  <conditionalFormatting sqref="C47">
    <cfRule type="expression" dxfId="91" priority="20610" stopIfTrue="1">
      <formula>AND(NOT(ISBLANK(C47)),NOT(_xlfn.ISFORMULA(C47)))</formula>
    </cfRule>
  </conditionalFormatting>
  <conditionalFormatting sqref="D47">
    <cfRule type="expression" dxfId="90" priority="20609" stopIfTrue="1">
      <formula>AND(NOT(ISBLANK(D47)),NOT(_xlfn.ISFORMULA(D47)))</formula>
    </cfRule>
  </conditionalFormatting>
  <conditionalFormatting sqref="G47">
    <cfRule type="expression" dxfId="89" priority="20608" stopIfTrue="1">
      <formula>AND(NOT(ISBLANK(G47)),NOT(_xlfn.ISFORMULA(G47)))</formula>
    </cfRule>
  </conditionalFormatting>
  <conditionalFormatting sqref="H47">
    <cfRule type="expression" dxfId="88" priority="20607" stopIfTrue="1">
      <formula>AND(NOT(ISBLANK(H47)),NOT(_xlfn.ISFORMULA(H47)))</formula>
    </cfRule>
  </conditionalFormatting>
  <conditionalFormatting sqref="C32">
    <cfRule type="expression" dxfId="87" priority="20602" stopIfTrue="1">
      <formula>AND(NOT(ISBLANK(C32)),NOT(_xlfn.ISFORMULA(C32)))</formula>
    </cfRule>
  </conditionalFormatting>
  <conditionalFormatting sqref="D32">
    <cfRule type="expression" dxfId="86" priority="20601" stopIfTrue="1">
      <formula>AND(NOT(ISBLANK(D32)),NOT(_xlfn.ISFORMULA(D32)))</formula>
    </cfRule>
  </conditionalFormatting>
  <conditionalFormatting sqref="G32">
    <cfRule type="expression" dxfId="85" priority="20600" stopIfTrue="1">
      <formula>AND(NOT(ISBLANK(G32)),NOT(_xlfn.ISFORMULA(G32)))</formula>
    </cfRule>
  </conditionalFormatting>
  <conditionalFormatting sqref="H32">
    <cfRule type="expression" dxfId="84" priority="20599" stopIfTrue="1">
      <formula>AND(NOT(ISBLANK(H32)),NOT(_xlfn.ISFORMULA(H32)))</formula>
    </cfRule>
  </conditionalFormatting>
  <conditionalFormatting sqref="E48">
    <cfRule type="expression" dxfId="83" priority="20597">
      <formula>AND(AND(NOT(ISBLANK(D48)),NOT(D48=$O$1)),AND(NOT(ISBLANK(C48)),NOT(C48=$O$1)))</formula>
    </cfRule>
    <cfRule type="expression" dxfId="82" priority="20598">
      <formula>OR(AND(NOT(ISBLANK(D48)),NOT(D48=$O$1)),AND(NOT(ISBLANK(C48)),NOT(C48=$O$1)))</formula>
    </cfRule>
  </conditionalFormatting>
  <conditionalFormatting sqref="F48">
    <cfRule type="expression" dxfId="81" priority="20595">
      <formula>AND(AND(NOT(ISBLANK(G48)),NOT(G48=$O$1)),AND(NOT(ISBLANK(H48)),NOT(H48=$O$1)))</formula>
    </cfRule>
    <cfRule type="expression" dxfId="80" priority="20596">
      <formula>OR(AND(NOT(ISBLANK(G48)),NOT(G48=$O$1)),AND(NOT(ISBLANK(H48)),NOT(H48=$O$1)))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39:F48 E28:F32 J39:L40 A28:B32 I28:L32 J41:J48 A39:B48 I39:I4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2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&amp;P/&amp;N&amp;LЛебедев</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pageSetUpPr fitToPage="1"/>
  </sheetPr>
  <dimension ref="A1:C1"/>
  <sheetViews>
    <sheetView view="pageBreakPreview" zoomScaleNormal="100" zoomScaleSheetLayoutView="100" workbookViewId="0"/>
  </sheetViews>
  <sheetFormatPr defaultRowHeight="15" x14ac:dyDescent="0.25"/>
  <cols>
    <col min="1" max="1" width="9.140625" style="102"/>
    <col min="2" max="3" width="9.140625" style="101"/>
  </cols>
  <sheetData/>
  <pageMargins left="0.7" right="0.7" top="0.75" bottom="0.75" header="0.3" footer="0.3"/>
  <pageSetup paperSize="9" scale="95" fitToHeight="0" orientation="portrait" r:id="rId1"/>
  <headerFooter>
    <oddHeader>&amp;R&amp;D. &amp;T. Страница &amp;P/&amp;N&amp;LСКЛАД bCad</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36B0D-C4AA-4A37-8434-EECB83FEA606}">
  <sheetPr codeName="Лист8">
    <pageSetUpPr fitToPage="1"/>
  </sheetPr>
  <dimension ref="A1:AA34"/>
  <sheetViews>
    <sheetView view="pageBreakPreview" zoomScale="85" zoomScaleNormal="100" zoomScaleSheetLayoutView="85" workbookViewId="0">
      <selection activeCell="H14" sqref="H14"/>
    </sheetView>
  </sheetViews>
  <sheetFormatPr defaultRowHeight="15" x14ac:dyDescent="0.25"/>
  <cols>
    <col min="1" max="1" width="9.140625" style="30"/>
    <col min="2" max="2" width="31.7109375" style="30" customWidth="1"/>
    <col min="3" max="4" width="3.7109375" style="30" customWidth="1"/>
    <col min="5" max="5" width="8.7109375" style="30" customWidth="1"/>
    <col min="6" max="7" width="3.7109375" style="30" customWidth="1"/>
    <col min="8" max="8" width="8.7109375" style="30" customWidth="1"/>
    <col min="9" max="9" width="3.7109375" style="30" customWidth="1"/>
    <col min="10" max="10" width="36.7109375" style="30" bestFit="1" customWidth="1"/>
    <col min="11" max="11" width="62.140625" style="30" bestFit="1" customWidth="1"/>
    <col min="12" max="12" width="55.42578125" style="30" bestFit="1" customWidth="1"/>
    <col min="13" max="13" width="24.5703125" style="30" bestFit="1" customWidth="1"/>
    <col min="14" max="16384" width="9.140625" style="30"/>
  </cols>
  <sheetData>
    <row r="1" spans="1:15" ht="18.75" x14ac:dyDescent="0.3">
      <c r="A1" s="1" t="s">
        <v>201</v>
      </c>
      <c r="C1" s="81"/>
      <c r="D1" s="81"/>
      <c r="H1" s="82"/>
      <c r="I1" s="82"/>
      <c r="M1" s="83"/>
    </row>
    <row r="2" spans="1:15" ht="36.75" customHeight="1" x14ac:dyDescent="0.25">
      <c r="A2" s="65" t="s">
        <v>6</v>
      </c>
      <c r="B2" s="65" t="str">
        <f>"Наименование"</f>
        <v>Наименование</v>
      </c>
      <c r="C2" s="84" t="s">
        <v>9</v>
      </c>
      <c r="D2" s="84" t="s">
        <v>11</v>
      </c>
      <c r="E2" s="85" t="s">
        <v>97</v>
      </c>
      <c r="F2" s="84" t="s">
        <v>10</v>
      </c>
      <c r="G2" s="84" t="s">
        <v>12</v>
      </c>
      <c r="H2" s="86" t="s">
        <v>98</v>
      </c>
      <c r="I2" s="65" t="s">
        <v>104</v>
      </c>
      <c r="J2" s="65" t="s">
        <v>47</v>
      </c>
      <c r="K2" s="65" t="s">
        <v>48</v>
      </c>
      <c r="L2" s="65" t="s">
        <v>49</v>
      </c>
      <c r="M2" s="65" t="s">
        <v>4</v>
      </c>
    </row>
    <row r="3" spans="1:15" x14ac:dyDescent="0.25">
      <c r="A3" s="105"/>
      <c r="B3" s="107"/>
      <c r="C3" s="106"/>
      <c r="D3" s="106"/>
      <c r="E3" s="106"/>
      <c r="F3" s="106"/>
      <c r="G3" s="106"/>
      <c r="H3" s="106"/>
      <c r="I3" s="106"/>
      <c r="J3" s="106"/>
      <c r="K3" s="106"/>
      <c r="L3" s="106"/>
      <c r="M3" s="106"/>
      <c r="N3" s="105"/>
      <c r="O3" s="105"/>
    </row>
    <row r="4" spans="1:15" x14ac:dyDescent="0.25">
      <c r="A4" s="105"/>
      <c r="B4" s="107"/>
      <c r="C4" s="106"/>
      <c r="D4" s="106"/>
      <c r="E4" s="106"/>
      <c r="F4" s="106"/>
      <c r="G4" s="106"/>
      <c r="H4" s="106"/>
      <c r="I4" s="106"/>
      <c r="J4" s="106"/>
      <c r="K4" s="106"/>
      <c r="L4" s="106"/>
      <c r="M4" s="106"/>
      <c r="N4" s="105"/>
      <c r="O4" s="105"/>
    </row>
    <row r="5" spans="1:15" x14ac:dyDescent="0.25">
      <c r="A5" s="105"/>
      <c r="B5" s="107"/>
      <c r="C5" s="106"/>
      <c r="D5" s="106"/>
      <c r="E5" s="106"/>
      <c r="F5" s="106"/>
      <c r="G5" s="106"/>
      <c r="H5" s="106"/>
      <c r="I5" s="106"/>
      <c r="J5" s="106"/>
      <c r="K5" s="106"/>
      <c r="L5" s="106"/>
      <c r="M5" s="106"/>
      <c r="N5" s="105"/>
      <c r="O5" s="105"/>
    </row>
    <row r="6" spans="1:15" x14ac:dyDescent="0.25">
      <c r="A6" s="105"/>
      <c r="B6" s="107"/>
      <c r="C6" s="106"/>
      <c r="D6" s="106"/>
      <c r="E6" s="106"/>
      <c r="F6" s="106"/>
      <c r="G6" s="106"/>
      <c r="H6" s="106"/>
      <c r="I6" s="106"/>
      <c r="J6" s="106"/>
      <c r="K6" s="106"/>
      <c r="L6" s="106"/>
      <c r="M6" s="106"/>
      <c r="N6" s="105"/>
      <c r="O6" s="105"/>
    </row>
    <row r="7" spans="1:15" x14ac:dyDescent="0.25">
      <c r="A7" s="105"/>
      <c r="B7" s="107"/>
      <c r="C7" s="106"/>
      <c r="D7" s="106"/>
      <c r="E7" s="106"/>
      <c r="F7" s="106"/>
      <c r="G7" s="106"/>
      <c r="H7" s="106"/>
      <c r="I7" s="106"/>
      <c r="J7" s="106"/>
      <c r="K7" s="106"/>
      <c r="L7" s="106"/>
      <c r="M7" s="106"/>
      <c r="N7" s="105"/>
      <c r="O7" s="105"/>
    </row>
    <row r="8" spans="1:15" x14ac:dyDescent="0.25">
      <c r="A8" s="105"/>
      <c r="B8" s="107"/>
      <c r="C8" s="106"/>
      <c r="D8" s="106"/>
      <c r="E8" s="106"/>
      <c r="F8" s="106"/>
      <c r="G8" s="106"/>
      <c r="H8" s="106"/>
      <c r="I8" s="106"/>
      <c r="J8" s="106"/>
      <c r="K8" s="106"/>
      <c r="L8" s="106"/>
      <c r="M8" s="106"/>
      <c r="N8" s="105"/>
      <c r="O8" s="105"/>
    </row>
    <row r="9" spans="1:15" x14ac:dyDescent="0.25">
      <c r="A9" s="105"/>
      <c r="B9" s="107"/>
      <c r="C9" s="106"/>
      <c r="D9" s="106"/>
      <c r="E9" s="106"/>
      <c r="F9" s="106"/>
      <c r="G9" s="106"/>
      <c r="H9" s="106"/>
      <c r="I9" s="106"/>
      <c r="J9" s="106"/>
      <c r="K9" s="106"/>
      <c r="L9" s="106"/>
      <c r="M9" s="106"/>
      <c r="N9" s="105"/>
      <c r="O9" s="105"/>
    </row>
    <row r="10" spans="1:15" x14ac:dyDescent="0.25">
      <c r="A10" s="105"/>
      <c r="B10" s="107"/>
      <c r="C10" s="106"/>
      <c r="D10" s="106"/>
      <c r="E10" s="106"/>
      <c r="F10" s="106"/>
      <c r="G10" s="106"/>
      <c r="H10" s="106"/>
      <c r="I10" s="106"/>
      <c r="J10" s="106"/>
      <c r="K10" s="106"/>
      <c r="L10" s="106"/>
      <c r="M10" s="106"/>
      <c r="N10" s="105"/>
      <c r="O10" s="105"/>
    </row>
    <row r="11" spans="1:15" x14ac:dyDescent="0.25">
      <c r="A11" s="105"/>
      <c r="B11" s="107"/>
      <c r="C11" s="106"/>
      <c r="D11" s="106"/>
      <c r="E11" s="106"/>
      <c r="F11" s="106"/>
      <c r="G11" s="106"/>
      <c r="H11" s="106"/>
      <c r="I11" s="106"/>
      <c r="J11" s="106"/>
      <c r="K11" s="106"/>
      <c r="L11" s="106"/>
      <c r="M11" s="106"/>
      <c r="N11" s="105"/>
      <c r="O11" s="105"/>
    </row>
    <row r="12" spans="1:15" x14ac:dyDescent="0.25">
      <c r="A12" s="105"/>
      <c r="B12" s="107"/>
      <c r="C12" s="106"/>
      <c r="D12" s="106"/>
      <c r="E12" s="106"/>
      <c r="F12" s="106"/>
      <c r="G12" s="106"/>
      <c r="H12" s="106"/>
      <c r="I12" s="106"/>
      <c r="J12" s="106"/>
      <c r="K12" s="106"/>
      <c r="L12" s="106"/>
      <c r="M12" s="106"/>
      <c r="N12" s="105"/>
      <c r="O12" s="105"/>
    </row>
    <row r="13" spans="1:15" x14ac:dyDescent="0.25">
      <c r="A13" s="105"/>
      <c r="B13" s="107"/>
      <c r="C13" s="106"/>
      <c r="D13" s="106"/>
      <c r="E13" s="106"/>
      <c r="F13" s="106"/>
      <c r="G13" s="106"/>
      <c r="H13" s="106"/>
      <c r="I13" s="106"/>
      <c r="J13" s="106"/>
      <c r="K13" s="106"/>
      <c r="L13" s="106"/>
      <c r="M13" s="106"/>
      <c r="N13" s="105"/>
      <c r="O13" s="105"/>
    </row>
    <row r="14" spans="1:15" x14ac:dyDescent="0.25">
      <c r="A14" s="105"/>
      <c r="B14" s="107"/>
      <c r="C14" s="106"/>
      <c r="D14" s="106"/>
      <c r="E14" s="106"/>
      <c r="F14" s="106"/>
      <c r="G14" s="106"/>
      <c r="H14" s="106"/>
      <c r="I14" s="106"/>
      <c r="J14" s="106"/>
      <c r="K14" s="106"/>
      <c r="L14" s="106"/>
      <c r="M14" s="106"/>
      <c r="N14" s="105"/>
      <c r="O14" s="105"/>
    </row>
    <row r="15" spans="1:15" x14ac:dyDescent="0.25">
      <c r="A15" s="105"/>
      <c r="B15" s="107"/>
      <c r="C15" s="106"/>
      <c r="D15" s="106"/>
      <c r="E15" s="106"/>
      <c r="F15" s="106"/>
      <c r="G15" s="106"/>
      <c r="H15" s="106"/>
      <c r="I15" s="106"/>
      <c r="J15" s="106"/>
      <c r="K15" s="106"/>
      <c r="L15" s="106"/>
      <c r="M15" s="106"/>
      <c r="N15" s="105"/>
      <c r="O15" s="105"/>
    </row>
    <row r="16" spans="1:15" x14ac:dyDescent="0.25">
      <c r="A16" s="105"/>
      <c r="B16" s="107"/>
      <c r="C16" s="106"/>
      <c r="D16" s="106"/>
      <c r="E16" s="106"/>
      <c r="F16" s="106"/>
      <c r="G16" s="106"/>
      <c r="H16" s="106"/>
      <c r="I16" s="106"/>
      <c r="J16" s="106"/>
      <c r="K16" s="106"/>
      <c r="L16" s="106"/>
      <c r="M16" s="106"/>
      <c r="N16" s="105"/>
      <c r="O16" s="105"/>
    </row>
    <row r="17" spans="1:27" x14ac:dyDescent="0.25">
      <c r="A17" s="105"/>
      <c r="B17" s="107"/>
      <c r="C17" s="106"/>
      <c r="D17" s="106"/>
      <c r="E17" s="106"/>
      <c r="F17" s="106"/>
      <c r="G17" s="106"/>
      <c r="H17" s="106"/>
      <c r="I17" s="106"/>
      <c r="J17" s="106"/>
      <c r="K17" s="106"/>
      <c r="L17" s="106"/>
      <c r="M17" s="106"/>
      <c r="N17" s="105"/>
      <c r="O17" s="105"/>
    </row>
    <row r="18" spans="1:27" x14ac:dyDescent="0.25">
      <c r="A18" s="13"/>
      <c r="E18" s="50"/>
      <c r="F18" s="35"/>
      <c r="G18" s="34"/>
      <c r="H18" s="87" t="s">
        <v>99</v>
      </c>
      <c r="I18" s="93">
        <f>SUM(I3:I17)</f>
        <v>0</v>
      </c>
      <c r="J18" s="87"/>
      <c r="K18" s="87"/>
      <c r="L18" s="87" t="s">
        <v>100</v>
      </c>
      <c r="M18" s="97"/>
    </row>
    <row r="19" spans="1:27" x14ac:dyDescent="0.25">
      <c r="A19" s="34"/>
      <c r="B19" s="34"/>
      <c r="C19" s="88"/>
      <c r="D19" s="89"/>
      <c r="E19" s="35"/>
      <c r="F19" s="34"/>
      <c r="G19" s="34"/>
      <c r="H19" s="36"/>
    </row>
    <row r="20" spans="1:27" x14ac:dyDescent="0.25">
      <c r="A20" s="2" t="s">
        <v>8</v>
      </c>
    </row>
    <row r="22" spans="1:27" ht="18.75" x14ac:dyDescent="0.3">
      <c r="B22" s="1" t="s">
        <v>40</v>
      </c>
      <c r="C22" s="38"/>
      <c r="F22" s="38"/>
      <c r="G22" s="38"/>
    </row>
    <row r="23" spans="1:27" x14ac:dyDescent="0.25">
      <c r="A23" s="90" t="s">
        <v>6</v>
      </c>
      <c r="B23" s="112" t="s">
        <v>14</v>
      </c>
      <c r="C23" s="113"/>
      <c r="D23" s="113"/>
      <c r="E23" s="113"/>
      <c r="F23" s="113"/>
      <c r="G23" s="114"/>
      <c r="H23" s="91" t="s">
        <v>30</v>
      </c>
      <c r="I23" s="92" t="s">
        <v>194</v>
      </c>
      <c r="J23" s="90" t="s">
        <v>47</v>
      </c>
      <c r="K23" s="90" t="s">
        <v>51</v>
      </c>
      <c r="L23" s="90" t="s">
        <v>52</v>
      </c>
    </row>
    <row r="24" spans="1:27" x14ac:dyDescent="0.25">
      <c r="A24" s="3"/>
      <c r="B24" s="4"/>
      <c r="C24" s="46"/>
      <c r="D24" s="62"/>
      <c r="E24" s="63"/>
      <c r="F24" s="5"/>
      <c r="G24" s="43"/>
      <c r="H24" s="59"/>
      <c r="I24" s="104"/>
      <c r="J24" s="3"/>
      <c r="K24" s="3"/>
      <c r="L24" s="55"/>
      <c r="M24" s="56"/>
      <c r="N24"/>
      <c r="O24"/>
      <c r="P24"/>
      <c r="Q24"/>
      <c r="R24"/>
      <c r="S24"/>
      <c r="T24"/>
      <c r="U24"/>
      <c r="V24"/>
      <c r="W24"/>
      <c r="X24"/>
      <c r="Y24"/>
      <c r="Z24"/>
      <c r="AA24"/>
    </row>
    <row r="25" spans="1:27" x14ac:dyDescent="0.25">
      <c r="A25" s="3"/>
      <c r="B25" s="4"/>
      <c r="C25" s="46"/>
      <c r="D25" s="62"/>
      <c r="E25" s="63"/>
      <c r="F25" s="5"/>
      <c r="G25" s="43"/>
      <c r="H25" s="59"/>
      <c r="I25" s="104"/>
      <c r="J25" s="80"/>
      <c r="K25" s="3"/>
      <c r="L25" s="55"/>
      <c r="M25" s="56"/>
      <c r="N25"/>
      <c r="O25"/>
      <c r="P25"/>
      <c r="Q25"/>
      <c r="R25"/>
      <c r="S25"/>
      <c r="T25"/>
      <c r="U25"/>
      <c r="V25"/>
      <c r="W25"/>
      <c r="X25"/>
      <c r="Y25"/>
      <c r="Z25"/>
      <c r="AA25"/>
    </row>
    <row r="26" spans="1:27" x14ac:dyDescent="0.25">
      <c r="A26" s="3"/>
      <c r="B26" s="4"/>
      <c r="C26" s="46"/>
      <c r="D26" s="62"/>
      <c r="E26" s="63"/>
      <c r="F26" s="5"/>
      <c r="G26" s="43"/>
      <c r="H26" s="59"/>
      <c r="I26" s="104"/>
      <c r="J26" s="3"/>
      <c r="K26" s="3"/>
      <c r="L26" s="55"/>
      <c r="M26" s="56"/>
      <c r="N26"/>
      <c r="O26"/>
      <c r="P26"/>
      <c r="Q26"/>
      <c r="R26"/>
      <c r="S26"/>
      <c r="T26"/>
      <c r="U26"/>
      <c r="V26"/>
      <c r="W26"/>
      <c r="X26"/>
      <c r="Y26"/>
      <c r="Z26"/>
      <c r="AA26"/>
    </row>
    <row r="27" spans="1:27" x14ac:dyDescent="0.25">
      <c r="A27" s="3"/>
      <c r="B27" s="4"/>
      <c r="C27" s="46"/>
      <c r="D27" s="62"/>
      <c r="E27" s="63"/>
      <c r="F27" s="5"/>
      <c r="G27" s="43"/>
      <c r="H27" s="59"/>
      <c r="I27" s="104"/>
      <c r="J27" s="80"/>
      <c r="K27" s="3"/>
      <c r="L27" s="55"/>
      <c r="M27" s="56"/>
      <c r="N27"/>
      <c r="O27"/>
      <c r="P27"/>
      <c r="Q27"/>
      <c r="R27"/>
      <c r="S27"/>
      <c r="T27"/>
      <c r="U27"/>
      <c r="V27"/>
      <c r="W27"/>
      <c r="X27"/>
      <c r="Y27"/>
      <c r="Z27"/>
      <c r="AA27"/>
    </row>
    <row r="28" spans="1:27" x14ac:dyDescent="0.25">
      <c r="A28" s="3"/>
      <c r="B28" s="4"/>
      <c r="C28" s="46"/>
      <c r="D28" s="62"/>
      <c r="E28" s="63"/>
      <c r="F28" s="5"/>
      <c r="G28" s="43"/>
      <c r="H28" s="59"/>
      <c r="I28" s="104"/>
      <c r="J28" s="80"/>
      <c r="K28" s="3"/>
      <c r="L28" s="55"/>
      <c r="M28" s="56"/>
      <c r="N28"/>
      <c r="O28"/>
      <c r="P28"/>
      <c r="Q28"/>
      <c r="R28"/>
      <c r="S28"/>
      <c r="T28"/>
      <c r="U28"/>
      <c r="V28"/>
      <c r="W28"/>
      <c r="X28"/>
      <c r="Y28"/>
      <c r="Z28"/>
      <c r="AA28"/>
    </row>
    <row r="29" spans="1:27" x14ac:dyDescent="0.25">
      <c r="A29" s="3"/>
      <c r="B29" s="4"/>
      <c r="C29" s="46"/>
      <c r="D29" s="62"/>
      <c r="E29" s="63"/>
      <c r="F29" s="5"/>
      <c r="G29" s="43"/>
      <c r="H29" s="59"/>
      <c r="I29" s="104"/>
      <c r="J29" s="3"/>
      <c r="K29" s="3"/>
      <c r="L29" s="55"/>
      <c r="M29" s="56"/>
    </row>
    <row r="30" spans="1:27" x14ac:dyDescent="0.25">
      <c r="A30" s="3"/>
      <c r="B30" s="96"/>
      <c r="C30" s="46"/>
      <c r="D30" s="62"/>
      <c r="E30" s="63"/>
      <c r="F30" s="5"/>
      <c r="G30" s="43"/>
      <c r="H30" s="59"/>
      <c r="I30" s="104"/>
      <c r="J30" s="80"/>
      <c r="K30" s="3"/>
      <c r="L30" s="55"/>
      <c r="M30" s="56"/>
    </row>
    <row r="31" spans="1:27" x14ac:dyDescent="0.25">
      <c r="A31" s="3"/>
      <c r="B31" s="96"/>
      <c r="C31" s="46"/>
      <c r="D31" s="62"/>
      <c r="E31" s="63"/>
      <c r="F31" s="5"/>
      <c r="G31" s="43"/>
      <c r="H31" s="59"/>
      <c r="I31" s="104"/>
      <c r="J31" s="80"/>
      <c r="K31" s="3"/>
      <c r="L31" s="55"/>
      <c r="M31" s="56"/>
    </row>
    <row r="32" spans="1:27" x14ac:dyDescent="0.25">
      <c r="A32" s="3"/>
      <c r="B32" s="96"/>
      <c r="C32" s="46"/>
      <c r="D32" s="62"/>
      <c r="E32" s="63"/>
      <c r="F32" s="5"/>
      <c r="G32" s="43"/>
      <c r="H32" s="59"/>
      <c r="I32" s="104"/>
      <c r="J32" s="80"/>
      <c r="K32" s="3"/>
      <c r="L32" s="55"/>
      <c r="M32" s="56"/>
    </row>
    <row r="33" spans="1:13" x14ac:dyDescent="0.25">
      <c r="A33" s="3"/>
      <c r="B33" s="96"/>
      <c r="C33" s="46"/>
      <c r="D33" s="62"/>
      <c r="E33" s="63"/>
      <c r="F33" s="5"/>
      <c r="G33" s="43"/>
      <c r="H33" s="59"/>
      <c r="I33" s="104"/>
      <c r="J33" s="3"/>
      <c r="K33" s="3"/>
      <c r="L33" s="55"/>
      <c r="M33" s="56"/>
    </row>
    <row r="34" spans="1:13" x14ac:dyDescent="0.25">
      <c r="A34" s="3"/>
      <c r="B34" s="96"/>
      <c r="C34" s="46"/>
      <c r="D34" s="62"/>
      <c r="E34" s="63"/>
      <c r="F34" s="5"/>
      <c r="G34" s="43"/>
      <c r="H34" s="59"/>
      <c r="I34" s="104"/>
      <c r="J34" s="80"/>
      <c r="K34" s="3"/>
      <c r="L34" s="55"/>
      <c r="M34" s="56"/>
    </row>
  </sheetData>
  <sortState xmlns:xlrd2="http://schemas.microsoft.com/office/spreadsheetml/2017/richdata2" ref="A3:O17">
    <sortCondition ref="O3:O17"/>
    <sortCondition ref="B3:B17"/>
  </sortState>
  <mergeCells count="1">
    <mergeCell ref="B23:G23"/>
  </mergeCells>
  <dataValidations count="1">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34" xr:uid="{C3E99A9C-6051-48B5-BD2D-8BC750B4754A}">
      <formula1>E24&lt;&gt;"*"</formula1>
    </dataValidation>
  </dataValidations>
  <pageMargins left="0.23622047244094491" right="0.23622047244094491" top="0.74803149606299213" bottom="0.74803149606299213" header="0.31496062992125984" footer="0.31496062992125984"/>
  <pageSetup paperSize="9" scale="56" fitToHeight="0" orientation="landscape" r:id="rId1"/>
  <headerFooter>
    <oddHeader>&amp;R&amp;D. &amp;T. Страница &amp;P/&amp;N&amp;LКРОМКА Лебедев</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СкрытьПервыйСтолбик">
                <anchor>
                  <from>
                    <xdr:col>12</xdr:col>
                    <xdr:colOff>933450</xdr:colOff>
                    <xdr:row>0</xdr:row>
                    <xdr:rowOff>142875</xdr:rowOff>
                  </from>
                  <to>
                    <xdr:col>16</xdr:col>
                    <xdr:colOff>76200</xdr:colOff>
                    <xdr:row>3</xdr:row>
                    <xdr:rowOff>57150</xdr:rowOff>
                  </to>
                </anchor>
              </controlPr>
            </control>
          </mc:Choice>
        </mc:AlternateContent>
        <mc:AlternateContent xmlns:mc="http://schemas.openxmlformats.org/markup-compatibility/2006">
          <mc:Choice Requires="x14">
            <control shapeId="112642" r:id="rId5" name="Button 2">
              <controlPr defaultSize="0" print="0" autoFill="0" autoPict="0" macro="[0]!СкрытьПервыйСтолбик">
                <anchor>
                  <from>
                    <xdr:col>16</xdr:col>
                    <xdr:colOff>323850</xdr:colOff>
                    <xdr:row>1</xdr:row>
                    <xdr:rowOff>19050</xdr:rowOff>
                  </from>
                  <to>
                    <xdr:col>19</xdr:col>
                    <xdr:colOff>19050</xdr:colOff>
                    <xdr:row>1</xdr:row>
                    <xdr:rowOff>390525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61FD2-0849-476F-9F79-28D7027FBAFB}">
  <sheetPr codeName="Лист7">
    <pageSetUpPr fitToPage="1"/>
  </sheetPr>
  <dimension ref="A1:O31"/>
  <sheetViews>
    <sheetView view="pageBreakPreview" zoomScaleNormal="100" zoomScaleSheetLayoutView="100" workbookViewId="0">
      <selection activeCell="G39" sqref="G39"/>
    </sheetView>
  </sheetViews>
  <sheetFormatPr defaultRowHeight="15" x14ac:dyDescent="0.25"/>
  <cols>
    <col min="1" max="1" width="6.85546875" style="30" customWidth="1"/>
    <col min="2" max="2" width="31.7109375" style="30" customWidth="1"/>
    <col min="3" max="4" width="8.7109375" style="30" customWidth="1"/>
    <col min="5" max="5" width="4.7109375" style="30" customWidth="1"/>
    <col min="6" max="6" width="6.28515625" style="30" bestFit="1" customWidth="1"/>
    <col min="7" max="7" width="34.85546875" style="30" customWidth="1"/>
    <col min="8" max="8" width="46.7109375" style="30" customWidth="1"/>
    <col min="9" max="9" width="38.5703125" style="30" customWidth="1"/>
    <col min="10" max="10" width="22.7109375" style="30" customWidth="1"/>
    <col min="11" max="11" width="11.140625" style="30" bestFit="1" customWidth="1"/>
    <col min="12" max="16384" width="9.140625" style="30"/>
  </cols>
  <sheetData>
    <row r="1" spans="1:15" ht="18.75" x14ac:dyDescent="0.3">
      <c r="A1" s="1" t="s">
        <v>202</v>
      </c>
      <c r="D1" s="82"/>
      <c r="E1" s="82"/>
      <c r="F1" s="82"/>
      <c r="J1" s="83"/>
    </row>
    <row r="2" spans="1:15" ht="30" x14ac:dyDescent="0.25">
      <c r="A2" s="65" t="s">
        <v>6</v>
      </c>
      <c r="B2" s="65" t="str">
        <f>"Наименование"</f>
        <v>Наименование</v>
      </c>
      <c r="C2" s="85" t="s">
        <v>97</v>
      </c>
      <c r="D2" s="85" t="s">
        <v>98</v>
      </c>
      <c r="E2" s="65" t="s">
        <v>104</v>
      </c>
      <c r="F2" s="99" t="s">
        <v>105</v>
      </c>
      <c r="G2" s="65" t="s">
        <v>47</v>
      </c>
      <c r="H2" s="65" t="s">
        <v>48</v>
      </c>
      <c r="I2" s="65" t="s">
        <v>49</v>
      </c>
      <c r="J2" s="65" t="s">
        <v>4</v>
      </c>
    </row>
    <row r="3" spans="1:15" x14ac:dyDescent="0.25">
      <c r="A3" s="105"/>
      <c r="B3" s="107"/>
      <c r="C3" s="106"/>
      <c r="D3" s="106"/>
      <c r="E3" s="106"/>
      <c r="F3" s="106"/>
      <c r="G3" s="106"/>
      <c r="H3" s="106"/>
      <c r="I3" s="106"/>
      <c r="J3" s="106"/>
      <c r="K3" s="105"/>
      <c r="L3" s="105"/>
      <c r="M3" s="105"/>
      <c r="N3" s="105"/>
      <c r="O3" s="105"/>
    </row>
    <row r="4" spans="1:15" x14ac:dyDescent="0.25">
      <c r="A4" s="105"/>
      <c r="B4" s="107"/>
      <c r="C4" s="106"/>
      <c r="D4" s="106"/>
      <c r="E4" s="106"/>
      <c r="F4" s="106"/>
      <c r="G4" s="106"/>
      <c r="H4" s="106"/>
      <c r="I4" s="106"/>
      <c r="J4" s="106"/>
      <c r="K4" s="105"/>
      <c r="L4" s="105"/>
      <c r="M4" s="105"/>
      <c r="N4" s="105"/>
      <c r="O4" s="105"/>
    </row>
    <row r="5" spans="1:15" x14ac:dyDescent="0.25">
      <c r="A5" s="105"/>
      <c r="B5" s="107"/>
      <c r="C5" s="106"/>
      <c r="D5" s="106"/>
      <c r="E5" s="106"/>
      <c r="F5" s="106"/>
      <c r="G5" s="106"/>
      <c r="H5" s="106"/>
      <c r="I5" s="106"/>
      <c r="J5" s="106"/>
      <c r="K5" s="105"/>
      <c r="L5" s="105"/>
      <c r="M5" s="105"/>
      <c r="N5" s="105"/>
      <c r="O5" s="105"/>
    </row>
    <row r="6" spans="1:15" x14ac:dyDescent="0.25">
      <c r="A6" s="105"/>
      <c r="B6" s="107"/>
      <c r="C6" s="106"/>
      <c r="D6" s="106"/>
      <c r="E6" s="106"/>
      <c r="F6" s="106"/>
      <c r="G6" s="106"/>
      <c r="H6" s="106"/>
      <c r="I6" s="106"/>
      <c r="J6" s="106"/>
      <c r="K6" s="105"/>
      <c r="L6" s="105"/>
      <c r="M6" s="105"/>
      <c r="N6" s="105"/>
      <c r="O6" s="105"/>
    </row>
    <row r="7" spans="1:15" x14ac:dyDescent="0.25">
      <c r="A7" s="105"/>
      <c r="B7" s="107"/>
      <c r="C7" s="106"/>
      <c r="D7" s="106"/>
      <c r="E7" s="106"/>
      <c r="F7" s="106"/>
      <c r="G7" s="106"/>
      <c r="H7" s="106"/>
      <c r="I7" s="106"/>
      <c r="J7" s="106"/>
      <c r="K7" s="105"/>
      <c r="L7" s="105"/>
      <c r="M7" s="105"/>
      <c r="N7" s="105"/>
      <c r="O7" s="105"/>
    </row>
    <row r="8" spans="1:15" x14ac:dyDescent="0.25">
      <c r="A8" s="105"/>
      <c r="B8" s="107"/>
      <c r="C8" s="106"/>
      <c r="D8" s="106"/>
      <c r="E8" s="106"/>
      <c r="F8" s="106"/>
      <c r="G8" s="106"/>
      <c r="H8" s="106"/>
      <c r="I8" s="106"/>
      <c r="J8" s="106"/>
      <c r="K8" s="105"/>
      <c r="L8" s="105"/>
      <c r="M8" s="105"/>
      <c r="N8" s="105"/>
      <c r="O8" s="105"/>
    </row>
    <row r="9" spans="1:15" x14ac:dyDescent="0.25">
      <c r="A9" s="105"/>
      <c r="B9" s="107"/>
      <c r="C9" s="106"/>
      <c r="D9" s="106"/>
      <c r="E9" s="106"/>
      <c r="F9" s="106"/>
      <c r="G9" s="106"/>
      <c r="H9" s="106"/>
      <c r="I9" s="106"/>
      <c r="J9" s="106"/>
      <c r="K9" s="105"/>
      <c r="L9" s="105"/>
      <c r="M9" s="105"/>
      <c r="N9" s="105"/>
      <c r="O9" s="105"/>
    </row>
    <row r="10" spans="1:15" x14ac:dyDescent="0.25">
      <c r="A10" s="105"/>
      <c r="B10" s="107"/>
      <c r="C10" s="106"/>
      <c r="D10" s="106"/>
      <c r="E10" s="106"/>
      <c r="F10" s="106"/>
      <c r="G10" s="106"/>
      <c r="H10" s="106"/>
      <c r="I10" s="106"/>
      <c r="J10" s="106"/>
      <c r="K10" s="105"/>
      <c r="L10" s="105"/>
      <c r="M10" s="105"/>
      <c r="N10" s="105"/>
      <c r="O10" s="105"/>
    </row>
    <row r="11" spans="1:15" x14ac:dyDescent="0.25">
      <c r="A11" s="105"/>
      <c r="B11" s="107"/>
      <c r="C11" s="106"/>
      <c r="D11" s="106"/>
      <c r="E11" s="106"/>
      <c r="F11" s="106"/>
      <c r="G11" s="106"/>
      <c r="H11" s="106"/>
      <c r="I11" s="106"/>
      <c r="J11" s="106"/>
      <c r="K11" s="105"/>
      <c r="L11" s="105"/>
      <c r="M11" s="105"/>
      <c r="N11" s="105"/>
      <c r="O11" s="105"/>
    </row>
    <row r="12" spans="1:15" x14ac:dyDescent="0.25">
      <c r="A12" s="105"/>
      <c r="B12" s="107"/>
      <c r="C12" s="106"/>
      <c r="D12" s="106"/>
      <c r="E12" s="106"/>
      <c r="F12" s="106"/>
      <c r="G12" s="106"/>
      <c r="H12" s="106"/>
      <c r="I12" s="106"/>
      <c r="J12" s="106"/>
      <c r="K12" s="105"/>
      <c r="L12" s="105"/>
      <c r="M12" s="105"/>
      <c r="N12" s="105"/>
      <c r="O12" s="105"/>
    </row>
    <row r="13" spans="1:15" x14ac:dyDescent="0.25">
      <c r="A13" s="105"/>
      <c r="B13" s="107"/>
      <c r="C13" s="106"/>
      <c r="D13" s="106"/>
      <c r="E13" s="106"/>
      <c r="F13" s="106"/>
      <c r="G13" s="106"/>
      <c r="H13" s="106"/>
      <c r="I13" s="106"/>
      <c r="J13" s="106"/>
      <c r="K13" s="105"/>
      <c r="L13" s="105"/>
      <c r="M13" s="105"/>
      <c r="N13" s="105"/>
      <c r="O13" s="105"/>
    </row>
    <row r="14" spans="1:15" x14ac:dyDescent="0.25">
      <c r="A14" s="105"/>
      <c r="B14" s="107"/>
      <c r="C14" s="106"/>
      <c r="D14" s="106"/>
      <c r="E14" s="106"/>
      <c r="F14" s="106"/>
      <c r="G14" s="106"/>
      <c r="H14" s="106"/>
      <c r="I14" s="106"/>
      <c r="J14" s="106"/>
      <c r="K14" s="105"/>
      <c r="L14" s="105"/>
      <c r="M14" s="105"/>
      <c r="N14" s="105"/>
      <c r="O14" s="105"/>
    </row>
    <row r="15" spans="1:15" x14ac:dyDescent="0.25">
      <c r="A15" s="105"/>
      <c r="B15" s="107"/>
      <c r="C15" s="106"/>
      <c r="D15" s="106"/>
      <c r="E15" s="106"/>
      <c r="F15" s="106"/>
      <c r="G15" s="106"/>
      <c r="H15" s="106"/>
      <c r="I15" s="106"/>
      <c r="J15" s="106"/>
      <c r="K15" s="105"/>
      <c r="L15" s="105"/>
      <c r="M15" s="105"/>
      <c r="N15" s="105"/>
      <c r="O15" s="105"/>
    </row>
    <row r="16" spans="1:15" x14ac:dyDescent="0.25">
      <c r="A16" s="105"/>
      <c r="B16" s="107"/>
      <c r="C16" s="106"/>
      <c r="D16" s="106"/>
      <c r="E16" s="106"/>
      <c r="F16" s="106"/>
      <c r="G16" s="106"/>
      <c r="H16" s="106"/>
      <c r="I16" s="106"/>
      <c r="J16" s="106"/>
      <c r="K16" s="105"/>
      <c r="L16" s="105"/>
      <c r="M16" s="105"/>
      <c r="N16" s="105"/>
      <c r="O16" s="105"/>
    </row>
    <row r="17" spans="1:15" x14ac:dyDescent="0.25">
      <c r="A17" s="105"/>
      <c r="B17" s="107"/>
      <c r="C17" s="106"/>
      <c r="D17" s="106"/>
      <c r="E17" s="106"/>
      <c r="F17" s="106"/>
      <c r="G17" s="106"/>
      <c r="H17" s="106"/>
      <c r="I17" s="106"/>
      <c r="J17" s="106"/>
      <c r="K17" s="105"/>
      <c r="L17" s="105"/>
      <c r="M17" s="105"/>
      <c r="N17" s="105"/>
      <c r="O17" s="105"/>
    </row>
    <row r="18" spans="1:15" x14ac:dyDescent="0.25">
      <c r="A18" s="105"/>
      <c r="B18" s="107"/>
      <c r="C18" s="106"/>
      <c r="D18" s="106"/>
      <c r="E18" s="106"/>
      <c r="F18" s="106"/>
      <c r="G18" s="106"/>
      <c r="H18" s="106"/>
      <c r="I18" s="106"/>
      <c r="J18" s="106"/>
      <c r="K18" s="105"/>
      <c r="L18" s="105"/>
      <c r="M18" s="105"/>
      <c r="N18" s="105"/>
      <c r="O18" s="105"/>
    </row>
    <row r="19" spans="1:15" x14ac:dyDescent="0.25">
      <c r="A19" s="105"/>
      <c r="B19" s="107"/>
      <c r="C19" s="106"/>
      <c r="D19" s="106"/>
      <c r="E19" s="106"/>
      <c r="F19" s="106"/>
      <c r="G19" s="106"/>
      <c r="H19" s="106"/>
      <c r="I19" s="106"/>
      <c r="J19" s="106"/>
      <c r="K19" s="105"/>
      <c r="L19" s="105"/>
      <c r="M19" s="105"/>
      <c r="N19" s="105"/>
      <c r="O19" s="105"/>
    </row>
    <row r="20" spans="1:15" x14ac:dyDescent="0.25">
      <c r="A20" s="105"/>
      <c r="B20" s="107"/>
      <c r="C20" s="106"/>
      <c r="D20" s="106"/>
      <c r="E20" s="106"/>
      <c r="F20" s="106"/>
      <c r="G20" s="106"/>
      <c r="H20" s="106"/>
      <c r="I20" s="106"/>
      <c r="J20" s="106"/>
      <c r="K20" s="105"/>
      <c r="L20" s="105"/>
      <c r="M20" s="105"/>
      <c r="N20" s="105"/>
      <c r="O20" s="105"/>
    </row>
    <row r="21" spans="1:15" x14ac:dyDescent="0.25">
      <c r="A21" s="105"/>
      <c r="B21" s="107"/>
      <c r="C21" s="106"/>
      <c r="D21" s="106"/>
      <c r="E21" s="106"/>
      <c r="F21" s="106"/>
      <c r="G21" s="106"/>
      <c r="H21" s="106"/>
      <c r="I21" s="106"/>
      <c r="J21" s="106"/>
      <c r="K21" s="105"/>
      <c r="L21" s="105"/>
      <c r="M21" s="105"/>
      <c r="N21" s="105"/>
      <c r="O21" s="105"/>
    </row>
    <row r="22" spans="1:15" x14ac:dyDescent="0.25">
      <c r="A22" s="105"/>
      <c r="B22" s="107"/>
      <c r="C22" s="106"/>
      <c r="D22" s="106"/>
      <c r="E22" s="106"/>
      <c r="F22" s="106"/>
      <c r="G22" s="106"/>
      <c r="H22" s="106"/>
      <c r="I22" s="106"/>
      <c r="J22" s="106"/>
      <c r="K22" s="105"/>
      <c r="L22" s="105"/>
      <c r="M22" s="105"/>
      <c r="N22" s="105"/>
      <c r="O22" s="105"/>
    </row>
    <row r="23" spans="1:15" x14ac:dyDescent="0.25">
      <c r="A23" s="105"/>
      <c r="B23" s="107"/>
      <c r="C23" s="106"/>
      <c r="D23" s="106"/>
      <c r="E23" s="106"/>
      <c r="F23" s="106"/>
      <c r="G23" s="106"/>
      <c r="H23" s="106"/>
      <c r="I23" s="106"/>
      <c r="J23" s="106"/>
      <c r="K23" s="105"/>
      <c r="L23" s="105"/>
      <c r="M23" s="105"/>
      <c r="N23" s="105"/>
      <c r="O23" s="105"/>
    </row>
    <row r="24" spans="1:15" x14ac:dyDescent="0.25">
      <c r="A24" s="105"/>
      <c r="B24" s="107"/>
      <c r="C24" s="106"/>
      <c r="D24" s="106"/>
      <c r="E24" s="106"/>
      <c r="F24" s="106"/>
      <c r="G24" s="106"/>
      <c r="H24" s="106"/>
      <c r="I24" s="106"/>
      <c r="J24" s="106"/>
      <c r="K24" s="105"/>
      <c r="L24" s="105"/>
      <c r="M24" s="105"/>
      <c r="N24" s="105"/>
      <c r="O24" s="105"/>
    </row>
    <row r="25" spans="1:15" x14ac:dyDescent="0.25">
      <c r="A25" s="105"/>
      <c r="B25" s="107"/>
      <c r="C25" s="106"/>
      <c r="D25" s="106"/>
      <c r="E25" s="106"/>
      <c r="F25" s="106"/>
      <c r="G25" s="106"/>
      <c r="H25" s="106"/>
      <c r="I25" s="106"/>
      <c r="J25" s="106"/>
      <c r="K25" s="105"/>
      <c r="L25" s="105"/>
      <c r="M25" s="105"/>
      <c r="N25" s="105"/>
      <c r="O25" s="105"/>
    </row>
    <row r="26" spans="1:15" x14ac:dyDescent="0.25">
      <c r="A26" s="105"/>
      <c r="B26" s="107"/>
      <c r="C26" s="106"/>
      <c r="D26" s="106"/>
      <c r="E26" s="106"/>
      <c r="F26" s="106"/>
      <c r="G26" s="106"/>
      <c r="H26" s="106"/>
      <c r="I26" s="106"/>
      <c r="J26" s="106"/>
      <c r="K26" s="105"/>
      <c r="L26" s="105"/>
      <c r="M26" s="105"/>
      <c r="N26" s="105"/>
      <c r="O26" s="105"/>
    </row>
    <row r="27" spans="1:15" x14ac:dyDescent="0.25">
      <c r="A27" s="13"/>
      <c r="C27" s="50"/>
      <c r="D27" s="87" t="s">
        <v>99</v>
      </c>
      <c r="E27" s="94">
        <f>SUM(E3:E26)</f>
        <v>0</v>
      </c>
      <c r="F27" s="33"/>
      <c r="G27" s="87"/>
      <c r="H27" s="87"/>
      <c r="I27" s="87" t="s">
        <v>101</v>
      </c>
      <c r="J27" s="97">
        <v>36.242709999999988</v>
      </c>
    </row>
    <row r="28" spans="1:15" x14ac:dyDescent="0.25">
      <c r="A28" s="13"/>
      <c r="C28" s="50"/>
      <c r="D28" s="87"/>
      <c r="E28" s="33"/>
      <c r="F28" s="33"/>
      <c r="G28" s="87"/>
      <c r="H28" s="87"/>
      <c r="I28" s="87"/>
    </row>
    <row r="29" spans="1:15" x14ac:dyDescent="0.25">
      <c r="A29" s="2" t="s">
        <v>8</v>
      </c>
      <c r="C29" s="50"/>
      <c r="D29" s="87"/>
      <c r="E29" s="33"/>
      <c r="F29" s="33"/>
      <c r="G29" s="87"/>
      <c r="H29" s="87"/>
      <c r="I29" s="87"/>
    </row>
    <row r="31" spans="1:15" x14ac:dyDescent="0.25">
      <c r="A31" s="34"/>
      <c r="B31" s="34"/>
      <c r="C31" s="88"/>
      <c r="D31" s="88"/>
      <c r="E31" s="89"/>
      <c r="F31" s="89"/>
      <c r="G31" s="35"/>
      <c r="H31" s="34"/>
      <c r="I31" s="34"/>
      <c r="J31" s="36"/>
    </row>
  </sheetData>
  <sortState xmlns:xlrd2="http://schemas.microsoft.com/office/spreadsheetml/2017/richdata2" ref="A3:O26">
    <sortCondition ref="G3:G26"/>
    <sortCondition ref="B3:B26"/>
  </sortState>
  <pageMargins left="0.70866141732283472" right="0.70866141732283472" top="0.74803149606299213" bottom="0.74803149606299213" header="0.31496062992125984" footer="0.31496062992125984"/>
  <pageSetup paperSize="9" scale="62" fitToHeight="0" orientation="landscape" r:id="rId1"/>
  <headerFooter>
    <oddHeader>&amp;R&amp;D. &amp;T. Страница &amp;P/&amp;N&amp;LРАСПИЛ Лебедев</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СкрытьПервыйСтолбик">
                <anchor>
                  <from>
                    <xdr:col>11</xdr:col>
                    <xdr:colOff>361950</xdr:colOff>
                    <xdr:row>0</xdr:row>
                    <xdr:rowOff>114300</xdr:rowOff>
                  </from>
                  <to>
                    <xdr:col>14</xdr:col>
                    <xdr:colOff>0</xdr:colOff>
                    <xdr:row>1</xdr:row>
                    <xdr:rowOff>304800</xdr:rowOff>
                  </to>
                </anchor>
              </controlPr>
            </control>
          </mc:Choice>
        </mc:AlternateContent>
        <mc:AlternateContent xmlns:mc="http://schemas.openxmlformats.org/markup-compatibility/2006">
          <mc:Choice Requires="x14">
            <control shapeId="107522" r:id="rId5" name="Button 2">
              <controlPr defaultSize="0" print="0" autoFill="0" autoPict="0" macro="[0]!AutofitRASPIL">
                <anchor>
                  <from>
                    <xdr:col>14</xdr:col>
                    <xdr:colOff>104775</xdr:colOff>
                    <xdr:row>0</xdr:row>
                    <xdr:rowOff>142875</xdr:rowOff>
                  </from>
                  <to>
                    <xdr:col>15</xdr:col>
                    <xdr:colOff>561975</xdr:colOff>
                    <xdr:row>1</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39B3C-06A0-44D4-98B4-4F7A722A2739}">
  <sheetPr codeName="Лист11">
    <pageSetUpPr fitToPage="1"/>
  </sheetPr>
  <dimension ref="A1:N32"/>
  <sheetViews>
    <sheetView view="pageBreakPreview" zoomScale="85" zoomScaleNormal="100" zoomScaleSheetLayoutView="85" zoomScalePageLayoutView="70" workbookViewId="0">
      <selection activeCell="J28" sqref="J28"/>
    </sheetView>
  </sheetViews>
  <sheetFormatPr defaultRowHeight="15" x14ac:dyDescent="0.25"/>
  <cols>
    <col min="1" max="1" width="4.85546875" style="30" customWidth="1"/>
    <col min="2" max="2" width="31.7109375" style="30" customWidth="1"/>
    <col min="3" max="4" width="8.7109375" style="30" customWidth="1"/>
    <col min="5" max="5" width="4.7109375" style="30" customWidth="1"/>
    <col min="6" max="6" width="28" style="30" customWidth="1"/>
    <col min="7" max="7" width="53.7109375" style="30" customWidth="1"/>
    <col min="8" max="8" width="46.28515625" style="30" customWidth="1"/>
    <col min="9" max="9" width="24.5703125" style="30" bestFit="1" customWidth="1"/>
    <col min="10" max="10" width="9.85546875" style="30" bestFit="1" customWidth="1"/>
    <col min="11" max="16384" width="9.140625" style="30"/>
  </cols>
  <sheetData>
    <row r="1" spans="1:14" ht="18.75" x14ac:dyDescent="0.3">
      <c r="A1" s="1" t="s">
        <v>203</v>
      </c>
      <c r="D1" s="82"/>
      <c r="E1" s="82"/>
      <c r="I1" s="83"/>
      <c r="J1" s="82"/>
    </row>
    <row r="2" spans="1:14" ht="38.25" x14ac:dyDescent="0.25">
      <c r="A2" s="65" t="s">
        <v>6</v>
      </c>
      <c r="B2" s="65" t="str">
        <f>"Наименование"</f>
        <v>Наименование</v>
      </c>
      <c r="C2" s="98" t="s">
        <v>103</v>
      </c>
      <c r="D2" s="95" t="s">
        <v>195</v>
      </c>
      <c r="E2" s="85" t="s">
        <v>104</v>
      </c>
      <c r="F2" s="65" t="s">
        <v>47</v>
      </c>
      <c r="G2" s="65" t="s">
        <v>48</v>
      </c>
      <c r="H2" s="65" t="s">
        <v>49</v>
      </c>
      <c r="I2" s="85" t="s">
        <v>33</v>
      </c>
      <c r="J2" s="65" t="s">
        <v>102</v>
      </c>
    </row>
    <row r="3" spans="1:14" x14ac:dyDescent="0.25">
      <c r="A3" s="103"/>
      <c r="B3" s="108"/>
      <c r="C3" s="110"/>
      <c r="D3" s="103"/>
      <c r="E3" s="109"/>
      <c r="F3" s="103"/>
      <c r="G3" s="103"/>
      <c r="H3" s="103"/>
      <c r="I3" s="103"/>
      <c r="J3" s="103"/>
      <c r="K3" s="103"/>
      <c r="L3" s="103"/>
      <c r="M3" s="101"/>
      <c r="N3" s="101"/>
    </row>
    <row r="4" spans="1:14" x14ac:dyDescent="0.25">
      <c r="A4" s="103"/>
      <c r="B4" s="108"/>
      <c r="C4" s="110"/>
      <c r="D4" s="110"/>
      <c r="E4" s="109"/>
      <c r="F4" s="103"/>
      <c r="G4" s="103"/>
      <c r="H4" s="103"/>
      <c r="I4" s="103"/>
      <c r="J4" s="103"/>
      <c r="K4" s="103"/>
      <c r="L4" s="103"/>
      <c r="M4" s="101"/>
      <c r="N4" s="101"/>
    </row>
    <row r="5" spans="1:14" x14ac:dyDescent="0.25">
      <c r="A5" s="103"/>
      <c r="B5" s="108"/>
      <c r="C5" s="110"/>
      <c r="D5" s="110"/>
      <c r="E5" s="109"/>
      <c r="F5" s="103"/>
      <c r="G5" s="103"/>
      <c r="H5" s="103"/>
      <c r="I5" s="103"/>
      <c r="J5" s="103"/>
      <c r="K5" s="103"/>
      <c r="L5" s="103"/>
      <c r="M5" s="101"/>
      <c r="N5" s="101"/>
    </row>
    <row r="6" spans="1:14" x14ac:dyDescent="0.25">
      <c r="A6" s="103"/>
      <c r="B6" s="108"/>
      <c r="C6" s="110"/>
      <c r="D6" s="110"/>
      <c r="E6" s="109"/>
      <c r="F6" s="103"/>
      <c r="G6" s="103"/>
      <c r="H6" s="103"/>
      <c r="I6" s="103"/>
      <c r="J6" s="103"/>
      <c r="K6" s="103"/>
      <c r="L6" s="103"/>
      <c r="M6" s="101"/>
      <c r="N6" s="101"/>
    </row>
    <row r="7" spans="1:14" x14ac:dyDescent="0.25">
      <c r="A7" s="103"/>
      <c r="B7" s="108"/>
      <c r="C7" s="110"/>
      <c r="D7" s="110"/>
      <c r="E7" s="109"/>
      <c r="F7" s="103"/>
      <c r="G7" s="103"/>
      <c r="H7" s="103"/>
      <c r="I7" s="103"/>
      <c r="J7" s="103"/>
      <c r="K7" s="103"/>
      <c r="L7" s="103"/>
      <c r="M7" s="101"/>
      <c r="N7" s="101"/>
    </row>
    <row r="8" spans="1:14" x14ac:dyDescent="0.25">
      <c r="A8" s="103"/>
      <c r="B8" s="108"/>
      <c r="C8" s="110"/>
      <c r="D8" s="110"/>
      <c r="E8" s="109"/>
      <c r="F8" s="103"/>
      <c r="G8" s="103"/>
      <c r="H8" s="103"/>
      <c r="I8" s="103"/>
      <c r="J8" s="103"/>
      <c r="K8" s="103"/>
      <c r="L8" s="103"/>
      <c r="M8" s="101"/>
      <c r="N8" s="101"/>
    </row>
    <row r="9" spans="1:14" x14ac:dyDescent="0.25">
      <c r="A9" s="103"/>
      <c r="B9" s="108"/>
      <c r="C9" s="110"/>
      <c r="D9" s="110"/>
      <c r="E9" s="109"/>
      <c r="F9" s="103"/>
      <c r="G9" s="103"/>
      <c r="H9" s="103"/>
      <c r="I9" s="103"/>
      <c r="J9" s="103"/>
      <c r="K9" s="103"/>
      <c r="L9" s="103"/>
      <c r="M9" s="101"/>
      <c r="N9" s="101"/>
    </row>
    <row r="10" spans="1:14" x14ac:dyDescent="0.25">
      <c r="A10" s="103"/>
      <c r="B10" s="108"/>
      <c r="C10" s="110"/>
      <c r="D10" s="103"/>
      <c r="E10" s="109"/>
      <c r="F10" s="103"/>
      <c r="G10" s="103"/>
      <c r="H10" s="103"/>
      <c r="I10" s="103"/>
      <c r="J10" s="103"/>
      <c r="K10" s="103"/>
      <c r="L10" s="103"/>
      <c r="M10" s="101"/>
      <c r="N10" s="101"/>
    </row>
    <row r="11" spans="1:14" x14ac:dyDescent="0.25">
      <c r="A11" s="103"/>
      <c r="B11" s="108"/>
      <c r="C11" s="110"/>
      <c r="D11" s="110"/>
      <c r="E11" s="109"/>
      <c r="F11" s="103"/>
      <c r="G11" s="103"/>
      <c r="H11" s="103"/>
      <c r="I11" s="103"/>
      <c r="J11" s="103"/>
      <c r="K11" s="103"/>
      <c r="L11" s="103"/>
      <c r="M11" s="101"/>
      <c r="N11" s="101"/>
    </row>
    <row r="12" spans="1:14" x14ac:dyDescent="0.25">
      <c r="A12" s="103"/>
      <c r="B12" s="108"/>
      <c r="C12" s="110"/>
      <c r="D12" s="110"/>
      <c r="E12" s="109"/>
      <c r="F12" s="103"/>
      <c r="G12" s="103"/>
      <c r="H12" s="103"/>
      <c r="I12" s="103"/>
      <c r="J12" s="103"/>
      <c r="K12" s="103"/>
      <c r="L12" s="103"/>
      <c r="M12" s="101"/>
      <c r="N12" s="101"/>
    </row>
    <row r="13" spans="1:14" x14ac:dyDescent="0.25">
      <c r="A13" s="103"/>
      <c r="B13" s="108"/>
      <c r="C13" s="110"/>
      <c r="D13" s="110"/>
      <c r="E13" s="109"/>
      <c r="F13" s="103"/>
      <c r="G13" s="103"/>
      <c r="H13" s="103"/>
      <c r="I13" s="103"/>
      <c r="J13" s="103"/>
      <c r="K13" s="103"/>
      <c r="L13" s="103"/>
      <c r="M13" s="101"/>
      <c r="N13" s="101"/>
    </row>
    <row r="14" spans="1:14" x14ac:dyDescent="0.25">
      <c r="A14" s="103"/>
      <c r="B14" s="108"/>
      <c r="C14" s="110"/>
      <c r="D14" s="110"/>
      <c r="E14" s="109"/>
      <c r="F14" s="103"/>
      <c r="G14" s="103"/>
      <c r="H14" s="103"/>
      <c r="I14" s="103"/>
      <c r="J14" s="103"/>
      <c r="K14" s="103"/>
      <c r="L14" s="103"/>
      <c r="M14" s="101"/>
      <c r="N14" s="101"/>
    </row>
    <row r="15" spans="1:14" x14ac:dyDescent="0.25">
      <c r="A15" s="103"/>
      <c r="B15" s="108"/>
      <c r="C15" s="110"/>
      <c r="D15" s="110"/>
      <c r="E15" s="109"/>
      <c r="F15" s="103"/>
      <c r="G15" s="103"/>
      <c r="H15" s="103"/>
      <c r="I15" s="103"/>
      <c r="J15" s="103"/>
      <c r="K15" s="103"/>
      <c r="L15" s="103"/>
      <c r="M15" s="101"/>
      <c r="N15" s="101"/>
    </row>
    <row r="16" spans="1:14" x14ac:dyDescent="0.25">
      <c r="A16" s="103"/>
      <c r="B16" s="108"/>
      <c r="C16" s="110"/>
      <c r="D16" s="110"/>
      <c r="E16" s="109"/>
      <c r="F16" s="103"/>
      <c r="G16" s="103"/>
      <c r="H16" s="103"/>
      <c r="I16" s="103"/>
      <c r="J16" s="103"/>
      <c r="K16" s="103"/>
      <c r="L16" s="103"/>
      <c r="M16" s="101"/>
      <c r="N16" s="101"/>
    </row>
    <row r="17" spans="1:14" x14ac:dyDescent="0.25">
      <c r="A17" s="103"/>
      <c r="B17" s="108"/>
      <c r="C17" s="103"/>
      <c r="D17" s="103"/>
      <c r="E17" s="109"/>
      <c r="F17" s="103"/>
      <c r="G17" s="103"/>
      <c r="H17" s="103"/>
      <c r="I17" s="103"/>
      <c r="J17" s="103"/>
      <c r="K17" s="103"/>
      <c r="L17" s="103"/>
      <c r="M17" s="101"/>
      <c r="N17" s="101"/>
    </row>
    <row r="18" spans="1:14" x14ac:dyDescent="0.25">
      <c r="A18" s="103"/>
      <c r="B18" s="108"/>
      <c r="C18" s="103"/>
      <c r="D18" s="103"/>
      <c r="E18" s="109"/>
      <c r="F18" s="103"/>
      <c r="G18" s="103"/>
      <c r="H18" s="103"/>
      <c r="I18" s="103"/>
      <c r="J18" s="103"/>
      <c r="K18" s="103"/>
      <c r="L18" s="103"/>
      <c r="M18" s="101"/>
      <c r="N18" s="101"/>
    </row>
    <row r="19" spans="1:14" x14ac:dyDescent="0.25">
      <c r="A19" s="103"/>
      <c r="B19" s="108"/>
      <c r="C19" s="103"/>
      <c r="D19" s="103"/>
      <c r="E19" s="109"/>
      <c r="F19" s="103"/>
      <c r="G19" s="103"/>
      <c r="H19" s="103"/>
      <c r="I19" s="103"/>
      <c r="J19" s="103"/>
      <c r="K19" s="103"/>
      <c r="L19" s="103"/>
      <c r="M19" s="101"/>
      <c r="N19" s="101"/>
    </row>
    <row r="20" spans="1:14" x14ac:dyDescent="0.25">
      <c r="A20" s="103"/>
      <c r="B20" s="108"/>
      <c r="C20" s="111"/>
      <c r="D20" s="111"/>
      <c r="E20" s="109"/>
      <c r="F20" s="103"/>
      <c r="G20" s="103"/>
      <c r="H20" s="103"/>
      <c r="I20" s="103"/>
      <c r="J20" s="103"/>
      <c r="K20" s="103"/>
      <c r="L20" s="103"/>
      <c r="M20" s="101"/>
      <c r="N20" s="101"/>
    </row>
    <row r="21" spans="1:14" x14ac:dyDescent="0.25">
      <c r="A21" s="103"/>
      <c r="B21" s="108"/>
      <c r="C21" s="111"/>
      <c r="D21" s="111"/>
      <c r="E21" s="109"/>
      <c r="F21" s="103"/>
      <c r="G21" s="103"/>
      <c r="H21" s="103"/>
      <c r="I21" s="103"/>
      <c r="J21" s="103"/>
      <c r="K21" s="103"/>
      <c r="L21" s="103"/>
      <c r="M21" s="101"/>
      <c r="N21" s="101"/>
    </row>
    <row r="22" spans="1:14" x14ac:dyDescent="0.25">
      <c r="A22" s="103"/>
      <c r="B22" s="108"/>
      <c r="C22" s="111"/>
      <c r="D22" s="111"/>
      <c r="E22" s="109"/>
      <c r="F22" s="103"/>
      <c r="G22" s="103"/>
      <c r="H22" s="103"/>
      <c r="I22" s="103"/>
      <c r="J22" s="103"/>
      <c r="K22" s="103"/>
      <c r="L22" s="103"/>
      <c r="M22" s="101"/>
      <c r="N22" s="101"/>
    </row>
    <row r="23" spans="1:14" x14ac:dyDescent="0.25">
      <c r="A23" s="103"/>
      <c r="B23" s="108"/>
      <c r="C23" s="110"/>
      <c r="D23" s="110"/>
      <c r="E23" s="109"/>
      <c r="F23" s="103"/>
      <c r="G23" s="103"/>
      <c r="H23" s="103"/>
      <c r="I23" s="103"/>
      <c r="J23" s="103"/>
      <c r="K23" s="103"/>
      <c r="L23" s="103"/>
      <c r="M23" s="101"/>
      <c r="N23" s="101"/>
    </row>
    <row r="24" spans="1:14" x14ac:dyDescent="0.25">
      <c r="A24" s="103"/>
      <c r="B24" s="108"/>
      <c r="C24" s="110"/>
      <c r="D24" s="110"/>
      <c r="E24" s="109"/>
      <c r="F24" s="103"/>
      <c r="G24" s="103"/>
      <c r="H24" s="103"/>
      <c r="I24" s="103"/>
      <c r="J24" s="103"/>
      <c r="K24" s="103"/>
      <c r="L24" s="103"/>
      <c r="M24" s="101"/>
      <c r="N24" s="101"/>
    </row>
    <row r="25" spans="1:14" x14ac:dyDescent="0.25">
      <c r="A25" s="103"/>
      <c r="B25" s="108"/>
      <c r="C25" s="110"/>
      <c r="D25" s="110"/>
      <c r="E25" s="109"/>
      <c r="F25" s="103"/>
      <c r="G25" s="103"/>
      <c r="H25" s="103"/>
      <c r="I25" s="103"/>
      <c r="J25" s="103"/>
      <c r="K25" s="103"/>
      <c r="L25" s="103"/>
      <c r="M25" s="101"/>
      <c r="N25" s="101"/>
    </row>
    <row r="26" spans="1:14" x14ac:dyDescent="0.25">
      <c r="A26" s="103"/>
      <c r="B26" s="108"/>
      <c r="C26" s="110"/>
      <c r="D26" s="110"/>
      <c r="E26" s="109"/>
      <c r="F26" s="103"/>
      <c r="G26" s="103"/>
      <c r="H26" s="103"/>
      <c r="I26" s="103"/>
      <c r="J26" s="103"/>
      <c r="K26" s="103"/>
      <c r="L26" s="103"/>
      <c r="M26" s="101"/>
      <c r="N26" s="101"/>
    </row>
    <row r="27" spans="1:14" x14ac:dyDescent="0.25">
      <c r="A27" s="103"/>
      <c r="B27" s="108"/>
      <c r="C27" s="110"/>
      <c r="D27" s="110"/>
      <c r="E27" s="109"/>
      <c r="F27" s="103"/>
      <c r="G27" s="103"/>
      <c r="H27" s="103"/>
      <c r="I27" s="103"/>
      <c r="J27" s="103"/>
      <c r="K27" s="103"/>
      <c r="L27" s="103"/>
      <c r="M27" s="101"/>
      <c r="N27" s="101"/>
    </row>
    <row r="28" spans="1:14" x14ac:dyDescent="0.25">
      <c r="A28" s="13"/>
      <c r="C28" s="50"/>
      <c r="D28" s="87" t="s">
        <v>99</v>
      </c>
      <c r="E28" s="94">
        <f>SUM(E3:E27)</f>
        <v>0</v>
      </c>
      <c r="F28" s="87"/>
      <c r="G28" s="87"/>
      <c r="I28" s="87" t="s">
        <v>101</v>
      </c>
      <c r="J28" s="97"/>
    </row>
    <row r="29" spans="1:14" x14ac:dyDescent="0.25">
      <c r="A29" s="13"/>
      <c r="C29" s="50"/>
      <c r="D29" s="87"/>
      <c r="E29" s="33"/>
      <c r="F29" s="87"/>
      <c r="G29" s="87"/>
      <c r="H29" s="87"/>
      <c r="J29" s="33"/>
    </row>
    <row r="30" spans="1:14" x14ac:dyDescent="0.25">
      <c r="A30" s="2" t="s">
        <v>8</v>
      </c>
      <c r="C30" s="50"/>
      <c r="D30" s="87"/>
      <c r="E30" s="33"/>
      <c r="F30" s="87"/>
      <c r="G30" s="87"/>
      <c r="H30" s="87"/>
      <c r="J30" s="33"/>
    </row>
    <row r="32" spans="1:14" x14ac:dyDescent="0.25">
      <c r="A32" s="34"/>
      <c r="B32" s="34"/>
      <c r="C32" s="88"/>
      <c r="D32" s="88"/>
      <c r="E32" s="89"/>
      <c r="F32" s="35"/>
      <c r="G32" s="34"/>
      <c r="H32" s="34"/>
      <c r="I32" s="36"/>
      <c r="J32" s="89"/>
    </row>
  </sheetData>
  <pageMargins left="0.70866141732283472" right="0.70866141732283472" top="0.74803149606299213" bottom="0.74803149606299213" header="0.31496062992125984" footer="0.31496062992125984"/>
  <pageSetup paperSize="9" scale="59" fitToHeight="0" orientation="landscape" r:id="rId1"/>
  <headerFooter>
    <oddHeader>&amp;R&amp;D. &amp;T. Страница &amp;P/&amp;N&amp;LСБОРКА Лебедев</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СкрытьПервыйСтолбик">
                <anchor>
                  <from>
                    <xdr:col>11</xdr:col>
                    <xdr:colOff>180975</xdr:colOff>
                    <xdr:row>0</xdr:row>
                    <xdr:rowOff>180975</xdr:rowOff>
                  </from>
                  <to>
                    <xdr:col>15</xdr:col>
                    <xdr:colOff>371475</xdr:colOff>
                    <xdr:row>1</xdr:row>
                    <xdr:rowOff>371475</xdr:rowOff>
                  </to>
                </anchor>
              </controlPr>
            </control>
          </mc:Choice>
        </mc:AlternateContent>
        <mc:AlternateContent xmlns:mc="http://schemas.openxmlformats.org/markup-compatibility/2006">
          <mc:Choice Requires="x14">
            <control shapeId="117762" r:id="rId5" name="Button 2">
              <controlPr defaultSize="0" print="0" autoFill="0" autoPict="0" macro="[0]!AutofitRASPIL">
                <anchor>
                  <from>
                    <xdr:col>15</xdr:col>
                    <xdr:colOff>600075</xdr:colOff>
                    <xdr:row>0</xdr:row>
                    <xdr:rowOff>209550</xdr:rowOff>
                  </from>
                  <to>
                    <xdr:col>17</xdr:col>
                    <xdr:colOff>485775</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7</vt:i4>
      </vt:variant>
    </vt:vector>
  </HeadingPairs>
  <TitlesOfParts>
    <vt:vector size="13" baseType="lpstr">
      <vt:lpstr>ИсходныйСкрытый</vt:lpstr>
      <vt:lpstr>Деталировка</vt:lpstr>
      <vt:lpstr>СКЛАД</vt:lpstr>
      <vt:lpstr>КРОМКА</vt:lpstr>
      <vt:lpstr>РАСПИЛ</vt:lpstr>
      <vt:lpstr>СБОРКА</vt:lpstr>
      <vt:lpstr>КРОМКА!Заголовки_для_печати</vt:lpstr>
      <vt:lpstr>РАСПИЛ!Заголовки_для_печати</vt:lpstr>
      <vt:lpstr>СБОРКА!Заголовки_для_печати</vt:lpstr>
      <vt:lpstr>Деталировка!Область_печати</vt:lpstr>
      <vt:lpstr>КРОМКА!Область_печати</vt:lpstr>
      <vt:lpstr>РАСПИЛ!Область_печати</vt:lpstr>
      <vt:lpstr>СБОРКА!Область_печати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2022-02-25T12:00:06Z</cp:lastPrinted>
  <dcterms:created xsi:type="dcterms:W3CDTF">2014-06-23T08:47:00Z</dcterms:created>
  <dcterms:modified xsi:type="dcterms:W3CDTF">2022-02-26T19:48:03Z</dcterms:modified>
</cp:coreProperties>
</file>
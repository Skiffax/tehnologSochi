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3613FE53-3A79-449E-AEFE-DDD9BDF661F1}" xr6:coauthVersionLast="45" xr6:coauthVersionMax="47" xr10:uidLastSave="{00000000-0000-0000-0000-000000000000}"/>
  <bookViews>
    <workbookView xWindow="-120" yWindow="-120" windowWidth="29040" windowHeight="15840" tabRatio="368" xr2:uid="{00000000-000D-0000-FFFF-FFFF00000000}"/>
  </bookViews>
  <sheets>
    <sheet name="ИсходныйСкрытый" sheetId="662" r:id="rId1"/>
    <sheet name="Деталировка" sheetId="660" r:id="rId2"/>
    <sheet name="Склад" sheetId="663" r:id="rId3"/>
  </sheets>
  <functionGroups builtInGroupCount="19"/>
  <definedNames>
    <definedName name="_xlnm._FilterDatabase" localSheetId="1" hidden="1">Деталировка!#REF!</definedName>
    <definedName name="_xlnm.Print_Area" localSheetId="1">Деталировка!$A$2:$M$26</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0" i="660" l="1"/>
  <c r="A10" i="660" s="1"/>
  <c r="J6" i="660"/>
  <c r="A6" i="660" s="1"/>
  <c r="M6" i="660"/>
  <c r="F6" i="660" s="1"/>
  <c r="L6" i="660"/>
  <c r="K6" i="660"/>
  <c r="B6" i="660"/>
  <c r="M8" i="660"/>
  <c r="E8" i="660" s="1"/>
  <c r="N8" i="660" s="1"/>
  <c r="L8" i="660"/>
  <c r="K8" i="660"/>
  <c r="J8" i="660"/>
  <c r="B8" i="660"/>
  <c r="M4" i="660"/>
  <c r="F4" i="660" s="1"/>
  <c r="L4" i="660"/>
  <c r="K4" i="660"/>
  <c r="J4" i="660"/>
  <c r="A4" i="660" s="1"/>
  <c r="I4" i="660"/>
  <c r="B4" i="660"/>
  <c r="M5" i="660"/>
  <c r="E5" i="660" s="1"/>
  <c r="N5" i="660" s="1"/>
  <c r="L5" i="660"/>
  <c r="K5" i="660"/>
  <c r="J5" i="660"/>
  <c r="A5" i="660" s="1"/>
  <c r="I5" i="660"/>
  <c r="B5" i="660"/>
  <c r="M9" i="660"/>
  <c r="L9" i="660"/>
  <c r="K9" i="660"/>
  <c r="J9" i="660"/>
  <c r="A9" i="660" s="1"/>
  <c r="I9" i="660"/>
  <c r="B9" i="660"/>
  <c r="M10" i="660"/>
  <c r="I10" i="660" s="1"/>
  <c r="L10" i="660"/>
  <c r="K10" i="660"/>
  <c r="B10" i="660"/>
  <c r="M7" i="660"/>
  <c r="L7" i="660"/>
  <c r="K7" i="660"/>
  <c r="J7" i="660"/>
  <c r="A7" i="660" s="1"/>
  <c r="I7" i="660"/>
  <c r="B7" i="660"/>
  <c r="I8" i="660" l="1"/>
  <c r="F9" i="660"/>
  <c r="E9" i="660"/>
  <c r="N9" i="660" s="1"/>
  <c r="F7" i="660"/>
  <c r="E7" i="660"/>
  <c r="N7" i="660" s="1"/>
  <c r="E4" i="660"/>
  <c r="N4" i="660" s="1"/>
  <c r="I6" i="660"/>
  <c r="A8" i="660"/>
  <c r="E10" i="660"/>
  <c r="N10" i="660" s="1"/>
  <c r="E6" i="660"/>
  <c r="N6" i="660" s="1"/>
  <c r="F5" i="660"/>
  <c r="F10" i="660"/>
  <c r="F8" i="660"/>
  <c r="I11" i="660" l="1"/>
  <c r="M5" i="662"/>
  <c r="F5" i="662" s="1"/>
  <c r="L5" i="662"/>
  <c r="K5" i="662"/>
  <c r="J5" i="662"/>
  <c r="A5" i="662" s="1"/>
  <c r="B5" i="662"/>
  <c r="I5" i="662" l="1"/>
  <c r="E5" i="662"/>
  <c r="N5" i="662" s="1"/>
  <c r="M15" i="662"/>
  <c r="H15" i="662" s="1"/>
  <c r="J15" i="662"/>
  <c r="A15" i="662" s="1"/>
  <c r="I15" i="662"/>
  <c r="I50" i="660"/>
  <c r="I34" i="660"/>
  <c r="B3" i="660"/>
  <c r="A2" i="660"/>
  <c r="D15" i="662" l="1"/>
  <c r="N15" i="662" s="1"/>
  <c r="E15" i="662"/>
  <c r="A19" i="660"/>
  <c r="A38" i="660"/>
  <c r="A27"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charset val="1"/>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1"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19"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sharedStrings.xml><?xml version="1.0" encoding="utf-8"?>
<sst xmlns="http://schemas.openxmlformats.org/spreadsheetml/2006/main" count="136" uniqueCount="99">
  <si>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</si>
  <si>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</si>
  <si>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</si>
  <si>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</si>
  <si>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</si>
  <si>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</si>
  <si>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</si>
  <si>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</si>
  <si>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</si>
  <si>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</si>
  <si>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</si>
  <si>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</si>
  <si>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</si>
  <si>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</si>
  <si>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</si>
  <si>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</si>
  <si>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</si>
  <si>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</si>
  <si>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</si>
  <si>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</si>
  <si>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</si>
  <si>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</si>
  <si>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</si>
  <si>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</si>
  <si>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</si>
  <si>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</si>
  <si>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</si>
  <si>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</si>
  <si>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</si>
  <si>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</si>
  <si>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</si>
  <si>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</si>
  <si>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</si>
  <si>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</si>
  <si>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</si>
  <si>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</si>
  <si>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</si>
  <si>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</si>
  <si>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</si>
  <si>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</si>
  <si>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</si>
  <si>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</si>
  <si>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</si>
  <si>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</si>
  <si>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</si>
  <si>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</si>
  <si>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</si>
  <si>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</si>
  <si>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</si>
  <si>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</si>
  <si>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</si>
  <si>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</si>
  <si>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</si>
  <si>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</si>
  <si>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</si>
  <si>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</si>
  <si>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</si>
  <si>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</si>
  <si>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</si>
  <si>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</si>
  <si>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</si>
  <si>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</si>
  <si>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</si>
  <si>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</si>
  <si>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</si>
  <si>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</si>
  <si>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</si>
  <si>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</si>
  <si>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</si>
  <si>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</si>
  <si>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</si>
  <si>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</si>
  <si>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</si>
  <si>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</si>
  <si>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</si>
  <si>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</si>
  <si>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</si>
  <si>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</si>
  <si>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</si>
  <si>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</si>
  <si>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</si>
  <si>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</si>
  <si>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</si>
  <si>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</si>
  <si>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</si>
  <si>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</si>
  <si>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</si>
  <si>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</si>
  <si>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камень_Akrilika MA-502 Everest 3660*760*12 б/к</t>
  </si>
  <si>
    <t>Склейка 28 ДСП</t>
  </si>
  <si>
    <t>ЛДСП Lamarty 2750*1830*16 Белый б/к</t>
  </si>
  <si>
    <t>МДФ 2800х2070х16 лам. Белый 2 ст. б/к</t>
  </si>
  <si>
    <t>XДФ 2800*2070*4 Белый б/к</t>
  </si>
  <si>
    <t>ЛДСП Lamarty 2750*1830*16мм Вулканический серый б/к</t>
  </si>
  <si>
    <t>ЛДСП FB68 Ares 2800х2070х18</t>
  </si>
  <si>
    <t>D:/table.txt</t>
  </si>
  <si>
    <t>Из файла загружаются лишь те записи, которые не были найдены здесь</t>
  </si>
  <si>
    <t>bCAD</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</si>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</sst>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
      <b/>
      <sz val="9"/>
      <color indexed="81"/>
      <name val="Tahoma"/>
      <charset val="1"/>
    </font>
  </fonts>
  <fills count="3">
    <fill>
      <patternFill patternType="none"/>
    </fill>
    <fill>
      <patternFill patternType="gray125"/>
    </fill>
    <fill>
      <patternFill patternType="solid">
        <fgColor rgb="FFCC9900"/>
        <bgColor indexed="64"/>
      </patternFill>
    </fill>
  </fills>
  <borders count="8">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s>
  <cellStyleXfs count="2">
    <xf numFmtId="0" fontId="0" fillId="0" borderId="0"/>
    <xf numFmtId="0" fontId="1" fillId="0" borderId="0"/>
  </cellStyleXfs>
  <cellXfs count="81">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0" xfId="0" applyAlignment="1">
      <alignment horizontal="center"/>
    </xf>
  </cellXfs>
  <cellStyles count="2">
    <cellStyle name="Обычный" xfId="0" builtinId="0"/>
    <cellStyle name="Обычный 3" xfId="1" xr:uid="{00000000-0005-0000-0000-000001000000}"/>
  </cellStyles>
  <dxfs count="216">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753D0075-40C9-4251-8B06-D81C781617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85725</xdr:colOff>
          <xdr:row>0</xdr:row>
          <xdr:rowOff>133350</xdr:rowOff>
        </xdr:from>
        <xdr:to>
          <xdr:col>19</xdr:col>
          <xdr:colOff>409575</xdr:colOff>
          <xdr:row>3</xdr:row>
          <xdr:rowOff>152400</xdr:rowOff>
        </xdr:to>
        <xdr:sp macro="" textlink="">
          <xdr:nvSpPr>
            <xdr:cNvPr id="46081" name="Button 1" descr="Проверка сумм" hidden="1">
              <a:extLst>
                <a:ext uri="{63B3BB69-23CF-44E3-9099-C40C66FF867C}">
                  <a14:compatExt spid="_x0000_s46081"/>
                </a:ext>
                <a:ext uri="{FF2B5EF4-FFF2-40B4-BE49-F238E27FC236}">
                  <a16:creationId xmlns:a16="http://schemas.microsoft.com/office/drawing/2014/main" id="{00000000-0008-0000-0200-000001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rPr>
                <a:t>Вставить и рассчитать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85725</xdr:colOff>
          <xdr:row>7</xdr:row>
          <xdr:rowOff>171450</xdr:rowOff>
        </xdr:from>
        <xdr:to>
          <xdr:col>19</xdr:col>
          <xdr:colOff>400050</xdr:colOff>
          <xdr:row>11</xdr:row>
          <xdr:rowOff>28575</xdr:rowOff>
        </xdr:to>
        <xdr:sp macro="" textlink="">
          <xdr:nvSpPr>
            <xdr:cNvPr id="46082" name="Button 2" descr="Проверка сумм" hidden="1">
              <a:extLst>
                <a:ext uri="{63B3BB69-23CF-44E3-9099-C40C66FF867C}">
                  <a14:compatExt spid="_x0000_s46082"/>
                </a:ext>
                <a:ext uri="{FF2B5EF4-FFF2-40B4-BE49-F238E27FC236}">
                  <a16:creationId xmlns:a16="http://schemas.microsoft.com/office/drawing/2014/main" id="{00000000-0008-0000-0200-000002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rPr>
                <a:t>Очистить всё</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195"/>
  <sheetViews>
    <sheetView tabSelected="1" workbookViewId="0">
      <selection activeCell="B40" sqref="B40"/>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96</v>
      </c>
    </row>
    <row r="54" spans="1:6" ht="18.75" x14ac:dyDescent="0.3">
      <c r="A54" s="1" t="s">
        <v>55</v>
      </c>
      <c r="B54" t="s">
        <v>95</v>
      </c>
      <c r="F54" t="s">
        <v>98</v>
      </c>
    </row>
    <row r="55" spans="1:6" x14ac:dyDescent="0.25">
      <c r="A55" s="64" t="s">
        <v>56</v>
      </c>
      <c r="B55" s="64" t="s">
        <v>57</v>
      </c>
    </row>
    <row r="56" spans="1:6" s="30" customFormat="1" x14ac:dyDescent="0.25">
      <c r="A56" s="18"/>
      <c r="B56" s="18"/>
    </row>
    <row r="57" spans="1:6" s="30" customFormat="1" x14ac:dyDescent="0.25">
      <c r="A57" s="18"/>
      <c r="B57" s="18"/>
    </row>
    <row r="58" spans="1:6" s="30" customFormat="1" x14ac:dyDescent="0.25">
      <c r="A58" s="18"/>
      <c r="B58" s="18"/>
    </row>
    <row r="59" spans="1:6" x14ac:dyDescent="0.25">
      <c r="A59" s="18"/>
      <c r="B59" s="18"/>
    </row>
    <row r="60" spans="1:6" x14ac:dyDescent="0.25">
      <c r="A60" s="18"/>
      <c r="B60" s="18"/>
    </row>
    <row r="61" spans="1:6" x14ac:dyDescent="0.25">
      <c r="A61" s="18"/>
      <c r="B61" s="18"/>
    </row>
    <row r="62" spans="1:6" x14ac:dyDescent="0.25">
      <c r="A62" s="18"/>
      <c r="B62" s="18"/>
    </row>
    <row r="63" spans="1:6" x14ac:dyDescent="0.25">
      <c r="A63" s="18"/>
      <c r="B63" s="18"/>
    </row>
    <row r="64" spans="1:6" x14ac:dyDescent="0.25">
      <c r="A64" s="18"/>
      <c r="B64" s="18"/>
    </row>
    <row r="65" spans="1:2" x14ac:dyDescent="0.25">
      <c r="A65" s="18"/>
      <c r="B65" s="18"/>
    </row>
    <row r="66" spans="1:2" x14ac:dyDescent="0.25">
      <c r="A66" s="18"/>
      <c r="B66" s="18"/>
    </row>
    <row r="67" spans="1:2" x14ac:dyDescent="0.25">
      <c r="A67" s="18"/>
      <c r="B67" s="18"/>
    </row>
    <row r="68" spans="1:2" x14ac:dyDescent="0.25">
      <c r="A68" s="18"/>
      <c r="B68" s="18"/>
    </row>
    <row r="69" spans="1:2" x14ac:dyDescent="0.25">
      <c r="A69" s="18"/>
      <c r="B69" s="18"/>
    </row>
    <row r="70" spans="1:2" x14ac:dyDescent="0.25">
      <c r="A70" s="18"/>
      <c r="B70" s="18"/>
    </row>
    <row r="71" spans="1:2" x14ac:dyDescent="0.25">
      <c r="A71" s="18"/>
      <c r="B71" s="18"/>
    </row>
    <row r="72" spans="1:2" x14ac:dyDescent="0.25">
      <c r="A72" s="18"/>
      <c r="B72" s="18"/>
    </row>
    <row r="73" spans="1:2" x14ac:dyDescent="0.25">
      <c r="A73" s="18"/>
      <c r="B73" s="18"/>
    </row>
    <row r="74" spans="1:2" x14ac:dyDescent="0.25">
      <c r="A74" s="18"/>
      <c r="B74" s="18"/>
    </row>
    <row r="75" spans="1:2" x14ac:dyDescent="0.25">
      <c r="A75" s="18"/>
      <c r="B75" s="18"/>
    </row>
    <row r="76" spans="1:2" x14ac:dyDescent="0.25">
      <c r="A76" s="18"/>
      <c r="B76" s="18"/>
    </row>
    <row r="77" spans="1:2" x14ac:dyDescent="0.25">
      <c r="A77" s="18"/>
      <c r="B77" s="18"/>
    </row>
    <row r="78" spans="1:2" x14ac:dyDescent="0.25">
      <c r="A78" s="18"/>
      <c r="B78" s="18"/>
    </row>
    <row r="79" spans="1:2" x14ac:dyDescent="0.25">
      <c r="A79" s="18"/>
      <c r="B79" s="18"/>
    </row>
    <row r="80" spans="1:2" x14ac:dyDescent="0.25">
      <c r="A80" s="18"/>
      <c r="B80" s="18"/>
    </row>
    <row r="81" spans="1:2" x14ac:dyDescent="0.25">
      <c r="A81" s="18"/>
      <c r="B81" s="18"/>
    </row>
    <row r="82" spans="1:2" x14ac:dyDescent="0.25">
      <c r="A82" s="18"/>
      <c r="B82" s="18"/>
    </row>
    <row r="83" spans="1:2" x14ac:dyDescent="0.25">
      <c r="A83" s="18"/>
      <c r="B83" s="18"/>
    </row>
    <row r="84" spans="1:2" x14ac:dyDescent="0.25">
      <c r="A84" s="18"/>
      <c r="B84" s="18"/>
    </row>
    <row r="85" spans="1:2" x14ac:dyDescent="0.25">
      <c r="A85" s="18"/>
      <c r="B85" s="18"/>
    </row>
    <row r="86" spans="1:2" x14ac:dyDescent="0.25">
      <c r="A86" s="18"/>
      <c r="B86" s="18"/>
    </row>
    <row r="87" spans="1:2" x14ac:dyDescent="0.25">
      <c r="A87" s="18"/>
      <c r="B87" s="18"/>
    </row>
    <row r="88" spans="1:2" x14ac:dyDescent="0.25">
      <c r="A88" s="18"/>
      <c r="B88" s="18"/>
    </row>
    <row r="89" spans="1:2" x14ac:dyDescent="0.25">
      <c r="A89" s="18"/>
      <c r="B89" s="18"/>
    </row>
    <row r="90" spans="1:2" x14ac:dyDescent="0.25">
      <c r="A90" s="18"/>
      <c r="B90" s="18"/>
    </row>
    <row r="91" spans="1:2" x14ac:dyDescent="0.25">
      <c r="A91" s="18"/>
      <c r="B91" s="18"/>
    </row>
    <row r="92" spans="1:2" x14ac:dyDescent="0.25">
      <c r="A92" s="18"/>
      <c r="B92" s="18"/>
    </row>
    <row r="93" spans="1:2" x14ac:dyDescent="0.25">
      <c r="A93" s="18"/>
      <c r="B93" s="18"/>
    </row>
    <row r="94" spans="1:2" x14ac:dyDescent="0.25">
      <c r="A94" s="18"/>
      <c r="B94" s="18"/>
    </row>
    <row r="95" spans="1:2" x14ac:dyDescent="0.25">
      <c r="A95" s="18"/>
      <c r="B95" s="18"/>
    </row>
    <row r="96" spans="1:2" x14ac:dyDescent="0.25">
      <c r="A96" s="18"/>
      <c r="B96" s="18"/>
    </row>
    <row r="97" spans="1:2" x14ac:dyDescent="0.25">
      <c r="A97" s="18"/>
      <c r="B97" s="18"/>
    </row>
    <row r="98" spans="1:2" x14ac:dyDescent="0.25">
      <c r="A98" s="18"/>
      <c r="B98" s="18"/>
    </row>
    <row r="99" spans="1:2" x14ac:dyDescent="0.25">
      <c r="A99" s="18"/>
      <c r="B99" s="18"/>
    </row>
    <row r="100" spans="1:2" x14ac:dyDescent="0.25">
      <c r="A100" s="18"/>
      <c r="B100" s="18"/>
    </row>
    <row r="101" spans="1:2" x14ac:dyDescent="0.25">
      <c r="A101" s="18"/>
      <c r="B101" s="18"/>
    </row>
    <row r="102" spans="1:2" x14ac:dyDescent="0.25">
      <c r="A102" s="18"/>
      <c r="B102" s="18"/>
    </row>
    <row r="103" spans="1:2" x14ac:dyDescent="0.25">
      <c r="A103" s="18"/>
      <c r="B103" s="18"/>
    </row>
    <row r="104" spans="1:2" x14ac:dyDescent="0.25">
      <c r="A104" s="18"/>
      <c r="B104" s="18"/>
    </row>
    <row r="105" spans="1:2" x14ac:dyDescent="0.25">
      <c r="A105" s="18"/>
      <c r="B105" s="18"/>
    </row>
    <row r="106" spans="1:2" x14ac:dyDescent="0.25">
      <c r="A106" s="18"/>
      <c r="B106" s="18"/>
    </row>
    <row r="107" spans="1:2" x14ac:dyDescent="0.25">
      <c r="A107" s="18"/>
      <c r="B107" s="18"/>
    </row>
    <row r="108" spans="1:2" x14ac:dyDescent="0.25">
      <c r="A108" s="18"/>
      <c r="B108" s="18"/>
    </row>
    <row r="109" spans="1:2" x14ac:dyDescent="0.25">
      <c r="A109" s="18"/>
      <c r="B109" s="18"/>
    </row>
    <row r="110" spans="1:2" x14ac:dyDescent="0.25">
      <c r="A110" s="18"/>
      <c r="B110" s="18"/>
    </row>
    <row r="111" spans="1:2" x14ac:dyDescent="0.25">
      <c r="A111" s="18"/>
      <c r="B111" s="18"/>
    </row>
    <row r="112" spans="1:2" x14ac:dyDescent="0.25">
      <c r="A112" s="18"/>
      <c r="B112" s="18"/>
    </row>
    <row r="113" spans="1:2" x14ac:dyDescent="0.25">
      <c r="A113" s="18"/>
      <c r="B113" s="18"/>
    </row>
    <row r="114" spans="1:2" x14ac:dyDescent="0.25">
      <c r="A114" s="18"/>
      <c r="B114" s="18"/>
    </row>
    <row r="115" spans="1:2" x14ac:dyDescent="0.25">
      <c r="A115" s="18"/>
      <c r="B115" s="18"/>
    </row>
    <row r="195" spans="35:35" x14ac:dyDescent="0.25">
      <c r="AI195" t="s">
        <v>59</v>
      </c>
    </row>
  </sheetData>
  <conditionalFormatting sqref="D15">
    <cfRule type="expression" dxfId="215" priority="19">
      <formula>AND(AND(NOT(ISBLANK(C15)),NOT(C15=$O$1)),AND(NOT(ISBLANK(B15)),NOT(B15=$O$1)))</formula>
    </cfRule>
    <cfRule type="expression" dxfId="214" priority="20">
      <formula>OR(AND(NOT(ISBLANK(C15)),NOT(C15=$O$1)),AND(NOT(ISBLANK(B15)),NOT(B15=$O$1)))</formula>
    </cfRule>
  </conditionalFormatting>
  <conditionalFormatting sqref="E15">
    <cfRule type="expression" dxfId="213" priority="17">
      <formula>AND(AND(NOT(ISBLANK(F15)),NOT(F15=$O$1)),AND(NOT(ISBLANK(G15)),NOT(G15=$O$1)))</formula>
    </cfRule>
    <cfRule type="expression" dxfId="212" priority="18">
      <formula>OR(AND(NOT(ISBLANK(F15)),NOT(F15=$O$1)),AND(NOT(ISBLANK(G15)),NOT(G15=$O$1)))</formula>
    </cfRule>
  </conditionalFormatting>
  <conditionalFormatting sqref="B15">
    <cfRule type="expression" dxfId="211" priority="16" stopIfTrue="1">
      <formula>AND(NOT(ISBLANK(B15)),NOT(_xlfn.ISFORMULA(B15)))</formula>
    </cfRule>
  </conditionalFormatting>
  <conditionalFormatting sqref="C15">
    <cfRule type="expression" dxfId="210" priority="15" stopIfTrue="1">
      <formula>AND(NOT(ISBLANK(C15)),NOT(_xlfn.ISFORMULA(C15)))</formula>
    </cfRule>
  </conditionalFormatting>
  <conditionalFormatting sqref="F15">
    <cfRule type="expression" dxfId="209" priority="14" stopIfTrue="1">
      <formula>AND(NOT(ISBLANK(F15)),NOT(_xlfn.ISFORMULA(F15)))</formula>
    </cfRule>
  </conditionalFormatting>
  <conditionalFormatting sqref="G15">
    <cfRule type="expression" dxfId="208" priority="13" stopIfTrue="1">
      <formula>AND(NOT(ISBLANK(G15)),NOT(_xlfn.ISFORMULA(G15)))</formula>
    </cfRule>
  </conditionalFormatting>
  <conditionalFormatting sqref="E5">
    <cfRule type="expression" dxfId="207" priority="3">
      <formula>AND(AND(NOT(ISBLANK(D5)),NOT(D5=$O$1)),AND(NOT(ISBLANK(C5)),NOT(C5=$O$1)))</formula>
    </cfRule>
    <cfRule type="expression" dxfId="206" priority="4">
      <formula>OR(AND(NOT(ISBLANK(D5)),NOT(D5=$O$1)),AND(NOT(ISBLANK(C5)),NOT(C5=$O$1)))</formula>
    </cfRule>
  </conditionalFormatting>
  <conditionalFormatting sqref="F5">
    <cfRule type="expression" dxfId="205" priority="1">
      <formula>AND(AND(NOT(ISBLANK(G5)),NOT(G5=$O$1)),AND(NOT(ISBLANK(H5)),NOT(H5=$O$1)))</formula>
    </cfRule>
    <cfRule type="expression" dxfId="204" priority="2">
      <formula>OR(AND(NOT(ISBLANK(G5)),NOT(G5=$O$1)),AND(NOT(ISBLANK(H5)),NOT(H5=$O$1)))</formula>
    </cfRule>
  </conditionalFormatting>
  <dataValidations disablePrompts="1"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8"/>
  <sheetViews>
    <sheetView view="pageBreakPreview" zoomScale="70" zoomScaleNormal="100" zoomScaleSheetLayoutView="70" workbookViewId="0">
      <selection activeCell="J9" sqref="J9"/>
    </sheetView>
  </sheetViews>
  <sheetFormatPr defaultRowHeight="15" x14ac:dyDescent="0.25"/>
  <cols>
    <col min="1" max="1" width="4.5703125" style="30" customWidth="1"/>
    <col min="2" max="2" width="29.5703125" style="30" customWidth="1"/>
    <col min="3" max="3" width="3.85546875" style="38" bestFit="1" customWidth="1"/>
    <col min="4" max="4" width="2.85546875" style="38" bestFit="1" customWidth="1"/>
    <col min="5" max="5" width="9.140625" style="30" customWidth="1"/>
    <col min="6" max="6" width="8.5703125" style="30" customWidth="1"/>
    <col min="7" max="7" width="3.85546875" style="38" bestFit="1" customWidth="1"/>
    <col min="8" max="8" width="4.8554687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97</v>
      </c>
      <c r="C1" s="38">
        <v>1</v>
      </c>
      <c r="J1" s="19"/>
      <c r="O1" s="20" t="s">
        <v>27</v>
      </c>
      <c r="P1" s="30">
        <v>10</v>
      </c>
      <c r="Q1" s="30">
        <v>20</v>
      </c>
      <c r="S1" s="30" t="s">
        <v>51</v>
      </c>
      <c r="X1" s="30" t="s">
        <v>54</v>
      </c>
      <c r="AA1"/>
      <c r="AB1"/>
      <c r="AC1"/>
      <c r="AD1"/>
      <c r="AE1"/>
      <c r="AG1" s="30" t="s">
        <v>36</v>
      </c>
    </row>
    <row r="2" spans="1:56" ht="18.75" x14ac:dyDescent="0.3">
      <c r="A2" s="1" t="str">
        <f>FunctionGetFileName()</f>
        <v>Деталировка+Склад. tehnolog5</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K3" s="18"/>
      <c r="AL3" s="18"/>
    </row>
    <row r="4" spans="1:56" x14ac:dyDescent="0.25">
      <c r="A4" s="9" t="str">
        <f t="shared" ref="A4:A10" si="0">CONCATENATE(O4,".",LEFT(J4))</f>
        <v>.0</v>
      </c>
      <c r="B4" s="32" t="str">
        <f t="shared" ref="B4:B10" si="1">CONCATENATE(IF(OR(Y4="Не определена",Y4,ISBLANK(Y4)),"↕",),IF(Y4="Не обязательна","±",),Q4,".",P4)</f>
        <v>↕.</v>
      </c>
      <c r="C4" s="54"/>
      <c r="D4" s="54"/>
      <c r="E4" s="48">
        <f t="shared" ref="E4:E10" si="2">IF(M4="скрутка",T4+$Q$1,IF(M4="склейка",T4+$Q$1,IF(M4="запил торца",ROUND(T4+$P$1,0),IF(M4="запил торцов",ROUND(T4+$P$1*2,0),T4))))+IF(G4=$O$1,$P$1,)+IF(H4=$O$1,$P$1,)</f>
        <v>0</v>
      </c>
      <c r="F4" s="48">
        <f t="shared" ref="F4:F10" si="3">IF(M4="скрутка",U4+$Q$1,IF(M4="склейка",U4+$Q$1,IF(M4="запил торца",ROUND(U4+$P$1,0),IF(M4="запил торцов",ROUND(U4+$P$1*2,0),U4))))+IF(C4=$O$1,$P$1,)+IF(D4=$O$1,$P$1,)</f>
        <v>0</v>
      </c>
      <c r="G4" s="54"/>
      <c r="H4" s="54"/>
      <c r="I4" s="49">
        <f t="shared" ref="I4:I10" si="4">IF(OR(M4="скрутка",M4="склейка"),Z4*2,Z4)</f>
        <v>0</v>
      </c>
      <c r="J4" s="53">
        <f t="shared" ref="J4:J10" si="5">X4</f>
        <v>0</v>
      </c>
      <c r="K4" s="52" t="str">
        <f t="shared" ref="K4:L10" si="6">IF(ISBLANK(AB4),"",AB4)</f>
        <v/>
      </c>
      <c r="L4" s="52" t="str">
        <f t="shared" si="6"/>
        <v/>
      </c>
      <c r="M4" s="51" t="str">
        <f t="shared" ref="M4:M10" si="7">IF(AA4="","",AA4)</f>
        <v/>
      </c>
      <c r="N4" s="30" t="str">
        <f t="shared" ref="N4:N10" si="8">CONCATENATE(IF(E4&lt;&gt;T4,"НеРавны",),IF(AND(NOT(ISBLANK(R4)),R4&lt;&gt;T4),"Д",),IF(AND(NOT(ISBLANK(S4)),S4&lt;&gt;U4),"Ш",))</f>
        <v/>
      </c>
      <c r="O4" s="22"/>
      <c r="P4" s="18"/>
      <c r="Q4" s="18"/>
      <c r="R4" s="18"/>
      <c r="S4" s="18"/>
      <c r="T4" s="3"/>
      <c r="U4" s="3"/>
      <c r="V4" s="23"/>
      <c r="W4" s="23"/>
      <c r="X4" s="18"/>
      <c r="Y4" s="18"/>
      <c r="Z4" s="18"/>
      <c r="AA4" s="18"/>
      <c r="AB4" s="18"/>
      <c r="AC4" s="18"/>
      <c r="BB4" s="30" t="s">
        <v>92</v>
      </c>
      <c r="BC4" s="30">
        <v>1</v>
      </c>
      <c r="BD4" s="30">
        <v>142</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6"/>
        <v/>
      </c>
      <c r="M5" s="51" t="str">
        <f t="shared" si="7"/>
        <v/>
      </c>
      <c r="N5" s="30" t="str">
        <f t="shared" si="8"/>
        <v/>
      </c>
      <c r="O5" s="22"/>
      <c r="P5" s="18"/>
      <c r="Q5" s="18"/>
      <c r="R5" s="18"/>
      <c r="S5" s="18"/>
      <c r="T5" s="3"/>
      <c r="U5" s="3"/>
      <c r="V5" s="23"/>
      <c r="W5" s="23"/>
      <c r="X5" s="18"/>
      <c r="Y5" s="18"/>
      <c r="Z5" s="18"/>
      <c r="AA5" s="18"/>
      <c r="AB5" s="18"/>
      <c r="AC5" s="18"/>
      <c r="BB5" s="30" t="s">
        <v>90</v>
      </c>
      <c r="BC5" s="30">
        <v>1</v>
      </c>
      <c r="BD5" s="30">
        <v>160</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6"/>
        <v/>
      </c>
      <c r="M6" s="51" t="str">
        <f t="shared" si="7"/>
        <v/>
      </c>
      <c r="N6" s="30" t="str">
        <f t="shared" si="8"/>
        <v/>
      </c>
      <c r="O6" s="22"/>
      <c r="P6" s="18"/>
      <c r="Q6" s="18"/>
      <c r="R6" s="18"/>
      <c r="S6" s="18"/>
      <c r="T6" s="3"/>
      <c r="U6" s="3"/>
      <c r="V6" s="23"/>
      <c r="W6" s="23"/>
      <c r="X6" s="26"/>
      <c r="Y6" s="18"/>
      <c r="Z6" s="18"/>
      <c r="AA6" s="18"/>
      <c r="AB6" s="18"/>
      <c r="AC6" s="18"/>
      <c r="BB6" s="30" t="s">
        <v>91</v>
      </c>
      <c r="BC6" s="30">
        <v>1</v>
      </c>
      <c r="BD6" s="30">
        <v>161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6"/>
        <v/>
      </c>
      <c r="M7" s="51" t="str">
        <f t="shared" si="7"/>
        <v/>
      </c>
      <c r="N7" s="30" t="str">
        <f t="shared" si="8"/>
        <v/>
      </c>
      <c r="O7" s="22"/>
      <c r="P7" s="18"/>
      <c r="Q7" s="18"/>
      <c r="R7" s="18"/>
      <c r="S7" s="18"/>
      <c r="T7" s="3"/>
      <c r="U7" s="3"/>
      <c r="V7" s="23"/>
      <c r="W7" s="23"/>
      <c r="X7" s="26"/>
      <c r="Y7" s="18"/>
      <c r="Z7" s="18"/>
      <c r="AA7" s="18"/>
      <c r="AB7" s="18"/>
      <c r="AC7" s="18"/>
      <c r="BB7" s="30" t="s">
        <v>94</v>
      </c>
      <c r="BC7" s="30">
        <v>1</v>
      </c>
      <c r="BD7" s="30">
        <v>159</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6"/>
        <v/>
      </c>
      <c r="M8" s="51" t="str">
        <f t="shared" si="7"/>
        <v/>
      </c>
      <c r="N8" s="30" t="str">
        <f t="shared" si="8"/>
        <v/>
      </c>
      <c r="O8" s="22"/>
      <c r="P8" s="18"/>
      <c r="Q8" s="18"/>
      <c r="R8" s="18"/>
      <c r="S8" s="18"/>
      <c r="T8" s="3"/>
      <c r="U8" s="3"/>
      <c r="V8" s="23"/>
      <c r="W8" s="23"/>
      <c r="X8" s="26"/>
      <c r="Y8" s="18"/>
      <c r="Z8" s="18"/>
      <c r="AA8" s="18"/>
      <c r="AB8" s="18"/>
      <c r="AC8" s="18"/>
      <c r="BB8" s="30" t="s">
        <v>93</v>
      </c>
      <c r="BC8" s="30">
        <v>1</v>
      </c>
      <c r="BD8" s="30">
        <v>90</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6"/>
        <v/>
      </c>
      <c r="M9" s="51" t="str">
        <f t="shared" si="7"/>
        <v/>
      </c>
      <c r="N9" s="30" t="str">
        <f t="shared" si="8"/>
        <v/>
      </c>
      <c r="O9" s="22"/>
      <c r="P9" s="18"/>
      <c r="Q9" s="18"/>
      <c r="R9" s="18"/>
      <c r="S9" s="18"/>
      <c r="T9" s="3"/>
      <c r="U9" s="3"/>
      <c r="V9" s="23"/>
      <c r="W9" s="23"/>
      <c r="X9" s="18"/>
      <c r="Y9" s="18"/>
      <c r="Z9" s="18"/>
      <c r="AA9" s="18"/>
      <c r="AB9" s="18"/>
      <c r="AC9" s="18"/>
      <c r="BB9" s="30" t="s">
        <v>88</v>
      </c>
      <c r="BC9" s="30">
        <v>1</v>
      </c>
      <c r="BD9" s="30">
        <v>155</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6"/>
        <v/>
      </c>
      <c r="M10" s="51" t="str">
        <f t="shared" si="7"/>
        <v/>
      </c>
      <c r="N10" s="30" t="str">
        <f t="shared" si="8"/>
        <v/>
      </c>
      <c r="O10" s="22"/>
      <c r="P10" s="18"/>
      <c r="Q10" s="18"/>
      <c r="R10" s="18"/>
      <c r="S10" s="18"/>
      <c r="T10" s="3"/>
      <c r="U10" s="3"/>
      <c r="V10" s="23"/>
      <c r="W10" s="23"/>
      <c r="X10" s="26"/>
      <c r="Y10" s="18"/>
      <c r="Z10" s="18"/>
      <c r="AA10" s="18"/>
      <c r="AB10" s="18"/>
      <c r="AC10" s="18"/>
      <c r="BB10" s="30" t="s">
        <v>89</v>
      </c>
      <c r="BC10" s="30">
        <v>1</v>
      </c>
      <c r="BD10" s="30">
        <v>163</v>
      </c>
    </row>
    <row r="11" spans="1:56" x14ac:dyDescent="0.25">
      <c r="A11" s="13"/>
      <c r="B11" s="34"/>
      <c r="C11" s="42"/>
      <c r="D11" s="42"/>
      <c r="E11" s="33"/>
      <c r="F11" s="33"/>
      <c r="G11" s="42"/>
      <c r="H11" s="45" t="s">
        <v>15</v>
      </c>
      <c r="I11" s="50">
        <f>SUM(I4:I10)</f>
        <v>0</v>
      </c>
      <c r="J11" s="35"/>
      <c r="K11" s="34"/>
      <c r="L11" s="34"/>
      <c r="M11" s="36"/>
      <c r="O11" s="24"/>
      <c r="V11" s="17"/>
      <c r="W11" s="17"/>
    </row>
    <row r="12" spans="1:56" ht="15" customHeight="1" x14ac:dyDescent="0.25">
      <c r="A12" s="34"/>
      <c r="B12" s="34"/>
      <c r="C12" s="42"/>
      <c r="D12" s="42"/>
      <c r="E12" s="33"/>
      <c r="F12" s="33"/>
      <c r="G12" s="42"/>
      <c r="H12" s="42"/>
      <c r="I12" s="25"/>
      <c r="J12" s="35"/>
      <c r="K12" s="34"/>
      <c r="L12" s="34"/>
      <c r="M12" s="36"/>
      <c r="O12" s="24"/>
      <c r="V12" s="17"/>
      <c r="W12" s="17"/>
    </row>
    <row r="13" spans="1:56" x14ac:dyDescent="0.25">
      <c r="A13" s="2" t="s">
        <v>8</v>
      </c>
      <c r="B13" s="13"/>
      <c r="C13" s="42"/>
      <c r="D13" s="42"/>
      <c r="E13" s="33"/>
      <c r="F13" s="33"/>
      <c r="G13" s="42"/>
      <c r="H13" s="42"/>
      <c r="I13" s="25"/>
      <c r="J13" s="37"/>
      <c r="K13" s="13"/>
      <c r="L13" s="13"/>
      <c r="M13" s="36"/>
      <c r="O13" s="24"/>
      <c r="V13" s="17"/>
      <c r="W13" s="17"/>
    </row>
    <row r="14" spans="1:56" x14ac:dyDescent="0.25">
      <c r="A14" s="30" t="s">
        <v>32</v>
      </c>
      <c r="B14" s="13"/>
      <c r="C14" s="42"/>
      <c r="D14" s="42"/>
      <c r="E14" s="33"/>
      <c r="F14" s="33"/>
      <c r="G14" s="42"/>
      <c r="H14" s="42"/>
      <c r="I14" s="25"/>
      <c r="J14" s="37"/>
      <c r="K14" s="13"/>
      <c r="L14" s="13"/>
      <c r="M14" s="36"/>
      <c r="O14" s="24"/>
      <c r="V14" s="17"/>
      <c r="W14" s="17"/>
    </row>
    <row r="15" spans="1:56" x14ac:dyDescent="0.25">
      <c r="A15" s="13" t="s">
        <v>33</v>
      </c>
    </row>
    <row r="16" spans="1:56" x14ac:dyDescent="0.25">
      <c r="A16" s="13" t="s">
        <v>16</v>
      </c>
    </row>
    <row r="17" spans="1:29" x14ac:dyDescent="0.25">
      <c r="A17" s="13" t="s">
        <v>28</v>
      </c>
    </row>
    <row r="18" spans="1:29" x14ac:dyDescent="0.25">
      <c r="A18" s="13"/>
    </row>
    <row r="19" spans="1:29" ht="18.75" x14ac:dyDescent="0.3">
      <c r="A19" s="1" t="str">
        <f>CONCATENATE(A2, ". Соответствие кромки и ДСП")</f>
        <v>Деталировка+Склад. tehnolog5. Соответствие кромки и ДСП</v>
      </c>
      <c r="N19" s="30" t="s">
        <v>35</v>
      </c>
    </row>
    <row r="20" spans="1:29" x14ac:dyDescent="0.25">
      <c r="A20" s="3" t="s">
        <v>6</v>
      </c>
      <c r="B20" s="4" t="s">
        <v>14</v>
      </c>
      <c r="C20" s="40"/>
      <c r="D20" s="60"/>
      <c r="E20" s="61"/>
      <c r="F20" s="5"/>
      <c r="G20" s="44"/>
      <c r="H20" s="57" t="s">
        <v>31</v>
      </c>
      <c r="I20" s="58" t="s">
        <v>30</v>
      </c>
      <c r="J20" s="3" t="s">
        <v>13</v>
      </c>
      <c r="K20" s="3" t="s">
        <v>52</v>
      </c>
      <c r="L20" s="55"/>
      <c r="M20" s="56"/>
    </row>
    <row r="21" spans="1:29" x14ac:dyDescent="0.25">
      <c r="A21" s="3"/>
      <c r="B21" s="4"/>
      <c r="C21" s="46"/>
      <c r="D21" s="62"/>
      <c r="E21" s="63"/>
      <c r="F21" s="5"/>
      <c r="G21" s="43"/>
      <c r="H21" s="59"/>
      <c r="I21" s="18"/>
      <c r="J21" s="3"/>
      <c r="K21" s="3"/>
      <c r="L21" s="55"/>
      <c r="M21" s="56"/>
    </row>
    <row r="22" spans="1:29" x14ac:dyDescent="0.25">
      <c r="A22" s="3"/>
      <c r="B22" s="4"/>
      <c r="C22" s="46"/>
      <c r="D22" s="62"/>
      <c r="E22" s="63"/>
      <c r="F22" s="5"/>
      <c r="G22" s="43"/>
      <c r="H22" s="59"/>
      <c r="I22" s="18"/>
      <c r="J22" s="3"/>
      <c r="K22" s="3"/>
      <c r="L22" s="55"/>
      <c r="M22" s="56"/>
    </row>
    <row r="23" spans="1:29" x14ac:dyDescent="0.25">
      <c r="A23" s="3"/>
      <c r="B23" s="4"/>
      <c r="C23" s="46"/>
      <c r="D23" s="62"/>
      <c r="E23" s="63"/>
      <c r="F23" s="5"/>
      <c r="G23" s="43"/>
      <c r="H23" s="59"/>
      <c r="I23" s="18"/>
      <c r="J23" s="3"/>
      <c r="K23" s="3"/>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3"/>
      <c r="K25" s="3"/>
      <c r="L25" s="55"/>
      <c r="M25" s="56"/>
    </row>
    <row r="26" spans="1:29" x14ac:dyDescent="0.25">
      <c r="A26" s="3"/>
      <c r="B26" s="4"/>
      <c r="C26" s="46"/>
      <c r="D26" s="62"/>
      <c r="E26" s="63"/>
      <c r="F26" s="5"/>
      <c r="G26" s="43"/>
      <c r="H26" s="59"/>
      <c r="I26" s="18"/>
      <c r="J26" s="18"/>
      <c r="K26" s="3"/>
      <c r="L26" s="55"/>
      <c r="M26" s="56"/>
    </row>
    <row r="27" spans="1:29" ht="18.75" x14ac:dyDescent="0.3">
      <c r="A27" s="1" t="str">
        <f>CONCATENATE(A2, ". Стекло")</f>
        <v>Деталировка+Склад. tehnolog5. Стекло</v>
      </c>
    </row>
    <row r="28" spans="1:29" x14ac:dyDescent="0.25">
      <c r="A28" s="3" t="s">
        <v>6</v>
      </c>
      <c r="B28" s="4" t="s">
        <v>5</v>
      </c>
      <c r="C28" s="39" t="s">
        <v>9</v>
      </c>
      <c r="D28" s="40" t="s">
        <v>11</v>
      </c>
      <c r="E28" s="6" t="s">
        <v>1</v>
      </c>
      <c r="F28" s="7" t="s">
        <v>0</v>
      </c>
      <c r="G28" s="40" t="s">
        <v>10</v>
      </c>
      <c r="H28" s="44" t="s">
        <v>12</v>
      </c>
      <c r="I28" s="8" t="s">
        <v>2</v>
      </c>
      <c r="J28" s="3" t="s">
        <v>3</v>
      </c>
      <c r="K28" s="4"/>
      <c r="L28" s="4"/>
      <c r="M28" s="3" t="s">
        <v>4</v>
      </c>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9"/>
      <c r="B33" s="32"/>
      <c r="C33" s="41"/>
      <c r="D33" s="41"/>
      <c r="E33" s="14"/>
      <c r="F33" s="14"/>
      <c r="G33" s="41"/>
      <c r="H33" s="41"/>
      <c r="I33" s="10"/>
      <c r="J33" s="11"/>
      <c r="K33" s="32"/>
      <c r="L33" s="32"/>
      <c r="M33" s="28"/>
      <c r="O33" s="22"/>
      <c r="P33" s="18"/>
      <c r="Q33" s="18"/>
      <c r="R33" s="18"/>
      <c r="S33" s="18"/>
      <c r="T33" s="3"/>
      <c r="U33" s="3"/>
      <c r="V33" s="23"/>
      <c r="W33" s="23"/>
      <c r="X33" s="18"/>
      <c r="Y33" s="18"/>
      <c r="Z33" s="18"/>
      <c r="AA33" s="18"/>
      <c r="AB33" s="18"/>
      <c r="AC33" s="18"/>
    </row>
    <row r="34" spans="1:29" x14ac:dyDescent="0.25">
      <c r="A34" s="13"/>
      <c r="B34" s="9"/>
      <c r="C34" s="41"/>
      <c r="D34" s="41"/>
      <c r="E34" s="14"/>
      <c r="F34" s="14"/>
      <c r="G34" s="41"/>
      <c r="H34" s="45" t="s">
        <v>15</v>
      </c>
      <c r="I34" s="25">
        <f>SUM(I29:I33)</f>
        <v>0</v>
      </c>
      <c r="J34" s="11"/>
      <c r="K34" s="9"/>
      <c r="L34" s="9"/>
      <c r="M34" s="12"/>
      <c r="O34" s="24"/>
      <c r="V34" s="17"/>
      <c r="W34" s="17"/>
    </row>
    <row r="35" spans="1:29" x14ac:dyDescent="0.25">
      <c r="A35" s="16" t="s">
        <v>8</v>
      </c>
      <c r="B35" s="9"/>
      <c r="C35" s="41"/>
      <c r="D35" s="41"/>
      <c r="E35" s="14"/>
      <c r="F35" s="14"/>
      <c r="G35" s="41"/>
      <c r="H35" s="41"/>
      <c r="I35" s="10"/>
      <c r="J35" s="15"/>
      <c r="K35" s="9"/>
      <c r="L35" s="9"/>
      <c r="M35" s="12"/>
    </row>
    <row r="36" spans="1:29" x14ac:dyDescent="0.25">
      <c r="A36" s="13" t="s">
        <v>40</v>
      </c>
      <c r="B36" s="9"/>
      <c r="C36" s="41"/>
      <c r="D36" s="41"/>
      <c r="E36" s="14"/>
      <c r="F36" s="14"/>
      <c r="G36" s="41"/>
      <c r="H36" s="41"/>
      <c r="I36" s="10"/>
      <c r="J36" s="15"/>
      <c r="K36" s="9"/>
      <c r="L36" s="9"/>
      <c r="M36" s="12"/>
    </row>
    <row r="38" spans="1:29" ht="18.75" x14ac:dyDescent="0.3">
      <c r="A38" s="1" t="str">
        <f>CONCATENATE(A2, ". Пластик")</f>
        <v>Деталировка+Склад. tehnolog5. Пластик</v>
      </c>
    </row>
    <row r="39" spans="1:29" x14ac:dyDescent="0.25">
      <c r="A39" s="3" t="s">
        <v>6</v>
      </c>
      <c r="B39" s="4" t="s">
        <v>5</v>
      </c>
      <c r="C39" s="39" t="s">
        <v>9</v>
      </c>
      <c r="D39" s="40" t="s">
        <v>11</v>
      </c>
      <c r="E39" s="6" t="s">
        <v>1</v>
      </c>
      <c r="F39" s="7" t="s">
        <v>0</v>
      </c>
      <c r="G39" s="40" t="s">
        <v>10</v>
      </c>
      <c r="H39" s="44" t="s">
        <v>12</v>
      </c>
      <c r="I39" s="8" t="s">
        <v>2</v>
      </c>
      <c r="J39" s="3" t="s">
        <v>3</v>
      </c>
      <c r="K39" s="4"/>
      <c r="L39" s="4"/>
      <c r="M39" s="3" t="s">
        <v>4</v>
      </c>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32"/>
      <c r="L41" s="32"/>
      <c r="M41" s="28"/>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9"/>
      <c r="B49" s="32"/>
      <c r="C49" s="41"/>
      <c r="D49" s="41"/>
      <c r="E49" s="14"/>
      <c r="F49" s="14"/>
      <c r="G49" s="41"/>
      <c r="H49" s="41"/>
      <c r="I49" s="10"/>
      <c r="J49" s="11"/>
      <c r="K49" s="15"/>
      <c r="L49" s="15"/>
      <c r="M49" s="11"/>
      <c r="O49" s="22"/>
      <c r="P49" s="18"/>
      <c r="Q49" s="18"/>
      <c r="R49" s="18"/>
      <c r="S49" s="18"/>
      <c r="T49" s="3"/>
      <c r="U49" s="3"/>
      <c r="V49" s="23"/>
      <c r="W49" s="23"/>
      <c r="X49" s="18"/>
      <c r="Y49" s="18"/>
      <c r="Z49" s="18"/>
      <c r="AA49" s="18"/>
      <c r="AB49" s="18"/>
      <c r="AC49" s="18"/>
    </row>
    <row r="50" spans="1:57" x14ac:dyDescent="0.25">
      <c r="A50" s="13"/>
      <c r="B50" s="9"/>
      <c r="C50" s="41"/>
      <c r="D50" s="41"/>
      <c r="E50" s="14"/>
      <c r="F50" s="14"/>
      <c r="G50" s="41"/>
      <c r="H50" s="45" t="s">
        <v>15</v>
      </c>
      <c r="I50" s="25">
        <f>SUM(I40:I49)</f>
        <v>0</v>
      </c>
      <c r="J50" s="11"/>
      <c r="K50" s="9"/>
      <c r="L50" s="9"/>
      <c r="M50" s="12"/>
    </row>
    <row r="51" spans="1:57" x14ac:dyDescent="0.25">
      <c r="A51" s="16" t="s">
        <v>8</v>
      </c>
      <c r="B51" s="9"/>
      <c r="C51" s="41"/>
      <c r="D51" s="41"/>
      <c r="E51" s="14"/>
      <c r="F51" s="14"/>
      <c r="G51" s="41"/>
      <c r="H51" s="41"/>
      <c r="I51" s="10"/>
      <c r="J51" s="15"/>
      <c r="K51" s="9"/>
      <c r="L51" s="9"/>
      <c r="M51" s="12"/>
    </row>
    <row r="52" spans="1:57" x14ac:dyDescent="0.25">
      <c r="A52" s="13" t="s">
        <v>40</v>
      </c>
      <c r="B52" s="9"/>
      <c r="C52" s="41"/>
      <c r="D52" s="41"/>
      <c r="E52" s="14"/>
      <c r="F52" s="14"/>
      <c r="G52" s="41"/>
      <c r="H52" s="41"/>
      <c r="I52" s="10"/>
      <c r="J52" s="15"/>
      <c r="K52" s="9"/>
      <c r="L52" s="9"/>
      <c r="M52" s="12"/>
    </row>
    <row r="57" spans="1:57" ht="18.75" x14ac:dyDescent="0.3">
      <c r="A57" s="1" t="s">
        <v>29</v>
      </c>
    </row>
    <row r="58" spans="1:57" x14ac:dyDescent="0.25">
      <c r="A58" s="30" t="s">
        <v>37</v>
      </c>
    </row>
    <row r="59" spans="1:57" x14ac:dyDescent="0.25">
      <c r="M59" s="30"/>
      <c r="T59" s="30"/>
      <c r="U59" s="30"/>
    </row>
    <row r="60" spans="1:57" x14ac:dyDescent="0.25">
      <c r="M60" s="30"/>
      <c r="T60" s="30"/>
      <c r="U60" s="30"/>
    </row>
    <row r="61" spans="1:57" x14ac:dyDescent="0.25">
      <c r="M61" s="30"/>
      <c r="T61" s="30"/>
      <c r="U61" s="30"/>
    </row>
    <row r="62" spans="1:57"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sheetData>
  <sortState xmlns:xlrd2="http://schemas.microsoft.com/office/spreadsheetml/2017/richdata2" ref="A4:AC10">
    <sortCondition ref="Q4:Q10"/>
    <sortCondition ref="X4:X10"/>
    <sortCondition ref="P4:P10"/>
  </sortState>
  <phoneticPr fontId="10" type="noConversion"/>
  <conditionalFormatting sqref="C49">
    <cfRule type="expression" dxfId="203" priority="15672" stopIfTrue="1">
      <formula>AND(NOT(ISBLANK(C49)),NOT(_xlfn.ISFORMULA(C49)))</formula>
    </cfRule>
  </conditionalFormatting>
  <conditionalFormatting sqref="D49">
    <cfRule type="expression" dxfId="202" priority="15671" stopIfTrue="1">
      <formula>AND(NOT(ISBLANK(D49)),NOT(_xlfn.ISFORMULA(D49)))</formula>
    </cfRule>
  </conditionalFormatting>
  <conditionalFormatting sqref="G49">
    <cfRule type="expression" dxfId="201" priority="15670" stopIfTrue="1">
      <formula>AND(NOT(ISBLANK(G49)),NOT(_xlfn.ISFORMULA(G49)))</formula>
    </cfRule>
  </conditionalFormatting>
  <conditionalFormatting sqref="H49">
    <cfRule type="expression" dxfId="200" priority="15669" stopIfTrue="1">
      <formula>AND(NOT(ISBLANK(H49)),NOT(_xlfn.ISFORMULA(H49)))</formula>
    </cfRule>
  </conditionalFormatting>
  <conditionalFormatting sqref="D40">
    <cfRule type="expression" dxfId="199" priority="15787" stopIfTrue="1">
      <formula>AND(NOT(ISBLANK(D40)),NOT(_xlfn.ISFORMULA(D40)))</formula>
    </cfRule>
  </conditionalFormatting>
  <conditionalFormatting sqref="G40">
    <cfRule type="expression" dxfId="198" priority="15786" stopIfTrue="1">
      <formula>AND(NOT(ISBLANK(G40)),NOT(_xlfn.ISFORMULA(G40)))</formula>
    </cfRule>
  </conditionalFormatting>
  <conditionalFormatting sqref="H40">
    <cfRule type="expression" dxfId="197" priority="15785" stopIfTrue="1">
      <formula>AND(NOT(ISBLANK(H40)),NOT(_xlfn.ISFORMULA(H40)))</formula>
    </cfRule>
  </conditionalFormatting>
  <conditionalFormatting sqref="E29">
    <cfRule type="expression" dxfId="196" priority="15783">
      <formula>AND(AND(NOT(ISBLANK(D29)),NOT(D29=$O$1)),AND(NOT(ISBLANK(C29)),NOT(C29=$O$1)))</formula>
    </cfRule>
    <cfRule type="expression" dxfId="195" priority="15784">
      <formula>OR(AND(NOT(ISBLANK(D29)),NOT(D29=$O$1)),AND(NOT(ISBLANK(C29)),NOT(C29=$O$1)))</formula>
    </cfRule>
  </conditionalFormatting>
  <conditionalFormatting sqref="F29">
    <cfRule type="expression" dxfId="194" priority="15781">
      <formula>AND(AND(NOT(ISBLANK(G29)),NOT(G29=$O$1)),AND(NOT(ISBLANK(H29)),NOT(H29=$O$1)))</formula>
    </cfRule>
    <cfRule type="expression" dxfId="193" priority="15782">
      <formula>OR(AND(NOT(ISBLANK(G29)),NOT(G29=$O$1)),AND(NOT(ISBLANK(H29)),NOT(H29=$O$1)))</formula>
    </cfRule>
  </conditionalFormatting>
  <conditionalFormatting sqref="C29">
    <cfRule type="expression" dxfId="192" priority="15780" stopIfTrue="1">
      <formula>AND(NOT(ISBLANK(C29)),NOT(_xlfn.ISFORMULA(C29)))</formula>
    </cfRule>
  </conditionalFormatting>
  <conditionalFormatting sqref="D29">
    <cfRule type="expression" dxfId="191" priority="15779" stopIfTrue="1">
      <formula>AND(NOT(ISBLANK(D29)),NOT(_xlfn.ISFORMULA(D29)))</formula>
    </cfRule>
  </conditionalFormatting>
  <conditionalFormatting sqref="G29">
    <cfRule type="expression" dxfId="190" priority="15778" stopIfTrue="1">
      <formula>AND(NOT(ISBLANK(G29)),NOT(_xlfn.ISFORMULA(G29)))</formula>
    </cfRule>
  </conditionalFormatting>
  <conditionalFormatting sqref="H29">
    <cfRule type="expression" dxfId="189" priority="15777" stopIfTrue="1">
      <formula>AND(NOT(ISBLANK(H29)),NOT(_xlfn.ISFORMULA(H29)))</formula>
    </cfRule>
  </conditionalFormatting>
  <conditionalFormatting sqref="E40">
    <cfRule type="expression" dxfId="188" priority="15791">
      <formula>AND(AND(NOT(ISBLANK(D40)),NOT(D40=$O$1)),AND(NOT(ISBLANK(C40)),NOT(C40=$O$1)))</formula>
    </cfRule>
    <cfRule type="expression" dxfId="187" priority="15792">
      <formula>OR(AND(NOT(ISBLANK(D40)),NOT(D40=$O$1)),AND(NOT(ISBLANK(C40)),NOT(C40=$O$1)))</formula>
    </cfRule>
  </conditionalFormatting>
  <conditionalFormatting sqref="F40">
    <cfRule type="expression" dxfId="186" priority="15789">
      <formula>AND(AND(NOT(ISBLANK(G40)),NOT(G40=$O$1)),AND(NOT(ISBLANK(H40)),NOT(H40=$O$1)))</formula>
    </cfRule>
    <cfRule type="expression" dxfId="185" priority="15790">
      <formula>OR(AND(NOT(ISBLANK(G40)),NOT(G40=$O$1)),AND(NOT(ISBLANK(H40)),NOT(H40=$O$1)))</formula>
    </cfRule>
  </conditionalFormatting>
  <conditionalFormatting sqref="C40">
    <cfRule type="expression" dxfId="184" priority="15788" stopIfTrue="1">
      <formula>AND(NOT(ISBLANK(C40)),NOT(_xlfn.ISFORMULA(C40)))</formula>
    </cfRule>
  </conditionalFormatting>
  <conditionalFormatting sqref="E41">
    <cfRule type="expression" dxfId="183" priority="15775">
      <formula>AND(AND(NOT(ISBLANK(D41)),NOT(D41=$O$1)),AND(NOT(ISBLANK(C41)),NOT(C41=$O$1)))</formula>
    </cfRule>
    <cfRule type="expression" dxfId="182" priority="15776">
      <formula>OR(AND(NOT(ISBLANK(D41)),NOT(D41=$O$1)),AND(NOT(ISBLANK(C41)),NOT(C41=$O$1)))</formula>
    </cfRule>
  </conditionalFormatting>
  <conditionalFormatting sqref="F41">
    <cfRule type="expression" dxfId="181" priority="15773">
      <formula>AND(AND(NOT(ISBLANK(G41)),NOT(G41=$O$1)),AND(NOT(ISBLANK(H41)),NOT(H41=$O$1)))</formula>
    </cfRule>
    <cfRule type="expression" dxfId="180" priority="15774">
      <formula>OR(AND(NOT(ISBLANK(G41)),NOT(G41=$O$1)),AND(NOT(ISBLANK(H41)),NOT(H41=$O$1)))</formula>
    </cfRule>
  </conditionalFormatting>
  <conditionalFormatting sqref="C41">
    <cfRule type="expression" dxfId="179" priority="15772" stopIfTrue="1">
      <formula>AND(NOT(ISBLANK(C41)),NOT(_xlfn.ISFORMULA(C41)))</formula>
    </cfRule>
  </conditionalFormatting>
  <conditionalFormatting sqref="D41">
    <cfRule type="expression" dxfId="178" priority="15771" stopIfTrue="1">
      <formula>AND(NOT(ISBLANK(D41)),NOT(_xlfn.ISFORMULA(D41)))</formula>
    </cfRule>
  </conditionalFormatting>
  <conditionalFormatting sqref="G41">
    <cfRule type="expression" dxfId="177" priority="15770" stopIfTrue="1">
      <formula>AND(NOT(ISBLANK(G41)),NOT(_xlfn.ISFORMULA(G41)))</formula>
    </cfRule>
  </conditionalFormatting>
  <conditionalFormatting sqref="H41">
    <cfRule type="expression" dxfId="176" priority="15769" stopIfTrue="1">
      <formula>AND(NOT(ISBLANK(H41)),NOT(_xlfn.ISFORMULA(H41)))</formula>
    </cfRule>
  </conditionalFormatting>
  <conditionalFormatting sqref="C42">
    <cfRule type="expression" dxfId="175" priority="15764" stopIfTrue="1">
      <formula>AND(NOT(ISBLANK(C42)),NOT(_xlfn.ISFORMULA(C42)))</formula>
    </cfRule>
  </conditionalFormatting>
  <conditionalFormatting sqref="D42">
    <cfRule type="expression" dxfId="174" priority="15763" stopIfTrue="1">
      <formula>AND(NOT(ISBLANK(D42)),NOT(_xlfn.ISFORMULA(D42)))</formula>
    </cfRule>
  </conditionalFormatting>
  <conditionalFormatting sqref="G42">
    <cfRule type="expression" dxfId="173" priority="15762" stopIfTrue="1">
      <formula>AND(NOT(ISBLANK(G42)),NOT(_xlfn.ISFORMULA(G42)))</formula>
    </cfRule>
  </conditionalFormatting>
  <conditionalFormatting sqref="E42">
    <cfRule type="expression" dxfId="172" priority="15767">
      <formula>AND(AND(NOT(ISBLANK(D42)),NOT(D42=$O$1)),AND(NOT(ISBLANK(C42)),NOT(C42=$O$1)))</formula>
    </cfRule>
    <cfRule type="expression" dxfId="171" priority="15768">
      <formula>OR(AND(NOT(ISBLANK(D42)),NOT(D42=$O$1)),AND(NOT(ISBLANK(C42)),NOT(C42=$O$1)))</formula>
    </cfRule>
  </conditionalFormatting>
  <conditionalFormatting sqref="F42">
    <cfRule type="expression" dxfId="170" priority="15765">
      <formula>AND(AND(NOT(ISBLANK(G42)),NOT(G42=$O$1)),AND(NOT(ISBLANK(H42)),NOT(H42=$O$1)))</formula>
    </cfRule>
    <cfRule type="expression" dxfId="169" priority="15766">
      <formula>OR(AND(NOT(ISBLANK(G42)),NOT(G42=$O$1)),AND(NOT(ISBLANK(H42)),NOT(H42=$O$1)))</formula>
    </cfRule>
  </conditionalFormatting>
  <conditionalFormatting sqref="C30">
    <cfRule type="expression" dxfId="168" priority="15756" stopIfTrue="1">
      <formula>AND(NOT(ISBLANK(C30)),NOT(_xlfn.ISFORMULA(C30)))</formula>
    </cfRule>
  </conditionalFormatting>
  <conditionalFormatting sqref="D30">
    <cfRule type="expression" dxfId="167" priority="15755" stopIfTrue="1">
      <formula>AND(NOT(ISBLANK(D30)),NOT(_xlfn.ISFORMULA(D30)))</formula>
    </cfRule>
  </conditionalFormatting>
  <conditionalFormatting sqref="G30">
    <cfRule type="expression" dxfId="166" priority="15754" stopIfTrue="1">
      <formula>AND(NOT(ISBLANK(G30)),NOT(_xlfn.ISFORMULA(G30)))</formula>
    </cfRule>
  </conditionalFormatting>
  <conditionalFormatting sqref="H42">
    <cfRule type="expression" dxfId="165" priority="15761" stopIfTrue="1">
      <formula>AND(NOT(ISBLANK(H42)),NOT(_xlfn.ISFORMULA(H42)))</formula>
    </cfRule>
  </conditionalFormatting>
  <conditionalFormatting sqref="E30">
    <cfRule type="expression" dxfId="164" priority="15759">
      <formula>AND(AND(NOT(ISBLANK(D30)),NOT(D30=$O$1)),AND(NOT(ISBLANK(C30)),NOT(C30=$O$1)))</formula>
    </cfRule>
    <cfRule type="expression" dxfId="163" priority="15760">
      <formula>OR(AND(NOT(ISBLANK(D30)),NOT(D30=$O$1)),AND(NOT(ISBLANK(C30)),NOT(C30=$O$1)))</formula>
    </cfRule>
  </conditionalFormatting>
  <conditionalFormatting sqref="F30">
    <cfRule type="expression" dxfId="162" priority="15757">
      <formula>AND(AND(NOT(ISBLANK(G30)),NOT(G30=$O$1)),AND(NOT(ISBLANK(H30)),NOT(H30=$O$1)))</formula>
    </cfRule>
    <cfRule type="expression" dxfId="161" priority="15758">
      <formula>OR(AND(NOT(ISBLANK(G30)),NOT(G30=$O$1)),AND(NOT(ISBLANK(H30)),NOT(H30=$O$1)))</formula>
    </cfRule>
  </conditionalFormatting>
  <conditionalFormatting sqref="C43">
    <cfRule type="expression" dxfId="160" priority="15748" stopIfTrue="1">
      <formula>AND(NOT(ISBLANK(C43)),NOT(_xlfn.ISFORMULA(C43)))</formula>
    </cfRule>
  </conditionalFormatting>
  <conditionalFormatting sqref="D43">
    <cfRule type="expression" dxfId="159" priority="15747" stopIfTrue="1">
      <formula>AND(NOT(ISBLANK(D43)),NOT(_xlfn.ISFORMULA(D43)))</formula>
    </cfRule>
  </conditionalFormatting>
  <conditionalFormatting sqref="G43">
    <cfRule type="expression" dxfId="158" priority="15746" stopIfTrue="1">
      <formula>AND(NOT(ISBLANK(G43)),NOT(_xlfn.ISFORMULA(G43)))</formula>
    </cfRule>
  </conditionalFormatting>
  <conditionalFormatting sqref="H30">
    <cfRule type="expression" dxfId="157" priority="15753" stopIfTrue="1">
      <formula>AND(NOT(ISBLANK(H30)),NOT(_xlfn.ISFORMULA(H30)))</formula>
    </cfRule>
  </conditionalFormatting>
  <conditionalFormatting sqref="E43">
    <cfRule type="expression" dxfId="156" priority="15751">
      <formula>AND(AND(NOT(ISBLANK(D43)),NOT(D43=$O$1)),AND(NOT(ISBLANK(C43)),NOT(C43=$O$1)))</formula>
    </cfRule>
    <cfRule type="expression" dxfId="155" priority="15752">
      <formula>OR(AND(NOT(ISBLANK(D43)),NOT(D43=$O$1)),AND(NOT(ISBLANK(C43)),NOT(C43=$O$1)))</formula>
    </cfRule>
  </conditionalFormatting>
  <conditionalFormatting sqref="F43">
    <cfRule type="expression" dxfId="154" priority="15749">
      <formula>AND(AND(NOT(ISBLANK(G43)),NOT(G43=$O$1)),AND(NOT(ISBLANK(H43)),NOT(H43=$O$1)))</formula>
    </cfRule>
    <cfRule type="expression" dxfId="153" priority="15750">
      <formula>OR(AND(NOT(ISBLANK(G43)),NOT(G43=$O$1)),AND(NOT(ISBLANK(H43)),NOT(H43=$O$1)))</formula>
    </cfRule>
  </conditionalFormatting>
  <conditionalFormatting sqref="H43">
    <cfRule type="expression" dxfId="152" priority="15745" stopIfTrue="1">
      <formula>AND(NOT(ISBLANK(H43)),NOT(_xlfn.ISFORMULA(H43)))</formula>
    </cfRule>
  </conditionalFormatting>
  <conditionalFormatting sqref="H44">
    <cfRule type="expression" dxfId="151" priority="15737" stopIfTrue="1">
      <formula>AND(NOT(ISBLANK(H44)),NOT(_xlfn.ISFORMULA(H44)))</formula>
    </cfRule>
  </conditionalFormatting>
  <conditionalFormatting sqref="E44">
    <cfRule type="expression" dxfId="150" priority="15743">
      <formula>AND(AND(NOT(ISBLANK(D44)),NOT(D44=$O$1)),AND(NOT(ISBLANK(C44)),NOT(C44=$O$1)))</formula>
    </cfRule>
    <cfRule type="expression" dxfId="149" priority="15744">
      <formula>OR(AND(NOT(ISBLANK(D44)),NOT(D44=$O$1)),AND(NOT(ISBLANK(C44)),NOT(C44=$O$1)))</formula>
    </cfRule>
  </conditionalFormatting>
  <conditionalFormatting sqref="F44">
    <cfRule type="expression" dxfId="148" priority="15741">
      <formula>AND(AND(NOT(ISBLANK(G44)),NOT(G44=$O$1)),AND(NOT(ISBLANK(H44)),NOT(H44=$O$1)))</formula>
    </cfRule>
    <cfRule type="expression" dxfId="147" priority="15742">
      <formula>OR(AND(NOT(ISBLANK(G44)),NOT(G44=$O$1)),AND(NOT(ISBLANK(H44)),NOT(H44=$O$1)))</formula>
    </cfRule>
  </conditionalFormatting>
  <conditionalFormatting sqref="C44">
    <cfRule type="expression" dxfId="146" priority="15740" stopIfTrue="1">
      <formula>AND(NOT(ISBLANK(C44)),NOT(_xlfn.ISFORMULA(C44)))</formula>
    </cfRule>
  </conditionalFormatting>
  <conditionalFormatting sqref="D44">
    <cfRule type="expression" dxfId="145" priority="15739" stopIfTrue="1">
      <formula>AND(NOT(ISBLANK(D44)),NOT(_xlfn.ISFORMULA(D44)))</formula>
    </cfRule>
  </conditionalFormatting>
  <conditionalFormatting sqref="G44">
    <cfRule type="expression" dxfId="144" priority="15738" stopIfTrue="1">
      <formula>AND(NOT(ISBLANK(G44)),NOT(_xlfn.ISFORMULA(G44)))</formula>
    </cfRule>
  </conditionalFormatting>
  <conditionalFormatting sqref="E31">
    <cfRule type="expression" dxfId="143" priority="15735">
      <formula>AND(AND(NOT(ISBLANK(D31)),NOT(D31=$O$1)),AND(NOT(ISBLANK(C31)),NOT(C31=$O$1)))</formula>
    </cfRule>
    <cfRule type="expression" dxfId="142" priority="15736">
      <formula>OR(AND(NOT(ISBLANK(D31)),NOT(D31=$O$1)),AND(NOT(ISBLANK(C31)),NOT(C31=$O$1)))</formula>
    </cfRule>
  </conditionalFormatting>
  <conditionalFormatting sqref="F31">
    <cfRule type="expression" dxfId="141" priority="15733">
      <formula>AND(AND(NOT(ISBLANK(G31)),NOT(G31=$O$1)),AND(NOT(ISBLANK(H31)),NOT(H31=$O$1)))</formula>
    </cfRule>
    <cfRule type="expression" dxfId="140" priority="15734">
      <formula>OR(AND(NOT(ISBLANK(G31)),NOT(G31=$O$1)),AND(NOT(ISBLANK(H31)),NOT(H31=$O$1)))</formula>
    </cfRule>
  </conditionalFormatting>
  <conditionalFormatting sqref="C31">
    <cfRule type="expression" dxfId="139" priority="15732" stopIfTrue="1">
      <formula>AND(NOT(ISBLANK(C31)),NOT(_xlfn.ISFORMULA(C31)))</formula>
    </cfRule>
  </conditionalFormatting>
  <conditionalFormatting sqref="D31">
    <cfRule type="expression" dxfId="138" priority="15731" stopIfTrue="1">
      <formula>AND(NOT(ISBLANK(D31)),NOT(_xlfn.ISFORMULA(D31)))</formula>
    </cfRule>
  </conditionalFormatting>
  <conditionalFormatting sqref="G31">
    <cfRule type="expression" dxfId="137" priority="15730" stopIfTrue="1">
      <formula>AND(NOT(ISBLANK(G31)),NOT(_xlfn.ISFORMULA(G31)))</formula>
    </cfRule>
  </conditionalFormatting>
  <conditionalFormatting sqref="H31">
    <cfRule type="expression" dxfId="136" priority="15729" stopIfTrue="1">
      <formula>AND(NOT(ISBLANK(H31)),NOT(_xlfn.ISFORMULA(H31)))</formula>
    </cfRule>
  </conditionalFormatting>
  <conditionalFormatting sqref="E45">
    <cfRule type="expression" dxfId="135" priority="15727">
      <formula>AND(AND(NOT(ISBLANK(D45)),NOT(D45=$O$1)),AND(NOT(ISBLANK(C45)),NOT(C45=$O$1)))</formula>
    </cfRule>
    <cfRule type="expression" dxfId="134" priority="15728">
      <formula>OR(AND(NOT(ISBLANK(D45)),NOT(D45=$O$1)),AND(NOT(ISBLANK(C45)),NOT(C45=$O$1)))</formula>
    </cfRule>
  </conditionalFormatting>
  <conditionalFormatting sqref="F45">
    <cfRule type="expression" dxfId="133" priority="15725">
      <formula>AND(AND(NOT(ISBLANK(G45)),NOT(G45=$O$1)),AND(NOT(ISBLANK(H45)),NOT(H45=$O$1)))</formula>
    </cfRule>
    <cfRule type="expression" dxfId="132" priority="15726">
      <formula>OR(AND(NOT(ISBLANK(G45)),NOT(G45=$O$1)),AND(NOT(ISBLANK(H45)),NOT(H45=$O$1)))</formula>
    </cfRule>
  </conditionalFormatting>
  <conditionalFormatting sqref="C45">
    <cfRule type="expression" dxfId="131" priority="15724" stopIfTrue="1">
      <formula>AND(NOT(ISBLANK(C45)),NOT(_xlfn.ISFORMULA(C45)))</formula>
    </cfRule>
  </conditionalFormatting>
  <conditionalFormatting sqref="D45">
    <cfRule type="expression" dxfId="130" priority="15723" stopIfTrue="1">
      <formula>AND(NOT(ISBLANK(D45)),NOT(_xlfn.ISFORMULA(D45)))</formula>
    </cfRule>
  </conditionalFormatting>
  <conditionalFormatting sqref="G45">
    <cfRule type="expression" dxfId="129" priority="15722" stopIfTrue="1">
      <formula>AND(NOT(ISBLANK(G45)),NOT(_xlfn.ISFORMULA(G45)))</formula>
    </cfRule>
  </conditionalFormatting>
  <conditionalFormatting sqref="H45">
    <cfRule type="expression" dxfId="128" priority="15721" stopIfTrue="1">
      <formula>AND(NOT(ISBLANK(H45)),NOT(_xlfn.ISFORMULA(H45)))</formula>
    </cfRule>
  </conditionalFormatting>
  <conditionalFormatting sqref="H46">
    <cfRule type="expression" dxfId="127" priority="15709" stopIfTrue="1">
      <formula>AND(NOT(ISBLANK(H46)),NOT(_xlfn.ISFORMULA(H46)))</formula>
    </cfRule>
  </conditionalFormatting>
  <conditionalFormatting sqref="E46">
    <cfRule type="expression" dxfId="126" priority="15715">
      <formula>AND(AND(NOT(ISBLANK(D46)),NOT(D46=$O$1)),AND(NOT(ISBLANK(C46)),NOT(C46=$O$1)))</formula>
    </cfRule>
    <cfRule type="expression" dxfId="125" priority="15716">
      <formula>OR(AND(NOT(ISBLANK(D46)),NOT(D46=$O$1)),AND(NOT(ISBLANK(C46)),NOT(C46=$O$1)))</formula>
    </cfRule>
  </conditionalFormatting>
  <conditionalFormatting sqref="F46">
    <cfRule type="expression" dxfId="124" priority="15713">
      <formula>AND(AND(NOT(ISBLANK(G46)),NOT(G46=$O$1)),AND(NOT(ISBLANK(H46)),NOT(H46=$O$1)))</formula>
    </cfRule>
    <cfRule type="expression" dxfId="123" priority="15714">
      <formula>OR(AND(NOT(ISBLANK(G46)),NOT(G46=$O$1)),AND(NOT(ISBLANK(H46)),NOT(H46=$O$1)))</formula>
    </cfRule>
  </conditionalFormatting>
  <conditionalFormatting sqref="C46">
    <cfRule type="expression" dxfId="122" priority="15712" stopIfTrue="1">
      <formula>AND(NOT(ISBLANK(C46)),NOT(_xlfn.ISFORMULA(C46)))</formula>
    </cfRule>
  </conditionalFormatting>
  <conditionalFormatting sqref="D46">
    <cfRule type="expression" dxfId="121" priority="15711" stopIfTrue="1">
      <formula>AND(NOT(ISBLANK(D46)),NOT(_xlfn.ISFORMULA(D46)))</formula>
    </cfRule>
  </conditionalFormatting>
  <conditionalFormatting sqref="G46">
    <cfRule type="expression" dxfId="120" priority="15710" stopIfTrue="1">
      <formula>AND(NOT(ISBLANK(G46)),NOT(_xlfn.ISFORMULA(G46)))</formula>
    </cfRule>
  </conditionalFormatting>
  <conditionalFormatting sqref="E32">
    <cfRule type="expression" dxfId="119" priority="15707">
      <formula>AND(AND(NOT(ISBLANK(D32)),NOT(D32=$O$1)),AND(NOT(ISBLANK(C32)),NOT(C32=$O$1)))</formula>
    </cfRule>
    <cfRule type="expression" dxfId="118" priority="15708">
      <formula>OR(AND(NOT(ISBLANK(D32)),NOT(D32=$O$1)),AND(NOT(ISBLANK(C32)),NOT(C32=$O$1)))</formula>
    </cfRule>
  </conditionalFormatting>
  <conditionalFormatting sqref="F32">
    <cfRule type="expression" dxfId="117" priority="15705">
      <formula>AND(AND(NOT(ISBLANK(G32)),NOT(G32=$O$1)),AND(NOT(ISBLANK(H32)),NOT(H32=$O$1)))</formula>
    </cfRule>
    <cfRule type="expression" dxfId="116" priority="15706">
      <formula>OR(AND(NOT(ISBLANK(G32)),NOT(G32=$O$1)),AND(NOT(ISBLANK(H32)),NOT(H32=$O$1)))</formula>
    </cfRule>
  </conditionalFormatting>
  <conditionalFormatting sqref="C32">
    <cfRule type="expression" dxfId="115" priority="15704" stopIfTrue="1">
      <formula>AND(NOT(ISBLANK(C32)),NOT(_xlfn.ISFORMULA(C32)))</formula>
    </cfRule>
  </conditionalFormatting>
  <conditionalFormatting sqref="D32">
    <cfRule type="expression" dxfId="114" priority="15703" stopIfTrue="1">
      <formula>AND(NOT(ISBLANK(D32)),NOT(_xlfn.ISFORMULA(D32)))</formula>
    </cfRule>
  </conditionalFormatting>
  <conditionalFormatting sqref="G32">
    <cfRule type="expression" dxfId="113" priority="15702" stopIfTrue="1">
      <formula>AND(NOT(ISBLANK(G32)),NOT(_xlfn.ISFORMULA(G32)))</formula>
    </cfRule>
  </conditionalFormatting>
  <conditionalFormatting sqref="H32">
    <cfRule type="expression" dxfId="112" priority="15701" stopIfTrue="1">
      <formula>AND(NOT(ISBLANK(H32)),NOT(_xlfn.ISFORMULA(H32)))</formula>
    </cfRule>
  </conditionalFormatting>
  <conditionalFormatting sqref="E47">
    <cfRule type="expression" dxfId="111" priority="15699">
      <formula>AND(AND(NOT(ISBLANK(D47)),NOT(D47=$O$1)),AND(NOT(ISBLANK(C47)),NOT(C47=$O$1)))</formula>
    </cfRule>
    <cfRule type="expression" dxfId="110" priority="15700">
      <formula>OR(AND(NOT(ISBLANK(D47)),NOT(D47=$O$1)),AND(NOT(ISBLANK(C47)),NOT(C47=$O$1)))</formula>
    </cfRule>
  </conditionalFormatting>
  <conditionalFormatting sqref="F47">
    <cfRule type="expression" dxfId="109" priority="15697">
      <formula>AND(AND(NOT(ISBLANK(G47)),NOT(G47=$O$1)),AND(NOT(ISBLANK(H47)),NOT(H47=$O$1)))</formula>
    </cfRule>
    <cfRule type="expression" dxfId="108" priority="15698">
      <formula>OR(AND(NOT(ISBLANK(G47)),NOT(G47=$O$1)),AND(NOT(ISBLANK(H47)),NOT(H47=$O$1)))</formula>
    </cfRule>
  </conditionalFormatting>
  <conditionalFormatting sqref="C47">
    <cfRule type="expression" dxfId="107" priority="15696" stopIfTrue="1">
      <formula>AND(NOT(ISBLANK(C47)),NOT(_xlfn.ISFORMULA(C47)))</formula>
    </cfRule>
  </conditionalFormatting>
  <conditionalFormatting sqref="D47">
    <cfRule type="expression" dxfId="106" priority="15695" stopIfTrue="1">
      <formula>AND(NOT(ISBLANK(D47)),NOT(_xlfn.ISFORMULA(D47)))</formula>
    </cfRule>
  </conditionalFormatting>
  <conditionalFormatting sqref="G47">
    <cfRule type="expression" dxfId="105" priority="15694" stopIfTrue="1">
      <formula>AND(NOT(ISBLANK(G47)),NOT(_xlfn.ISFORMULA(G47)))</formula>
    </cfRule>
  </conditionalFormatting>
  <conditionalFormatting sqref="H47">
    <cfRule type="expression" dxfId="104" priority="15693" stopIfTrue="1">
      <formula>AND(NOT(ISBLANK(H47)),NOT(_xlfn.ISFORMULA(H47)))</formula>
    </cfRule>
  </conditionalFormatting>
  <conditionalFormatting sqref="E48">
    <cfRule type="expression" dxfId="103" priority="15691">
      <formula>AND(AND(NOT(ISBLANK(D48)),NOT(D48=$O$1)),AND(NOT(ISBLANK(C48)),NOT(C48=$O$1)))</formula>
    </cfRule>
    <cfRule type="expression" dxfId="102" priority="15692">
      <formula>OR(AND(NOT(ISBLANK(D48)),NOT(D48=$O$1)),AND(NOT(ISBLANK(C48)),NOT(C48=$O$1)))</formula>
    </cfRule>
  </conditionalFormatting>
  <conditionalFormatting sqref="F48">
    <cfRule type="expression" dxfId="101" priority="15689">
      <formula>AND(AND(NOT(ISBLANK(G48)),NOT(G48=$O$1)),AND(NOT(ISBLANK(H48)),NOT(H48=$O$1)))</formula>
    </cfRule>
    <cfRule type="expression" dxfId="100" priority="15690">
      <formula>OR(AND(NOT(ISBLANK(G48)),NOT(G48=$O$1)),AND(NOT(ISBLANK(H48)),NOT(H48=$O$1)))</formula>
    </cfRule>
  </conditionalFormatting>
  <conditionalFormatting sqref="E33">
    <cfRule type="expression" dxfId="99" priority="15683">
      <formula>AND(AND(NOT(ISBLANK(D33)),NOT(D33=$O$1)),AND(NOT(ISBLANK(C33)),NOT(C33=$O$1)))</formula>
    </cfRule>
    <cfRule type="expression" dxfId="98" priority="15684">
      <formula>OR(AND(NOT(ISBLANK(D33)),NOT(D33=$O$1)),AND(NOT(ISBLANK(C33)),NOT(C33=$O$1)))</formula>
    </cfRule>
  </conditionalFormatting>
  <conditionalFormatting sqref="F33">
    <cfRule type="expression" dxfId="97" priority="15681">
      <formula>AND(AND(NOT(ISBLANK(G33)),NOT(G33=$O$1)),AND(NOT(ISBLANK(H33)),NOT(H33=$O$1)))</formula>
    </cfRule>
    <cfRule type="expression" dxfId="96" priority="15682">
      <formula>OR(AND(NOT(ISBLANK(G33)),NOT(G33=$O$1)),AND(NOT(ISBLANK(H33)),NOT(H33=$O$1)))</formula>
    </cfRule>
  </conditionalFormatting>
  <conditionalFormatting sqref="C48">
    <cfRule type="expression" dxfId="95" priority="15688" stopIfTrue="1">
      <formula>AND(NOT(ISBLANK(C48)),NOT(_xlfn.ISFORMULA(C48)))</formula>
    </cfRule>
  </conditionalFormatting>
  <conditionalFormatting sqref="D48">
    <cfRule type="expression" dxfId="94" priority="15687" stopIfTrue="1">
      <formula>AND(NOT(ISBLANK(D48)),NOT(_xlfn.ISFORMULA(D48)))</formula>
    </cfRule>
  </conditionalFormatting>
  <conditionalFormatting sqref="G48">
    <cfRule type="expression" dxfId="93" priority="15686" stopIfTrue="1">
      <formula>AND(NOT(ISBLANK(G48)),NOT(_xlfn.ISFORMULA(G48)))</formula>
    </cfRule>
  </conditionalFormatting>
  <conditionalFormatting sqref="H48">
    <cfRule type="expression" dxfId="92" priority="15685" stopIfTrue="1">
      <formula>AND(NOT(ISBLANK(H48)),NOT(_xlfn.ISFORMULA(H48)))</formula>
    </cfRule>
  </conditionalFormatting>
  <conditionalFormatting sqref="C33">
    <cfRule type="expression" dxfId="91" priority="15680" stopIfTrue="1">
      <formula>AND(NOT(ISBLANK(C33)),NOT(_xlfn.ISFORMULA(C33)))</formula>
    </cfRule>
  </conditionalFormatting>
  <conditionalFormatting sqref="D33">
    <cfRule type="expression" dxfId="90" priority="15679" stopIfTrue="1">
      <formula>AND(NOT(ISBLANK(D33)),NOT(_xlfn.ISFORMULA(D33)))</formula>
    </cfRule>
  </conditionalFormatting>
  <conditionalFormatting sqref="G33">
    <cfRule type="expression" dxfId="89" priority="15678" stopIfTrue="1">
      <formula>AND(NOT(ISBLANK(G33)),NOT(_xlfn.ISFORMULA(G33)))</formula>
    </cfRule>
  </conditionalFormatting>
  <conditionalFormatting sqref="H33">
    <cfRule type="expression" dxfId="88" priority="15677" stopIfTrue="1">
      <formula>AND(NOT(ISBLANK(H33)),NOT(_xlfn.ISFORMULA(H33)))</formula>
    </cfRule>
  </conditionalFormatting>
  <conditionalFormatting sqref="E49">
    <cfRule type="expression" dxfId="87" priority="15675">
      <formula>AND(AND(NOT(ISBLANK(D49)),NOT(D49=$O$1)),AND(NOT(ISBLANK(C49)),NOT(C49=$O$1)))</formula>
    </cfRule>
    <cfRule type="expression" dxfId="86" priority="15676">
      <formula>OR(AND(NOT(ISBLANK(D49)),NOT(D49=$O$1)),AND(NOT(ISBLANK(C49)),NOT(C49=$O$1)))</formula>
    </cfRule>
  </conditionalFormatting>
  <conditionalFormatting sqref="F49">
    <cfRule type="expression" dxfId="85" priority="15673">
      <formula>AND(AND(NOT(ISBLANK(G49)),NOT(G49=$O$1)),AND(NOT(ISBLANK(H49)),NOT(H49=$O$1)))</formula>
    </cfRule>
    <cfRule type="expression" dxfId="84" priority="15674">
      <formula>OR(AND(NOT(ISBLANK(G49)),NOT(G49=$O$1)),AND(NOT(ISBLANK(H49)),NOT(H49=$O$1)))</formula>
    </cfRule>
  </conditionalFormatting>
  <conditionalFormatting sqref="E4">
    <cfRule type="expression" dxfId="83" priority="15015">
      <formula>AND(AND(NOT(ISBLANK(D4)),NOT(D4=$O$1)),AND(NOT(ISBLANK(C4)),NOT(C4=$O$1)))</formula>
    </cfRule>
    <cfRule type="expression" dxfId="82" priority="15016">
      <formula>OR(AND(NOT(ISBLANK(D4)),NOT(D4=$O$1)),AND(NOT(ISBLANK(C4)),NOT(C4=$O$1)))</formula>
    </cfRule>
  </conditionalFormatting>
  <conditionalFormatting sqref="F4">
    <cfRule type="expression" dxfId="81" priority="15013">
      <formula>AND(AND(NOT(ISBLANK(G4)),NOT(G4=$O$1)),AND(NOT(ISBLANK(H4)),NOT(H4=$O$1)))</formula>
    </cfRule>
    <cfRule type="expression" dxfId="80" priority="15014">
      <formula>OR(AND(NOT(ISBLANK(G4)),NOT(G4=$O$1)),AND(NOT(ISBLANK(H4)),NOT(H4=$O$1)))</formula>
    </cfRule>
  </conditionalFormatting>
  <conditionalFormatting sqref="E5">
    <cfRule type="expression" dxfId="79" priority="15011">
      <formula>AND(AND(NOT(ISBLANK(D5)),NOT(D5=$O$1)),AND(NOT(ISBLANK(C5)),NOT(C5=$O$1)))</formula>
    </cfRule>
    <cfRule type="expression" dxfId="78" priority="15012">
      <formula>OR(AND(NOT(ISBLANK(D5)),NOT(D5=$O$1)),AND(NOT(ISBLANK(C5)),NOT(C5=$O$1)))</formula>
    </cfRule>
  </conditionalFormatting>
  <conditionalFormatting sqref="F5">
    <cfRule type="expression" dxfId="77" priority="15009">
      <formula>AND(AND(NOT(ISBLANK(G5)),NOT(G5=$O$1)),AND(NOT(ISBLANK(H5)),NOT(H5=$O$1)))</formula>
    </cfRule>
    <cfRule type="expression" dxfId="76" priority="15010">
      <formula>OR(AND(NOT(ISBLANK(G5)),NOT(G5=$O$1)),AND(NOT(ISBLANK(H5)),NOT(H5=$O$1)))</formula>
    </cfRule>
  </conditionalFormatting>
  <conditionalFormatting sqref="E6">
    <cfRule type="expression" dxfId="75" priority="15007">
      <formula>AND(AND(NOT(ISBLANK(D6)),NOT(D6=$O$1)),AND(NOT(ISBLANK(C6)),NOT(C6=$O$1)))</formula>
    </cfRule>
    <cfRule type="expression" dxfId="74" priority="15008">
      <formula>OR(AND(NOT(ISBLANK(D6)),NOT(D6=$O$1)),AND(NOT(ISBLANK(C6)),NOT(C6=$O$1)))</formula>
    </cfRule>
  </conditionalFormatting>
  <conditionalFormatting sqref="F6">
    <cfRule type="expression" dxfId="73" priority="15005">
      <formula>AND(AND(NOT(ISBLANK(G6)),NOT(G6=$O$1)),AND(NOT(ISBLANK(H6)),NOT(H6=$O$1)))</formula>
    </cfRule>
    <cfRule type="expression" dxfId="72" priority="15006">
      <formula>OR(AND(NOT(ISBLANK(G6)),NOT(G6=$O$1)),AND(NOT(ISBLANK(H6)),NOT(H6=$O$1)))</formula>
    </cfRule>
  </conditionalFormatting>
  <conditionalFormatting sqref="E7">
    <cfRule type="expression" dxfId="71" priority="8791">
      <formula>AND(AND(NOT(ISBLANK(D7)),NOT(D7=$O$1)),AND(NOT(ISBLANK(C7)),NOT(C7=$O$1)))</formula>
    </cfRule>
    <cfRule type="expression" dxfId="70" priority="8792">
      <formula>OR(AND(NOT(ISBLANK(D7)),NOT(D7=$O$1)),AND(NOT(ISBLANK(C7)),NOT(C7=$O$1)))</formula>
    </cfRule>
  </conditionalFormatting>
  <conditionalFormatting sqref="F7">
    <cfRule type="expression" dxfId="69" priority="8789">
      <formula>AND(AND(NOT(ISBLANK(G7)),NOT(G7=$O$1)),AND(NOT(ISBLANK(H7)),NOT(H7=$O$1)))</formula>
    </cfRule>
    <cfRule type="expression" dxfId="68" priority="8790">
      <formula>OR(AND(NOT(ISBLANK(G7)),NOT(G7=$O$1)),AND(NOT(ISBLANK(H7)),NOT(H7=$O$1)))</formula>
    </cfRule>
  </conditionalFormatting>
  <conditionalFormatting sqref="E8">
    <cfRule type="expression" dxfId="67" priority="2831">
      <formula>AND(AND(NOT(ISBLANK(D8)),NOT(D8=$O$1)),AND(NOT(ISBLANK(C8)),NOT(C8=$O$1)))</formula>
    </cfRule>
    <cfRule type="expression" dxfId="66" priority="2832">
      <formula>OR(AND(NOT(ISBLANK(D8)),NOT(D8=$O$1)),AND(NOT(ISBLANK(C8)),NOT(C8=$O$1)))</formula>
    </cfRule>
  </conditionalFormatting>
  <conditionalFormatting sqref="F8">
    <cfRule type="expression" dxfId="65" priority="2829">
      <formula>AND(AND(NOT(ISBLANK(G8)),NOT(G8=$O$1)),AND(NOT(ISBLANK(H8)),NOT(H8=$O$1)))</formula>
    </cfRule>
    <cfRule type="expression" dxfId="64" priority="2830">
      <formula>OR(AND(NOT(ISBLANK(G8)),NOT(G8=$O$1)),AND(NOT(ISBLANK(H8)),NOT(H8=$O$1)))</formula>
    </cfRule>
  </conditionalFormatting>
  <conditionalFormatting sqref="E9">
    <cfRule type="expression" dxfId="35" priority="1107">
      <formula>AND(AND(NOT(ISBLANK(D9)),NOT(D9=$O$1)),AND(NOT(ISBLANK(C9)),NOT(C9=$O$1)))</formula>
    </cfRule>
    <cfRule type="expression" dxfId="34" priority="1108">
      <formula>OR(AND(NOT(ISBLANK(D9)),NOT(D9=$O$1)),AND(NOT(ISBLANK(C9)),NOT(C9=$O$1)))</formula>
    </cfRule>
  </conditionalFormatting>
  <conditionalFormatting sqref="F9">
    <cfRule type="expression" dxfId="33" priority="1105">
      <formula>AND(AND(NOT(ISBLANK(G9)),NOT(G9=$O$1)),AND(NOT(ISBLANK(H9)),NOT(H9=$O$1)))</formula>
    </cfRule>
    <cfRule type="expression" dxfId="32" priority="1106">
      <formula>OR(AND(NOT(ISBLANK(G9)),NOT(G9=$O$1)),AND(NOT(ISBLANK(H9)),NOT(H9=$O$1)))</formula>
    </cfRule>
  </conditionalFormatting>
  <conditionalFormatting sqref="E10">
    <cfRule type="expression" dxfId="31" priority="1103">
      <formula>AND(AND(NOT(ISBLANK(D10)),NOT(D10=$O$1)),AND(NOT(ISBLANK(C10)),NOT(C10=$O$1)))</formula>
    </cfRule>
    <cfRule type="expression" dxfId="30" priority="1104">
      <formula>OR(AND(NOT(ISBLANK(D10)),NOT(D10=$O$1)),AND(NOT(ISBLANK(C10)),NOT(C10=$O$1)))</formula>
    </cfRule>
  </conditionalFormatting>
  <conditionalFormatting sqref="F10">
    <cfRule type="expression" dxfId="29" priority="1101">
      <formula>AND(AND(NOT(ISBLANK(G10)),NOT(G10=$O$1)),AND(NOT(ISBLANK(H10)),NOT(H10=$O$1)))</formula>
    </cfRule>
    <cfRule type="expression" dxfId="28" priority="1102">
      <formula>OR(AND(NOT(ISBLANK(G10)),NOT(G10=$O$1)),AND(NOT(ISBLANK(H10)),NOT(H10=$O$1)))</formula>
    </cfRule>
  </conditionalFormatting>
  <conditionalFormatting sqref="C4">
    <cfRule type="expression" dxfId="27" priority="28" stopIfTrue="1">
      <formula>AND(NOT(ISBLANK(C4)),NOT(_xlfn.ISFORMULA(C4)))</formula>
    </cfRule>
  </conditionalFormatting>
  <conditionalFormatting sqref="C5">
    <cfRule type="expression" dxfId="26" priority="27" stopIfTrue="1">
      <formula>AND(NOT(ISBLANK(C5)),NOT(_xlfn.ISFORMULA(C5)))</formula>
    </cfRule>
  </conditionalFormatting>
  <conditionalFormatting sqref="C6">
    <cfRule type="expression" dxfId="25" priority="26" stopIfTrue="1">
      <formula>AND(NOT(ISBLANK(C6)),NOT(_xlfn.ISFORMULA(C6)))</formula>
    </cfRule>
  </conditionalFormatting>
  <conditionalFormatting sqref="C7">
    <cfRule type="expression" dxfId="24" priority="25" stopIfTrue="1">
      <formula>AND(NOT(ISBLANK(C7)),NOT(_xlfn.ISFORMULA(C7)))</formula>
    </cfRule>
  </conditionalFormatting>
  <conditionalFormatting sqref="C8">
    <cfRule type="expression" dxfId="23" priority="24" stopIfTrue="1">
      <formula>AND(NOT(ISBLANK(C8)),NOT(_xlfn.ISFORMULA(C8)))</formula>
    </cfRule>
  </conditionalFormatting>
  <conditionalFormatting sqref="C9">
    <cfRule type="expression" dxfId="22" priority="23" stopIfTrue="1">
      <formula>AND(NOT(ISBLANK(C9)),NOT(_xlfn.ISFORMULA(C9)))</formula>
    </cfRule>
  </conditionalFormatting>
  <conditionalFormatting sqref="C10">
    <cfRule type="expression" dxfId="21" priority="22" stopIfTrue="1">
      <formula>AND(NOT(ISBLANK(C10)),NOT(_xlfn.ISFORMULA(C10)))</formula>
    </cfRule>
  </conditionalFormatting>
  <conditionalFormatting sqref="D4">
    <cfRule type="expression" dxfId="20" priority="21" stopIfTrue="1">
      <formula>AND(NOT(ISBLANK(D4)),NOT(_xlfn.ISFORMULA(D4)))</formula>
    </cfRule>
  </conditionalFormatting>
  <conditionalFormatting sqref="D5">
    <cfRule type="expression" dxfId="19" priority="20" stopIfTrue="1">
      <formula>AND(NOT(ISBLANK(D5)),NOT(_xlfn.ISFORMULA(D5)))</formula>
    </cfRule>
  </conditionalFormatting>
  <conditionalFormatting sqref="D6">
    <cfRule type="expression" dxfId="18" priority="19" stopIfTrue="1">
      <formula>AND(NOT(ISBLANK(D6)),NOT(_xlfn.ISFORMULA(D6)))</formula>
    </cfRule>
  </conditionalFormatting>
  <conditionalFormatting sqref="D7">
    <cfRule type="expression" dxfId="17" priority="18" stopIfTrue="1">
      <formula>AND(NOT(ISBLANK(D7)),NOT(_xlfn.ISFORMULA(D7)))</formula>
    </cfRule>
  </conditionalFormatting>
  <conditionalFormatting sqref="D8">
    <cfRule type="expression" dxfId="16" priority="17" stopIfTrue="1">
      <formula>AND(NOT(ISBLANK(D8)),NOT(_xlfn.ISFORMULA(D8)))</formula>
    </cfRule>
  </conditionalFormatting>
  <conditionalFormatting sqref="D9">
    <cfRule type="expression" dxfId="15" priority="16" stopIfTrue="1">
      <formula>AND(NOT(ISBLANK(D9)),NOT(_xlfn.ISFORMULA(D9)))</formula>
    </cfRule>
  </conditionalFormatting>
  <conditionalFormatting sqref="D10">
    <cfRule type="expression" dxfId="14" priority="15" stopIfTrue="1">
      <formula>AND(NOT(ISBLANK(D10)),NOT(_xlfn.ISFORMULA(D10)))</formula>
    </cfRule>
  </conditionalFormatting>
  <conditionalFormatting sqref="G4">
    <cfRule type="expression" dxfId="13" priority="14" stopIfTrue="1">
      <formula>AND(NOT(ISBLANK(G4)),NOT(_xlfn.ISFORMULA(G4)))</formula>
    </cfRule>
  </conditionalFormatting>
  <conditionalFormatting sqref="G5">
    <cfRule type="expression" dxfId="12" priority="13" stopIfTrue="1">
      <formula>AND(NOT(ISBLANK(G5)),NOT(_xlfn.ISFORMULA(G5)))</formula>
    </cfRule>
  </conditionalFormatting>
  <conditionalFormatting sqref="G6">
    <cfRule type="expression" dxfId="11" priority="12" stopIfTrue="1">
      <formula>AND(NOT(ISBLANK(G6)),NOT(_xlfn.ISFORMULA(G6)))</formula>
    </cfRule>
  </conditionalFormatting>
  <conditionalFormatting sqref="G7">
    <cfRule type="expression" dxfId="10" priority="11" stopIfTrue="1">
      <formula>AND(NOT(ISBLANK(G7)),NOT(_xlfn.ISFORMULA(G7)))</formula>
    </cfRule>
  </conditionalFormatting>
  <conditionalFormatting sqref="G8">
    <cfRule type="expression" dxfId="9" priority="10" stopIfTrue="1">
      <formula>AND(NOT(ISBLANK(G8)),NOT(_xlfn.ISFORMULA(G8)))</formula>
    </cfRule>
  </conditionalFormatting>
  <conditionalFormatting sqref="G9">
    <cfRule type="expression" dxfId="8" priority="9" stopIfTrue="1">
      <formula>AND(NOT(ISBLANK(G9)),NOT(_xlfn.ISFORMULA(G9)))</formula>
    </cfRule>
  </conditionalFormatting>
  <conditionalFormatting sqref="G10">
    <cfRule type="expression" dxfId="7" priority="8" stopIfTrue="1">
      <formula>AND(NOT(ISBLANK(G10)),NOT(_xlfn.ISFORMULA(G10)))</formula>
    </cfRule>
  </conditionalFormatting>
  <conditionalFormatting sqref="H4">
    <cfRule type="expression" dxfId="6" priority="7" stopIfTrue="1">
      <formula>AND(NOT(ISBLANK(H4)),NOT(_xlfn.ISFORMULA(H4)))</formula>
    </cfRule>
  </conditionalFormatting>
  <conditionalFormatting sqref="H5">
    <cfRule type="expression" dxfId="5" priority="6" stopIfTrue="1">
      <formula>AND(NOT(ISBLANK(H5)),NOT(_xlfn.ISFORMULA(H5)))</formula>
    </cfRule>
  </conditionalFormatting>
  <conditionalFormatting sqref="H6">
    <cfRule type="expression" dxfId="4" priority="5" stopIfTrue="1">
      <formula>AND(NOT(ISBLANK(H6)),NOT(_xlfn.ISFORMULA(H6)))</formula>
    </cfRule>
  </conditionalFormatting>
  <conditionalFormatting sqref="H7">
    <cfRule type="expression" dxfId="3" priority="4" stopIfTrue="1">
      <formula>AND(NOT(ISBLANK(H7)),NOT(_xlfn.ISFORMULA(H7)))</formula>
    </cfRule>
  </conditionalFormatting>
  <conditionalFormatting sqref="H8">
    <cfRule type="expression" dxfId="2" priority="3" stopIfTrue="1">
      <formula>AND(NOT(ISBLANK(H8)),NOT(_xlfn.ISFORMULA(H8)))</formula>
    </cfRule>
  </conditionalFormatting>
  <conditionalFormatting sqref="H9">
    <cfRule type="expression" dxfId="1" priority="2" stopIfTrue="1">
      <formula>AND(NOT(ISBLANK(H9)),NOT(_xlfn.ISFORMULA(H9)))</formula>
    </cfRule>
  </conditionalFormatting>
  <conditionalFormatting sqref="H10">
    <cfRule type="expression" dxfId="0" priority="1" stopIfTrue="1">
      <formula>AND(NOT(ISBLANK(H10)),NOT(_xlfn.ISFORMULA(H10)))</formula>
    </cfRule>
  </conditionalFormatting>
  <dataValidations count="2">
    <dataValidation type="custom" allowBlank="1" showInputMessage="1" showErrorMessage="1" sqref="E40:F49 E29:F33 J40:L41 A29:B33 I29:L33 J42:J49 A40:B49 I40:I49 I4:J10 E4:F10 A4:B10"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1:E26" xr:uid="{34147AE8-EB12-45CD-BCD0-18F32DD61C54}">
      <formula1>E21&lt;&gt;"*"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115" zoomScaleNormal="100" zoomScaleSheetLayoutView="115" workbookViewId="0"/>
  </sheetViews>
  <sheetFormatPr defaultRowHeight="15" x14ac:dyDescent="0.25"/>
  <cols>
    <col min="1" max="1" width="9.140625" style="80"/>
  </cols>
  <sheetData/>
  <pageMargins left="0.7" right="0.7" top="0.75" bottom="0.75" header="0.3" footer="0.3"/>
  <pageSetup paperSize="9" orientation="portrait" r:id="rId1"/>
  <headerFooter>
    <oddHeader>&amp;R&amp;D. &amp;T. Страница &amp;P/&amp;N&amp;LbCAD</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ВставитьИРассчитать" altText="Проверка сумм">
                <anchor>
                  <from>
                    <xdr:col>8</xdr:col>
                    <xdr:colOff>476250</xdr:colOff>
                    <xdr:row>0</xdr:row>
                    <xdr:rowOff>133350</xdr:rowOff>
                  </from>
                  <to>
                    <xdr:col>13</xdr:col>
                    <xdr:colOff>190500</xdr:colOff>
                    <xdr:row>4</xdr:row>
                    <xdr:rowOff>38100</xdr:rowOff>
                  </to>
                </anchor>
              </controlPr>
            </control>
          </mc:Choice>
        </mc:AlternateContent>
        <mc:AlternateContent xmlns:mc="http://schemas.openxmlformats.org/markup-compatibility/2006">
          <mc:Choice Requires="x14">
            <control shapeId="46082" r:id="rId5" name="Button 2">
              <controlPr defaultSize="0" print="0" autoFill="0" autoPict="0" macro="[0]!ОчиститьВсюТаблицу" altText="Проверка сумм">
                <anchor>
                  <from>
                    <xdr:col>8</xdr:col>
                    <xdr:colOff>476250</xdr:colOff>
                    <xdr:row>8</xdr:row>
                    <xdr:rowOff>133350</xdr:rowOff>
                  </from>
                  <to>
                    <xdr:col>13</xdr:col>
                    <xdr:colOff>180975</xdr:colOff>
                    <xdr:row>12</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1</vt:i4>
      </vt:variant>
    </vt:vector>
  </HeadingPairs>
  <TitlesOfParts>
    <vt:vector size="4" baseType="lpstr">
      <vt:lpstr>ИсходныйСкрытый</vt:lpstr>
      <vt:lpstr>Деталировка</vt:lpstr>
      <vt:lpstr>Склад</vt:lpstr>
      <vt:lpstr>Деталировка!Область_печати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2022-01-25T21:29:32Z</cp:lastPrinted>
  <dcterms:created xsi:type="dcterms:W3CDTF">2014-06-23T08:47:00Z</dcterms:created>
  <dcterms:modified xsi:type="dcterms:W3CDTF">2022-01-26T22:13:49Z</dcterms:modified>
</cp:coreProperties>
</file>
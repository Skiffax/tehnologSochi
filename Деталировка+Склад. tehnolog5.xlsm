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ЭтаКнига" defaultThemeVersion="124226"/>
  <mc:AlternateContent xmlns:mc="http://schemas.openxmlformats.org/markup-compatibility/2006">
    <mc:Choice Requires="x15">
      <x15ac:absPath xmlns:x15ac="http://schemas.microsoft.com/office/spreadsheetml/2010/11/ac" url="D:\работа\Проекты\tehnolog-sochi\"/>
    </mc:Choice>
  </mc:AlternateContent>
  <xr:revisionPtr revIDLastSave="0" documentId="13_ncr:1_{D6A670A6-4FAC-4657-9633-966A4DDFF1F6}" xr6:coauthVersionLast="45" xr6:coauthVersionMax="45" xr10:uidLastSave="{00000000-0000-0000-0000-000000000000}"/>
  <bookViews>
    <workbookView xWindow="-120" yWindow="-120" windowWidth="29040" windowHeight="15840" tabRatio="368" activeTab="4" xr2:uid="{00000000-000D-0000-FFFF-FFFF00000000}"/>
  </bookViews>
  <sheets>
    <sheet name="ИсходныйСкрытый" sheetId="662" r:id="rId1"/>
    <sheet name="Деталировка" sheetId="660" r:id="rId2"/>
    <sheet name="Деталировка (2)" sheetId="665" r:id="rId3"/>
    <sheet name="Склад" sheetId="663" r:id="rId4"/>
    <sheet name="КРОМКА" sheetId="664" r:id="rId5"/>
  </sheets>
  <functionGroups builtInGroupCount="19"/>
  <definedNames>
    <definedName name="_xlnm._FilterDatabase" localSheetId="1" hidden="1">Деталировка!#REF!</definedName>
    <definedName name="_xlnm._FilterDatabase" localSheetId="2" hidden="1">'Деталировка (2)'!#REF!</definedName>
    <definedName name="_xlnm.Print_Area" localSheetId="1">Деталировка!$A$2:$M$35</definedName>
    <definedName name="_xlnm.Print_Area" localSheetId="2">'Деталировка (2)'!$A$2:$M$187</definedName>
    <definedName name="_xlnm.Print_Area" localSheetId="3">Склад!#REF!</definedName>
  </definedNames>
  <calcPr calcId="18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M7" i="664" l="1"/>
  <c r="I7" i="664"/>
  <c r="G168" i="665"/>
  <c r="C168" i="665"/>
  <c r="H167" i="665"/>
  <c r="C167" i="665"/>
  <c r="H166" i="665"/>
  <c r="G166" i="665"/>
  <c r="D166" i="665"/>
  <c r="C166" i="665"/>
  <c r="H165" i="665"/>
  <c r="G165" i="665"/>
  <c r="D165" i="665"/>
  <c r="C165" i="665"/>
  <c r="H164" i="665"/>
  <c r="G164" i="665"/>
  <c r="D164" i="665"/>
  <c r="C164" i="665"/>
  <c r="H163" i="665"/>
  <c r="G163" i="665"/>
  <c r="D163" i="665"/>
  <c r="C163" i="665"/>
  <c r="H162" i="665"/>
  <c r="G162" i="665"/>
  <c r="D162" i="665"/>
  <c r="C162" i="665"/>
  <c r="H161" i="665"/>
  <c r="G161" i="665"/>
  <c r="D161" i="665"/>
  <c r="C161" i="665"/>
  <c r="H157" i="665"/>
  <c r="G157" i="665"/>
  <c r="D157" i="665"/>
  <c r="C157" i="665"/>
  <c r="H156" i="665"/>
  <c r="G156" i="665"/>
  <c r="D156" i="665"/>
  <c r="C156" i="665"/>
  <c r="D155" i="665"/>
  <c r="C155" i="665"/>
  <c r="D154" i="665"/>
  <c r="C154" i="665"/>
  <c r="D153" i="665"/>
  <c r="C153" i="665"/>
  <c r="D152" i="665"/>
  <c r="C152" i="665"/>
  <c r="D151" i="665"/>
  <c r="C151" i="665"/>
  <c r="H150" i="665"/>
  <c r="G150" i="665"/>
  <c r="D150" i="665"/>
  <c r="C150" i="665"/>
  <c r="H149" i="665"/>
  <c r="G149" i="665"/>
  <c r="D149" i="665"/>
  <c r="C149" i="665"/>
  <c r="H148" i="665"/>
  <c r="G148" i="665"/>
  <c r="D148" i="665"/>
  <c r="C148" i="665"/>
  <c r="H146" i="665"/>
  <c r="G146" i="665"/>
  <c r="D146" i="665"/>
  <c r="C146" i="665"/>
  <c r="H145" i="665"/>
  <c r="G145" i="665"/>
  <c r="D145" i="665"/>
  <c r="C145" i="665"/>
  <c r="D144" i="665"/>
  <c r="C144" i="665"/>
  <c r="D143" i="665"/>
  <c r="C143" i="665"/>
  <c r="D142" i="665"/>
  <c r="C142" i="665"/>
  <c r="D141" i="665"/>
  <c r="C141" i="665"/>
  <c r="D140" i="665"/>
  <c r="C140" i="665"/>
  <c r="D139" i="665"/>
  <c r="C139" i="665"/>
  <c r="D138" i="665"/>
  <c r="C138" i="665"/>
  <c r="D137" i="665"/>
  <c r="C137" i="665"/>
  <c r="H136" i="665"/>
  <c r="G136" i="665"/>
  <c r="D136" i="665"/>
  <c r="C136" i="665"/>
  <c r="H135" i="665"/>
  <c r="G135" i="665"/>
  <c r="D135" i="665"/>
  <c r="C135" i="665"/>
  <c r="H134" i="665"/>
  <c r="G134" i="665"/>
  <c r="D134" i="665"/>
  <c r="C134" i="665"/>
  <c r="H132" i="665"/>
  <c r="G132" i="665"/>
  <c r="D132" i="665"/>
  <c r="C132" i="665"/>
  <c r="H131" i="665"/>
  <c r="G131" i="665"/>
  <c r="D131" i="665"/>
  <c r="C131" i="665"/>
  <c r="D130" i="665"/>
  <c r="C130" i="665"/>
  <c r="D129" i="665"/>
  <c r="C129" i="665"/>
  <c r="D128" i="665"/>
  <c r="C128" i="665"/>
  <c r="D127" i="665"/>
  <c r="C127" i="665"/>
  <c r="D126" i="665"/>
  <c r="C126" i="665"/>
  <c r="H125" i="665"/>
  <c r="G125" i="665"/>
  <c r="D125" i="665"/>
  <c r="C125" i="665"/>
  <c r="H124" i="665"/>
  <c r="G124" i="665"/>
  <c r="D124" i="665"/>
  <c r="C124" i="665"/>
  <c r="H123" i="665"/>
  <c r="G123" i="665"/>
  <c r="D123" i="665"/>
  <c r="C123" i="665"/>
  <c r="H121" i="665"/>
  <c r="G121" i="665"/>
  <c r="D121" i="665"/>
  <c r="C121" i="665"/>
  <c r="H120" i="665"/>
  <c r="G120" i="665"/>
  <c r="D120" i="665"/>
  <c r="C120" i="665"/>
  <c r="H119" i="665"/>
  <c r="G119" i="665"/>
  <c r="D119" i="665"/>
  <c r="C119" i="665"/>
  <c r="D118" i="665"/>
  <c r="C118" i="665"/>
  <c r="H117" i="665"/>
  <c r="G117" i="665"/>
  <c r="D117" i="665"/>
  <c r="C117" i="665"/>
  <c r="H116" i="665"/>
  <c r="G116" i="665"/>
  <c r="D116" i="665"/>
  <c r="C116" i="665"/>
  <c r="D115" i="665"/>
  <c r="C115" i="665"/>
  <c r="H114" i="665"/>
  <c r="G114" i="665"/>
  <c r="D114" i="665"/>
  <c r="C114" i="665"/>
  <c r="H113" i="665"/>
  <c r="G113" i="665"/>
  <c r="H112" i="665"/>
  <c r="G112" i="665"/>
  <c r="D112" i="665"/>
  <c r="C112" i="665"/>
  <c r="H111" i="665"/>
  <c r="G111" i="665"/>
  <c r="D111" i="665"/>
  <c r="C111" i="665"/>
  <c r="H110" i="665"/>
  <c r="G110" i="665"/>
  <c r="D110" i="665"/>
  <c r="C110" i="665"/>
  <c r="H109" i="665"/>
  <c r="G109" i="665"/>
  <c r="D109" i="665"/>
  <c r="C109" i="665"/>
  <c r="H108" i="665"/>
  <c r="G108" i="665"/>
  <c r="D108" i="665"/>
  <c r="C108" i="665"/>
  <c r="H107" i="665"/>
  <c r="G107" i="665"/>
  <c r="D107" i="665"/>
  <c r="C107" i="665"/>
  <c r="H106" i="665"/>
  <c r="G106" i="665"/>
  <c r="D106" i="665"/>
  <c r="C106" i="665"/>
  <c r="H105" i="665"/>
  <c r="G105" i="665"/>
  <c r="D105" i="665"/>
  <c r="C105" i="665"/>
  <c r="H104" i="665"/>
  <c r="G104" i="665"/>
  <c r="D104" i="665"/>
  <c r="C104" i="665"/>
  <c r="D103" i="665"/>
  <c r="C103" i="665"/>
  <c r="H102" i="665"/>
  <c r="G102" i="665"/>
  <c r="D102" i="665"/>
  <c r="C102" i="665"/>
  <c r="D101" i="665"/>
  <c r="C101" i="665"/>
  <c r="H99" i="665"/>
  <c r="G99" i="665"/>
  <c r="D99" i="665"/>
  <c r="C99" i="665"/>
  <c r="D98" i="665"/>
  <c r="C98" i="665"/>
  <c r="H97" i="665"/>
  <c r="G97" i="665"/>
  <c r="D97" i="665"/>
  <c r="C97" i="665"/>
  <c r="H96" i="665"/>
  <c r="G96" i="665"/>
  <c r="D96" i="665"/>
  <c r="C96" i="665"/>
  <c r="H95" i="665"/>
  <c r="G95" i="665"/>
  <c r="D95" i="665"/>
  <c r="C95" i="665"/>
  <c r="D94" i="665"/>
  <c r="C94" i="665"/>
  <c r="D93" i="665"/>
  <c r="C93" i="665"/>
  <c r="H92" i="665"/>
  <c r="G92" i="665"/>
  <c r="D92" i="665"/>
  <c r="C92" i="665"/>
  <c r="H91" i="665"/>
  <c r="G91" i="665"/>
  <c r="D91" i="665"/>
  <c r="C91" i="665"/>
  <c r="H90" i="665"/>
  <c r="G90" i="665"/>
  <c r="D90" i="665"/>
  <c r="C90" i="665"/>
  <c r="H87" i="665"/>
  <c r="G87" i="665"/>
  <c r="D87" i="665"/>
  <c r="C87" i="665"/>
  <c r="D86" i="665"/>
  <c r="C86" i="665"/>
  <c r="H85" i="665"/>
  <c r="G85" i="665"/>
  <c r="D85" i="665"/>
  <c r="C85" i="665"/>
  <c r="D84" i="665"/>
  <c r="C84" i="665"/>
  <c r="H83" i="665"/>
  <c r="G83" i="665"/>
  <c r="D83" i="665"/>
  <c r="C83" i="665"/>
  <c r="H82" i="665"/>
  <c r="G82" i="665"/>
  <c r="D82" i="665"/>
  <c r="C82" i="665"/>
  <c r="H81" i="665"/>
  <c r="G81" i="665"/>
  <c r="D81" i="665"/>
  <c r="C81" i="665"/>
  <c r="H80" i="665"/>
  <c r="G80" i="665"/>
  <c r="D80" i="665"/>
  <c r="C80" i="665"/>
  <c r="H79" i="665"/>
  <c r="G79" i="665"/>
  <c r="D79" i="665"/>
  <c r="C79" i="665"/>
  <c r="D77" i="665"/>
  <c r="C77" i="665"/>
  <c r="D76" i="665"/>
  <c r="C76" i="665"/>
  <c r="H75" i="665"/>
  <c r="G75" i="665"/>
  <c r="D75" i="665"/>
  <c r="C75" i="665"/>
  <c r="H74" i="665"/>
  <c r="G74" i="665"/>
  <c r="D74" i="665"/>
  <c r="C74" i="665"/>
  <c r="H73" i="665"/>
  <c r="G73" i="665"/>
  <c r="D73" i="665"/>
  <c r="C73" i="665"/>
  <c r="H71" i="665"/>
  <c r="G71" i="665"/>
  <c r="D71" i="665"/>
  <c r="C71" i="665"/>
  <c r="D70" i="665"/>
  <c r="C70" i="665"/>
  <c r="D69" i="665"/>
  <c r="C69" i="665"/>
  <c r="H68" i="665"/>
  <c r="G68" i="665"/>
  <c r="D68" i="665"/>
  <c r="C68" i="665"/>
  <c r="H67" i="665"/>
  <c r="G67" i="665"/>
  <c r="D67" i="665"/>
  <c r="C67" i="665"/>
  <c r="H66" i="665"/>
  <c r="G66" i="665"/>
  <c r="D66" i="665"/>
  <c r="C66" i="665"/>
  <c r="H64" i="665"/>
  <c r="G64" i="665"/>
  <c r="D64" i="665"/>
  <c r="C64" i="665"/>
  <c r="H63" i="665"/>
  <c r="G63" i="665"/>
  <c r="D63" i="665"/>
  <c r="C63" i="665"/>
  <c r="D62" i="665"/>
  <c r="C62" i="665"/>
  <c r="D61" i="665"/>
  <c r="C61" i="665"/>
  <c r="H60" i="665"/>
  <c r="G60" i="665"/>
  <c r="D60" i="665"/>
  <c r="C60" i="665"/>
  <c r="H59" i="665"/>
  <c r="G59" i="665"/>
  <c r="D59" i="665"/>
  <c r="C59" i="665"/>
  <c r="H57" i="665"/>
  <c r="G57" i="665"/>
  <c r="D57" i="665"/>
  <c r="C57" i="665"/>
  <c r="H56" i="665"/>
  <c r="G56" i="665"/>
  <c r="D56" i="665"/>
  <c r="C56" i="665"/>
  <c r="D55" i="665"/>
  <c r="C55" i="665"/>
  <c r="D54" i="665"/>
  <c r="C54" i="665"/>
  <c r="H53" i="665"/>
  <c r="G53" i="665"/>
  <c r="D53" i="665"/>
  <c r="C53" i="665"/>
  <c r="H52" i="665"/>
  <c r="G52" i="665"/>
  <c r="D52" i="665"/>
  <c r="C52" i="665"/>
  <c r="H50" i="665"/>
  <c r="G50" i="665"/>
  <c r="D50" i="665"/>
  <c r="C50" i="665"/>
  <c r="H49" i="665"/>
  <c r="G49" i="665"/>
  <c r="D49" i="665"/>
  <c r="C49" i="665"/>
  <c r="H48" i="665"/>
  <c r="G48" i="665"/>
  <c r="D48" i="665"/>
  <c r="C48" i="665"/>
  <c r="D47" i="665"/>
  <c r="C47" i="665"/>
  <c r="H46" i="665"/>
  <c r="G46" i="665"/>
  <c r="D46" i="665"/>
  <c r="C46" i="665"/>
  <c r="H45" i="665"/>
  <c r="G45" i="665"/>
  <c r="D45" i="665"/>
  <c r="C45" i="665"/>
  <c r="D43" i="665"/>
  <c r="C43" i="665"/>
  <c r="H42" i="665"/>
  <c r="G42" i="665"/>
  <c r="D42" i="665"/>
  <c r="C42" i="665"/>
  <c r="D41" i="665"/>
  <c r="C41" i="665"/>
  <c r="D40" i="665"/>
  <c r="C40" i="665"/>
  <c r="D39" i="665"/>
  <c r="C39" i="665"/>
  <c r="D38" i="665"/>
  <c r="C38" i="665"/>
  <c r="H37" i="665"/>
  <c r="G37" i="665"/>
  <c r="D37" i="665"/>
  <c r="C37" i="665"/>
  <c r="H36" i="665"/>
  <c r="G36" i="665"/>
  <c r="D36" i="665"/>
  <c r="C36" i="665"/>
  <c r="H33" i="665"/>
  <c r="G33" i="665"/>
  <c r="D33" i="665"/>
  <c r="C33" i="665"/>
  <c r="H32" i="665"/>
  <c r="G32" i="665"/>
  <c r="D32" i="665"/>
  <c r="C32" i="665"/>
  <c r="D31" i="665"/>
  <c r="C31" i="665"/>
  <c r="D30" i="665"/>
  <c r="C30" i="665"/>
  <c r="H29" i="665"/>
  <c r="G29" i="665"/>
  <c r="D29" i="665"/>
  <c r="C29" i="665"/>
  <c r="H28" i="665"/>
  <c r="G28" i="665"/>
  <c r="D28" i="665"/>
  <c r="C28" i="665"/>
  <c r="H27" i="665"/>
  <c r="G27" i="665"/>
  <c r="D27" i="665"/>
  <c r="C27" i="665"/>
  <c r="H26" i="665"/>
  <c r="G26" i="665"/>
  <c r="D26" i="665"/>
  <c r="C26" i="665"/>
  <c r="D25" i="665"/>
  <c r="C25" i="665"/>
  <c r="D24" i="665"/>
  <c r="C24" i="665"/>
  <c r="H23" i="665"/>
  <c r="G23" i="665"/>
  <c r="D23" i="665"/>
  <c r="C23" i="665"/>
  <c r="H22" i="665"/>
  <c r="G22" i="665"/>
  <c r="D22" i="665"/>
  <c r="C22" i="665"/>
  <c r="H21" i="665"/>
  <c r="G21" i="665"/>
  <c r="D21" i="665"/>
  <c r="C21" i="665"/>
  <c r="D20" i="665"/>
  <c r="C20" i="665"/>
  <c r="D19" i="665"/>
  <c r="C19" i="665"/>
  <c r="H18" i="665"/>
  <c r="G18" i="665"/>
  <c r="D18" i="665"/>
  <c r="C18" i="665"/>
  <c r="H17" i="665"/>
  <c r="G17" i="665"/>
  <c r="D17" i="665"/>
  <c r="C17" i="665"/>
  <c r="H15" i="665"/>
  <c r="G15" i="665"/>
  <c r="D15" i="665"/>
  <c r="C15" i="665"/>
  <c r="H14" i="665"/>
  <c r="G14" i="665"/>
  <c r="D14" i="665"/>
  <c r="C14" i="665"/>
  <c r="D13" i="665"/>
  <c r="C13" i="665"/>
  <c r="D12" i="665"/>
  <c r="C12" i="665"/>
  <c r="H11" i="665"/>
  <c r="G11" i="665"/>
  <c r="D11" i="665"/>
  <c r="C11" i="665"/>
  <c r="H10" i="665"/>
  <c r="G10" i="665"/>
  <c r="D10" i="665"/>
  <c r="C10" i="665"/>
  <c r="AB168" i="665"/>
  <c r="AB167" i="665"/>
  <c r="AB166" i="665"/>
  <c r="AB157" i="665"/>
  <c r="AB156" i="665"/>
  <c r="AB146" i="665"/>
  <c r="AB145" i="665"/>
  <c r="AB132" i="665"/>
  <c r="AB131" i="665"/>
  <c r="AB121" i="665"/>
  <c r="AB120" i="665"/>
  <c r="AB119" i="665"/>
  <c r="AB108" i="665"/>
  <c r="AB107" i="665"/>
  <c r="AB105" i="665"/>
  <c r="AB104" i="665"/>
  <c r="AB64" i="665"/>
  <c r="AB57" i="665"/>
  <c r="AB50" i="665"/>
  <c r="AB49" i="665"/>
  <c r="AB48" i="665"/>
  <c r="AB33" i="665"/>
  <c r="AB27" i="665"/>
  <c r="AB21" i="665"/>
  <c r="AB15" i="665"/>
  <c r="AB14" i="665"/>
  <c r="X168" i="665"/>
  <c r="X167" i="665"/>
  <c r="X166" i="665"/>
  <c r="X165" i="665"/>
  <c r="X164" i="665"/>
  <c r="X163" i="665"/>
  <c r="X162" i="665"/>
  <c r="X161" i="665"/>
  <c r="X157" i="665"/>
  <c r="X156" i="665"/>
  <c r="X155" i="665"/>
  <c r="X154" i="665"/>
  <c r="X153" i="665"/>
  <c r="X152" i="665"/>
  <c r="X151" i="665"/>
  <c r="X150" i="665"/>
  <c r="X149" i="665"/>
  <c r="X148" i="665"/>
  <c r="X146" i="665"/>
  <c r="X145" i="665"/>
  <c r="X144" i="665"/>
  <c r="X143" i="665"/>
  <c r="X142" i="665"/>
  <c r="X141" i="665"/>
  <c r="X140" i="665"/>
  <c r="X139" i="665"/>
  <c r="X138" i="665"/>
  <c r="X137" i="665"/>
  <c r="X136" i="665"/>
  <c r="X135" i="665"/>
  <c r="X134" i="665"/>
  <c r="X132" i="665"/>
  <c r="X131" i="665"/>
  <c r="X130" i="665"/>
  <c r="X129" i="665"/>
  <c r="X128" i="665"/>
  <c r="X127" i="665"/>
  <c r="X126" i="665"/>
  <c r="X125" i="665"/>
  <c r="X124" i="665"/>
  <c r="X123" i="665"/>
  <c r="X121" i="665"/>
  <c r="X120" i="665"/>
  <c r="X119" i="665"/>
  <c r="X118" i="665"/>
  <c r="X117" i="665"/>
  <c r="X116" i="665"/>
  <c r="X115" i="665"/>
  <c r="X114" i="665"/>
  <c r="X113" i="665"/>
  <c r="X112" i="665"/>
  <c r="X111" i="665"/>
  <c r="X110" i="665"/>
  <c r="X109" i="665"/>
  <c r="X108" i="665"/>
  <c r="X107" i="665"/>
  <c r="X106" i="665"/>
  <c r="X105" i="665"/>
  <c r="X104" i="665"/>
  <c r="X103" i="665"/>
  <c r="X102" i="665"/>
  <c r="X101" i="665"/>
  <c r="X100" i="665"/>
  <c r="X99" i="665"/>
  <c r="X98" i="665"/>
  <c r="X97" i="665"/>
  <c r="X96" i="665"/>
  <c r="X95" i="665"/>
  <c r="X94" i="665"/>
  <c r="X93" i="665"/>
  <c r="X92" i="665"/>
  <c r="X91" i="665"/>
  <c r="X90" i="665"/>
  <c r="X88" i="665"/>
  <c r="X87" i="665"/>
  <c r="X86" i="665"/>
  <c r="X85" i="665"/>
  <c r="X84" i="665"/>
  <c r="X83" i="665"/>
  <c r="X82" i="665"/>
  <c r="X81" i="665"/>
  <c r="X80" i="665"/>
  <c r="X79" i="665"/>
  <c r="X77" i="665"/>
  <c r="X76" i="665"/>
  <c r="X75" i="665"/>
  <c r="X74" i="665"/>
  <c r="X73" i="665"/>
  <c r="X71" i="665"/>
  <c r="X70" i="665"/>
  <c r="X69" i="665"/>
  <c r="X68" i="665"/>
  <c r="X67" i="665"/>
  <c r="X66" i="665"/>
  <c r="X64" i="665"/>
  <c r="X63" i="665"/>
  <c r="X62" i="665"/>
  <c r="X61" i="665"/>
  <c r="X60" i="665"/>
  <c r="X59" i="665"/>
  <c r="X57" i="665"/>
  <c r="X56" i="665"/>
  <c r="X55" i="665"/>
  <c r="X54" i="665"/>
  <c r="X53" i="665"/>
  <c r="X52" i="665"/>
  <c r="X50" i="665"/>
  <c r="X49" i="665"/>
  <c r="X48" i="665"/>
  <c r="X47" i="665"/>
  <c r="X46" i="665"/>
  <c r="X45" i="665"/>
  <c r="X44" i="665"/>
  <c r="X43" i="665"/>
  <c r="X42" i="665"/>
  <c r="X41" i="665"/>
  <c r="X40" i="665"/>
  <c r="X39" i="665"/>
  <c r="X38" i="665"/>
  <c r="X37" i="665"/>
  <c r="X36" i="665"/>
  <c r="X33" i="665"/>
  <c r="X32" i="665"/>
  <c r="X31" i="665"/>
  <c r="X30" i="665"/>
  <c r="X29" i="665"/>
  <c r="X28" i="665"/>
  <c r="X27" i="665"/>
  <c r="X26" i="665"/>
  <c r="X25" i="665"/>
  <c r="X24" i="665"/>
  <c r="X23" i="665"/>
  <c r="X22" i="665"/>
  <c r="X21" i="665"/>
  <c r="X20" i="665"/>
  <c r="X19" i="665"/>
  <c r="X18" i="665"/>
  <c r="X17" i="665"/>
  <c r="X15" i="665"/>
  <c r="X14" i="665"/>
  <c r="X13" i="665"/>
  <c r="X12" i="665"/>
  <c r="X11" i="665"/>
  <c r="X10" i="665"/>
  <c r="O168" i="665"/>
  <c r="X160" i="665"/>
  <c r="O160" i="665"/>
  <c r="X159" i="665"/>
  <c r="O159" i="665"/>
  <c r="O73" i="665"/>
  <c r="O79" i="665" s="1"/>
  <c r="O90" i="665" s="1"/>
  <c r="O68" i="665"/>
  <c r="O69" i="665" s="1"/>
  <c r="O70" i="665" s="1"/>
  <c r="O71" i="665" s="1"/>
  <c r="X51" i="665"/>
  <c r="X58" i="665" s="1"/>
  <c r="X35" i="665"/>
  <c r="X34" i="665"/>
  <c r="O34" i="665"/>
  <c r="O35" i="665" s="1"/>
  <c r="O51" i="665" s="1"/>
  <c r="O58" i="665" s="1"/>
  <c r="O65" i="665" s="1"/>
  <c r="X16" i="665"/>
  <c r="O16" i="665"/>
  <c r="O15" i="665"/>
  <c r="O21" i="665" s="1"/>
  <c r="O11" i="665"/>
  <c r="O12" i="665" s="1"/>
  <c r="M44" i="665"/>
  <c r="F44" i="665" s="1"/>
  <c r="L44" i="665"/>
  <c r="K44" i="665"/>
  <c r="J44" i="665"/>
  <c r="I44" i="665"/>
  <c r="E44" i="665"/>
  <c r="N44" i="665" s="1"/>
  <c r="B44" i="665"/>
  <c r="M41" i="665"/>
  <c r="L41" i="665"/>
  <c r="K41" i="665"/>
  <c r="J41" i="665"/>
  <c r="I41" i="665"/>
  <c r="F41" i="665"/>
  <c r="E41" i="665"/>
  <c r="N41" i="665" s="1"/>
  <c r="B41" i="665"/>
  <c r="M85" i="665"/>
  <c r="F85" i="665" s="1"/>
  <c r="L85" i="665"/>
  <c r="K85" i="665"/>
  <c r="J85" i="665"/>
  <c r="I85" i="665"/>
  <c r="E85" i="665"/>
  <c r="N85" i="665" s="1"/>
  <c r="B85" i="665"/>
  <c r="M166" i="665"/>
  <c r="E166" i="665" s="1"/>
  <c r="N166" i="665" s="1"/>
  <c r="L166" i="665"/>
  <c r="K166" i="665"/>
  <c r="J166" i="665"/>
  <c r="I166" i="665"/>
  <c r="F166" i="665"/>
  <c r="B166" i="665"/>
  <c r="M165" i="665"/>
  <c r="F165" i="665" s="1"/>
  <c r="L165" i="665"/>
  <c r="K165" i="665"/>
  <c r="J165" i="665"/>
  <c r="I165" i="665"/>
  <c r="E165" i="665"/>
  <c r="N165" i="665" s="1"/>
  <c r="B165" i="665"/>
  <c r="M160" i="665"/>
  <c r="E160" i="665" s="1"/>
  <c r="N160" i="665" s="1"/>
  <c r="L160" i="665"/>
  <c r="K160" i="665"/>
  <c r="J160" i="665"/>
  <c r="I160" i="665"/>
  <c r="F160" i="665"/>
  <c r="B160" i="665"/>
  <c r="A160" i="665"/>
  <c r="M164" i="665"/>
  <c r="F164" i="665" s="1"/>
  <c r="L164" i="665"/>
  <c r="K164" i="665"/>
  <c r="J164" i="665"/>
  <c r="I164" i="665"/>
  <c r="B164" i="665"/>
  <c r="M163" i="665"/>
  <c r="E163" i="665" s="1"/>
  <c r="N163" i="665" s="1"/>
  <c r="L163" i="665"/>
  <c r="K163" i="665"/>
  <c r="J163" i="665"/>
  <c r="I163" i="665"/>
  <c r="B163" i="665"/>
  <c r="M162" i="665"/>
  <c r="F162" i="665" s="1"/>
  <c r="L162" i="665"/>
  <c r="K162" i="665"/>
  <c r="J162" i="665"/>
  <c r="I162" i="665"/>
  <c r="B162" i="665"/>
  <c r="M161" i="665"/>
  <c r="E161" i="665" s="1"/>
  <c r="N161" i="665" s="1"/>
  <c r="L161" i="665"/>
  <c r="K161" i="665"/>
  <c r="J161" i="665"/>
  <c r="I161" i="665"/>
  <c r="B161" i="665"/>
  <c r="N103" i="665"/>
  <c r="M103" i="665"/>
  <c r="F103" i="665" s="1"/>
  <c r="L103" i="665"/>
  <c r="K103" i="665"/>
  <c r="J103" i="665"/>
  <c r="I103" i="665"/>
  <c r="E103" i="665"/>
  <c r="B103" i="665"/>
  <c r="M102" i="665"/>
  <c r="E102" i="665" s="1"/>
  <c r="N102" i="665" s="1"/>
  <c r="L102" i="665"/>
  <c r="K102" i="665"/>
  <c r="J102" i="665"/>
  <c r="I102" i="665"/>
  <c r="B102" i="665"/>
  <c r="M100" i="665"/>
  <c r="L100" i="665"/>
  <c r="K100" i="665"/>
  <c r="J100" i="665"/>
  <c r="I100" i="665"/>
  <c r="F100" i="665"/>
  <c r="E100" i="665"/>
  <c r="N100" i="665" s="1"/>
  <c r="B100" i="665"/>
  <c r="M98" i="665"/>
  <c r="E98" i="665" s="1"/>
  <c r="N98" i="665" s="1"/>
  <c r="L98" i="665"/>
  <c r="K98" i="665"/>
  <c r="J98" i="665"/>
  <c r="I98" i="665"/>
  <c r="F98" i="665"/>
  <c r="B98" i="665"/>
  <c r="M104" i="665"/>
  <c r="E104" i="665" s="1"/>
  <c r="N104" i="665" s="1"/>
  <c r="L104" i="665"/>
  <c r="K104" i="665"/>
  <c r="J104" i="665"/>
  <c r="I104" i="665"/>
  <c r="F104" i="665"/>
  <c r="B104" i="665"/>
  <c r="M105" i="665"/>
  <c r="E105" i="665" s="1"/>
  <c r="N105" i="665" s="1"/>
  <c r="L105" i="665"/>
  <c r="K105" i="665"/>
  <c r="J105" i="665"/>
  <c r="I105" i="665"/>
  <c r="F105" i="665"/>
  <c r="B105" i="665"/>
  <c r="M99" i="665"/>
  <c r="E99" i="665" s="1"/>
  <c r="N99" i="665" s="1"/>
  <c r="L99" i="665"/>
  <c r="K99" i="665"/>
  <c r="J99" i="665"/>
  <c r="I99" i="665"/>
  <c r="B99" i="665"/>
  <c r="M101" i="665"/>
  <c r="E101" i="665" s="1"/>
  <c r="N101" i="665" s="1"/>
  <c r="L101" i="665"/>
  <c r="K101" i="665"/>
  <c r="J101" i="665"/>
  <c r="I101" i="665"/>
  <c r="B101" i="665"/>
  <c r="N96" i="665"/>
  <c r="M96" i="665"/>
  <c r="F96" i="665" s="1"/>
  <c r="L96" i="665"/>
  <c r="K96" i="665"/>
  <c r="J96" i="665"/>
  <c r="I96" i="665"/>
  <c r="E96" i="665"/>
  <c r="B96" i="665"/>
  <c r="M97" i="665"/>
  <c r="E97" i="665" s="1"/>
  <c r="N97" i="665" s="1"/>
  <c r="L97" i="665"/>
  <c r="K97" i="665"/>
  <c r="J97" i="665"/>
  <c r="I97" i="665"/>
  <c r="B97" i="665"/>
  <c r="M62" i="665"/>
  <c r="L62" i="665"/>
  <c r="K62" i="665"/>
  <c r="J62" i="665"/>
  <c r="I62" i="665"/>
  <c r="F62" i="665"/>
  <c r="E62" i="665"/>
  <c r="N62" i="665" s="1"/>
  <c r="B62" i="665"/>
  <c r="M63" i="665"/>
  <c r="E63" i="665" s="1"/>
  <c r="N63" i="665" s="1"/>
  <c r="L63" i="665"/>
  <c r="K63" i="665"/>
  <c r="J63" i="665"/>
  <c r="I63" i="665"/>
  <c r="F63" i="665"/>
  <c r="B63" i="665"/>
  <c r="M60" i="665"/>
  <c r="E60" i="665" s="1"/>
  <c r="N60" i="665" s="1"/>
  <c r="L60" i="665"/>
  <c r="K60" i="665"/>
  <c r="J60" i="665"/>
  <c r="I60" i="665"/>
  <c r="F60" i="665"/>
  <c r="B60" i="665"/>
  <c r="M61" i="665"/>
  <c r="E61" i="665" s="1"/>
  <c r="N61" i="665" s="1"/>
  <c r="L61" i="665"/>
  <c r="K61" i="665"/>
  <c r="J61" i="665"/>
  <c r="I61" i="665"/>
  <c r="F61" i="665"/>
  <c r="B61" i="665"/>
  <c r="M59" i="665"/>
  <c r="E59" i="665" s="1"/>
  <c r="N59" i="665" s="1"/>
  <c r="L59" i="665"/>
  <c r="K59" i="665"/>
  <c r="J59" i="665"/>
  <c r="I59" i="665"/>
  <c r="F59" i="665"/>
  <c r="B59" i="665"/>
  <c r="M58" i="665"/>
  <c r="E58" i="665" s="1"/>
  <c r="N58" i="665" s="1"/>
  <c r="L58" i="665"/>
  <c r="K58" i="665"/>
  <c r="I58" i="665"/>
  <c r="F58" i="665"/>
  <c r="B58" i="665"/>
  <c r="M64" i="665"/>
  <c r="E64" i="665" s="1"/>
  <c r="N64" i="665" s="1"/>
  <c r="L64" i="665"/>
  <c r="K64" i="665"/>
  <c r="J64" i="665"/>
  <c r="I64" i="665"/>
  <c r="F64" i="665"/>
  <c r="B64" i="665"/>
  <c r="M55" i="665"/>
  <c r="E55" i="665" s="1"/>
  <c r="N55" i="665" s="1"/>
  <c r="L55" i="665"/>
  <c r="K55" i="665"/>
  <c r="J55" i="665"/>
  <c r="I55" i="665"/>
  <c r="F55" i="665"/>
  <c r="B55" i="665"/>
  <c r="M53" i="665"/>
  <c r="E53" i="665" s="1"/>
  <c r="N53" i="665" s="1"/>
  <c r="L53" i="665"/>
  <c r="K53" i="665"/>
  <c r="J53" i="665"/>
  <c r="I53" i="665"/>
  <c r="F53" i="665"/>
  <c r="B53" i="665"/>
  <c r="M54" i="665"/>
  <c r="E54" i="665" s="1"/>
  <c r="N54" i="665" s="1"/>
  <c r="L54" i="665"/>
  <c r="K54" i="665"/>
  <c r="J54" i="665"/>
  <c r="I54" i="665"/>
  <c r="F54" i="665"/>
  <c r="B54" i="665"/>
  <c r="M56" i="665"/>
  <c r="E56" i="665" s="1"/>
  <c r="N56" i="665" s="1"/>
  <c r="L56" i="665"/>
  <c r="K56" i="665"/>
  <c r="J56" i="665"/>
  <c r="I56" i="665"/>
  <c r="F56" i="665"/>
  <c r="B56" i="665"/>
  <c r="M51" i="665"/>
  <c r="E51" i="665" s="1"/>
  <c r="N51" i="665" s="1"/>
  <c r="L51" i="665"/>
  <c r="K51" i="665"/>
  <c r="J51" i="665"/>
  <c r="I51" i="665"/>
  <c r="F51" i="665"/>
  <c r="B51" i="665"/>
  <c r="M52" i="665"/>
  <c r="F52" i="665" s="1"/>
  <c r="L52" i="665"/>
  <c r="K52" i="665"/>
  <c r="J52" i="665"/>
  <c r="I52" i="665"/>
  <c r="B52" i="665"/>
  <c r="M57" i="665"/>
  <c r="E57" i="665" s="1"/>
  <c r="N57" i="665" s="1"/>
  <c r="L57" i="665"/>
  <c r="K57" i="665"/>
  <c r="J57" i="665"/>
  <c r="I57" i="665"/>
  <c r="B57" i="665"/>
  <c r="M49" i="665"/>
  <c r="F49" i="665" s="1"/>
  <c r="L49" i="665"/>
  <c r="K49" i="665"/>
  <c r="J49" i="665"/>
  <c r="I49" i="665"/>
  <c r="B49" i="665"/>
  <c r="M48" i="665"/>
  <c r="E48" i="665" s="1"/>
  <c r="N48" i="665" s="1"/>
  <c r="L48" i="665"/>
  <c r="K48" i="665"/>
  <c r="J48" i="665"/>
  <c r="I48" i="665"/>
  <c r="B48" i="665"/>
  <c r="M45" i="665"/>
  <c r="F45" i="665" s="1"/>
  <c r="L45" i="665"/>
  <c r="K45" i="665"/>
  <c r="J45" i="665"/>
  <c r="I45" i="665"/>
  <c r="B45" i="665"/>
  <c r="M46" i="665"/>
  <c r="E46" i="665" s="1"/>
  <c r="N46" i="665" s="1"/>
  <c r="L46" i="665"/>
  <c r="K46" i="665"/>
  <c r="J46" i="665"/>
  <c r="I46" i="665"/>
  <c r="B46" i="665"/>
  <c r="M35" i="665"/>
  <c r="F35" i="665" s="1"/>
  <c r="L35" i="665"/>
  <c r="K35" i="665"/>
  <c r="J35" i="665"/>
  <c r="I35" i="665"/>
  <c r="B35" i="665"/>
  <c r="M50" i="665"/>
  <c r="E50" i="665" s="1"/>
  <c r="N50" i="665" s="1"/>
  <c r="L50" i="665"/>
  <c r="K50" i="665"/>
  <c r="J50" i="665"/>
  <c r="I50" i="665"/>
  <c r="B50" i="665"/>
  <c r="M43" i="665"/>
  <c r="F43" i="665" s="1"/>
  <c r="L43" i="665"/>
  <c r="K43" i="665"/>
  <c r="J43" i="665"/>
  <c r="I43" i="665"/>
  <c r="B43" i="665"/>
  <c r="M47" i="665"/>
  <c r="E47" i="665" s="1"/>
  <c r="N47" i="665" s="1"/>
  <c r="L47" i="665"/>
  <c r="K47" i="665"/>
  <c r="J47" i="665"/>
  <c r="I47" i="665"/>
  <c r="B47" i="665"/>
  <c r="M40" i="665"/>
  <c r="F40" i="665" s="1"/>
  <c r="L40" i="665"/>
  <c r="K40" i="665"/>
  <c r="J40" i="665"/>
  <c r="I40" i="665"/>
  <c r="B40" i="665"/>
  <c r="M39" i="665"/>
  <c r="E39" i="665" s="1"/>
  <c r="N39" i="665" s="1"/>
  <c r="L39" i="665"/>
  <c r="K39" i="665"/>
  <c r="J39" i="665"/>
  <c r="I39" i="665"/>
  <c r="B39" i="665"/>
  <c r="M36" i="665"/>
  <c r="F36" i="665" s="1"/>
  <c r="L36" i="665"/>
  <c r="K36" i="665"/>
  <c r="J36" i="665"/>
  <c r="I36" i="665"/>
  <c r="B36" i="665"/>
  <c r="M37" i="665"/>
  <c r="E37" i="665" s="1"/>
  <c r="N37" i="665" s="1"/>
  <c r="L37" i="665"/>
  <c r="K37" i="665"/>
  <c r="J37" i="665"/>
  <c r="I37" i="665"/>
  <c r="B37" i="665"/>
  <c r="M34" i="665"/>
  <c r="F34" i="665" s="1"/>
  <c r="L34" i="665"/>
  <c r="K34" i="665"/>
  <c r="J34" i="665"/>
  <c r="A34" i="665" s="1"/>
  <c r="I34" i="665"/>
  <c r="B34" i="665"/>
  <c r="N42" i="665"/>
  <c r="M42" i="665"/>
  <c r="E42" i="665" s="1"/>
  <c r="L42" i="665"/>
  <c r="K42" i="665"/>
  <c r="J42" i="665"/>
  <c r="I42" i="665"/>
  <c r="F42" i="665"/>
  <c r="B42" i="665"/>
  <c r="M38" i="665"/>
  <c r="F38" i="665" s="1"/>
  <c r="L38" i="665"/>
  <c r="K38" i="665"/>
  <c r="J38" i="665"/>
  <c r="I38" i="665"/>
  <c r="E38" i="665"/>
  <c r="N38" i="665" s="1"/>
  <c r="B38" i="665"/>
  <c r="M83" i="665"/>
  <c r="E83" i="665" s="1"/>
  <c r="N83" i="665" s="1"/>
  <c r="L83" i="665"/>
  <c r="K83" i="665"/>
  <c r="J83" i="665"/>
  <c r="I83" i="665"/>
  <c r="F83" i="665"/>
  <c r="B83" i="665"/>
  <c r="M82" i="665"/>
  <c r="L82" i="665"/>
  <c r="K82" i="665"/>
  <c r="J82" i="665"/>
  <c r="I82" i="665"/>
  <c r="F82" i="665"/>
  <c r="E82" i="665"/>
  <c r="N82" i="665" s="1"/>
  <c r="B82" i="665"/>
  <c r="M87" i="665"/>
  <c r="E87" i="665" s="1"/>
  <c r="N87" i="665" s="1"/>
  <c r="L87" i="665"/>
  <c r="K87" i="665"/>
  <c r="J87" i="665"/>
  <c r="I87" i="665"/>
  <c r="F87" i="665"/>
  <c r="B87" i="665"/>
  <c r="M88" i="665"/>
  <c r="L88" i="665"/>
  <c r="K88" i="665"/>
  <c r="J88" i="665"/>
  <c r="I88" i="665"/>
  <c r="F88" i="665"/>
  <c r="E88" i="665"/>
  <c r="N88" i="665" s="1"/>
  <c r="B88" i="665"/>
  <c r="M11" i="665"/>
  <c r="E11" i="665" s="1"/>
  <c r="N11" i="665" s="1"/>
  <c r="L11" i="665"/>
  <c r="K11" i="665"/>
  <c r="J11" i="665"/>
  <c r="A11" i="665" s="1"/>
  <c r="I11" i="665"/>
  <c r="F11" i="665"/>
  <c r="B11" i="665"/>
  <c r="M32" i="665"/>
  <c r="E32" i="665" s="1"/>
  <c r="N32" i="665" s="1"/>
  <c r="L32" i="665"/>
  <c r="K32" i="665"/>
  <c r="J32" i="665"/>
  <c r="I32" i="665"/>
  <c r="F32" i="665"/>
  <c r="B32" i="665"/>
  <c r="M26" i="665"/>
  <c r="E26" i="665" s="1"/>
  <c r="N26" i="665" s="1"/>
  <c r="L26" i="665"/>
  <c r="K26" i="665"/>
  <c r="J26" i="665"/>
  <c r="I26" i="665"/>
  <c r="B26" i="665"/>
  <c r="M31" i="665"/>
  <c r="E31" i="665" s="1"/>
  <c r="N31" i="665" s="1"/>
  <c r="L31" i="665"/>
  <c r="K31" i="665"/>
  <c r="J31" i="665"/>
  <c r="I31" i="665"/>
  <c r="F31" i="665"/>
  <c r="B31" i="665"/>
  <c r="M29" i="665"/>
  <c r="E29" i="665" s="1"/>
  <c r="N29" i="665" s="1"/>
  <c r="L29" i="665"/>
  <c r="K29" i="665"/>
  <c r="J29" i="665"/>
  <c r="I29" i="665"/>
  <c r="B29" i="665"/>
  <c r="M33" i="665"/>
  <c r="E33" i="665" s="1"/>
  <c r="N33" i="665" s="1"/>
  <c r="L33" i="665"/>
  <c r="K33" i="665"/>
  <c r="J33" i="665"/>
  <c r="I33" i="665"/>
  <c r="F33" i="665"/>
  <c r="B33" i="665"/>
  <c r="M28" i="665"/>
  <c r="E28" i="665" s="1"/>
  <c r="N28" i="665" s="1"/>
  <c r="L28" i="665"/>
  <c r="K28" i="665"/>
  <c r="J28" i="665"/>
  <c r="I28" i="665"/>
  <c r="B28" i="665"/>
  <c r="M30" i="665"/>
  <c r="E30" i="665" s="1"/>
  <c r="N30" i="665" s="1"/>
  <c r="L30" i="665"/>
  <c r="K30" i="665"/>
  <c r="J30" i="665"/>
  <c r="I30" i="665"/>
  <c r="F30" i="665"/>
  <c r="B30" i="665"/>
  <c r="M25" i="665"/>
  <c r="E25" i="665" s="1"/>
  <c r="N25" i="665" s="1"/>
  <c r="L25" i="665"/>
  <c r="K25" i="665"/>
  <c r="J25" i="665"/>
  <c r="I25" i="665"/>
  <c r="B25" i="665"/>
  <c r="M23" i="665"/>
  <c r="E23" i="665" s="1"/>
  <c r="N23" i="665" s="1"/>
  <c r="L23" i="665"/>
  <c r="K23" i="665"/>
  <c r="J23" i="665"/>
  <c r="I23" i="665"/>
  <c r="F23" i="665"/>
  <c r="B23" i="665"/>
  <c r="M27" i="665"/>
  <c r="E27" i="665" s="1"/>
  <c r="N27" i="665" s="1"/>
  <c r="L27" i="665"/>
  <c r="K27" i="665"/>
  <c r="J27" i="665"/>
  <c r="I27" i="665"/>
  <c r="B27" i="665"/>
  <c r="M22" i="665"/>
  <c r="E22" i="665" s="1"/>
  <c r="N22" i="665" s="1"/>
  <c r="L22" i="665"/>
  <c r="K22" i="665"/>
  <c r="J22" i="665"/>
  <c r="I22" i="665"/>
  <c r="F22" i="665"/>
  <c r="B22" i="665"/>
  <c r="M24" i="665"/>
  <c r="E24" i="665" s="1"/>
  <c r="N24" i="665" s="1"/>
  <c r="L24" i="665"/>
  <c r="K24" i="665"/>
  <c r="J24" i="665"/>
  <c r="I24" i="665"/>
  <c r="B24" i="665"/>
  <c r="M20" i="665"/>
  <c r="E20" i="665" s="1"/>
  <c r="N20" i="665" s="1"/>
  <c r="L20" i="665"/>
  <c r="K20" i="665"/>
  <c r="J20" i="665"/>
  <c r="I20" i="665"/>
  <c r="F20" i="665"/>
  <c r="B20" i="665"/>
  <c r="M16" i="665"/>
  <c r="E16" i="665" s="1"/>
  <c r="N16" i="665" s="1"/>
  <c r="L16" i="665"/>
  <c r="K16" i="665"/>
  <c r="J16" i="665"/>
  <c r="A16" i="665" s="1"/>
  <c r="I16" i="665"/>
  <c r="B16" i="665"/>
  <c r="M18" i="665"/>
  <c r="F18" i="665" s="1"/>
  <c r="L18" i="665"/>
  <c r="K18" i="665"/>
  <c r="J18" i="665"/>
  <c r="I18" i="665"/>
  <c r="E18" i="665"/>
  <c r="N18" i="665" s="1"/>
  <c r="B18" i="665"/>
  <c r="M21" i="665"/>
  <c r="E21" i="665" s="1"/>
  <c r="N21" i="665" s="1"/>
  <c r="L21" i="665"/>
  <c r="K21" i="665"/>
  <c r="J21" i="665"/>
  <c r="I21" i="665"/>
  <c r="B21" i="665"/>
  <c r="M17" i="665"/>
  <c r="F17" i="665" s="1"/>
  <c r="L17" i="665"/>
  <c r="K17" i="665"/>
  <c r="J17" i="665"/>
  <c r="I17" i="665"/>
  <c r="E17" i="665"/>
  <c r="N17" i="665" s="1"/>
  <c r="B17" i="665"/>
  <c r="M19" i="665"/>
  <c r="E19" i="665" s="1"/>
  <c r="N19" i="665" s="1"/>
  <c r="L19" i="665"/>
  <c r="K19" i="665"/>
  <c r="J19" i="665"/>
  <c r="I19" i="665"/>
  <c r="B19" i="665"/>
  <c r="M13" i="665"/>
  <c r="F13" i="665" s="1"/>
  <c r="L13" i="665"/>
  <c r="K13" i="665"/>
  <c r="J13" i="665"/>
  <c r="I13" i="665"/>
  <c r="E13" i="665"/>
  <c r="N13" i="665" s="1"/>
  <c r="B13" i="665"/>
  <c r="M9" i="665"/>
  <c r="E9" i="665" s="1"/>
  <c r="N9" i="665" s="1"/>
  <c r="L9" i="665"/>
  <c r="K9" i="665"/>
  <c r="J9" i="665"/>
  <c r="I9" i="665"/>
  <c r="B9" i="665"/>
  <c r="A9" i="665"/>
  <c r="M10" i="665"/>
  <c r="F10" i="665" s="1"/>
  <c r="L10" i="665"/>
  <c r="K10" i="665"/>
  <c r="J10" i="665"/>
  <c r="A10" i="665" s="1"/>
  <c r="I10" i="665"/>
  <c r="E10" i="665"/>
  <c r="N10" i="665" s="1"/>
  <c r="B10" i="665"/>
  <c r="M14" i="665"/>
  <c r="E14" i="665" s="1"/>
  <c r="N14" i="665" s="1"/>
  <c r="L14" i="665"/>
  <c r="K14" i="665"/>
  <c r="J14" i="665"/>
  <c r="I14" i="665"/>
  <c r="B14" i="665"/>
  <c r="A14" i="665"/>
  <c r="M15" i="665"/>
  <c r="F15" i="665" s="1"/>
  <c r="L15" i="665"/>
  <c r="K15" i="665"/>
  <c r="J15" i="665"/>
  <c r="A15" i="665" s="1"/>
  <c r="I15" i="665"/>
  <c r="E15" i="665"/>
  <c r="N15" i="665" s="1"/>
  <c r="B15" i="665"/>
  <c r="M12" i="665"/>
  <c r="E12" i="665" s="1"/>
  <c r="N12" i="665" s="1"/>
  <c r="L12" i="665"/>
  <c r="K12" i="665"/>
  <c r="J12" i="665"/>
  <c r="I12" i="665"/>
  <c r="B12" i="665"/>
  <c r="M77" i="665"/>
  <c r="F77" i="665" s="1"/>
  <c r="L77" i="665"/>
  <c r="K77" i="665"/>
  <c r="J77" i="665"/>
  <c r="I77" i="665"/>
  <c r="E77" i="665"/>
  <c r="N77" i="665" s="1"/>
  <c r="B77" i="665"/>
  <c r="M72" i="665"/>
  <c r="E72" i="665" s="1"/>
  <c r="N72" i="665" s="1"/>
  <c r="L72" i="665"/>
  <c r="K72" i="665"/>
  <c r="I72" i="665"/>
  <c r="B72" i="665"/>
  <c r="M75" i="665"/>
  <c r="F75" i="665" s="1"/>
  <c r="L75" i="665"/>
  <c r="K75" i="665"/>
  <c r="J75" i="665"/>
  <c r="I75" i="665"/>
  <c r="E75" i="665"/>
  <c r="N75" i="665" s="1"/>
  <c r="B75" i="665"/>
  <c r="M73" i="665"/>
  <c r="E73" i="665" s="1"/>
  <c r="N73" i="665" s="1"/>
  <c r="L73" i="665"/>
  <c r="K73" i="665"/>
  <c r="J73" i="665"/>
  <c r="A73" i="665" s="1"/>
  <c r="I73" i="665"/>
  <c r="B73" i="665"/>
  <c r="M74" i="665"/>
  <c r="F74" i="665" s="1"/>
  <c r="L74" i="665"/>
  <c r="K74" i="665"/>
  <c r="J74" i="665"/>
  <c r="I74" i="665"/>
  <c r="E74" i="665"/>
  <c r="N74" i="665" s="1"/>
  <c r="B74" i="665"/>
  <c r="M76" i="665"/>
  <c r="E76" i="665" s="1"/>
  <c r="N76" i="665" s="1"/>
  <c r="L76" i="665"/>
  <c r="K76" i="665"/>
  <c r="J76" i="665"/>
  <c r="I76" i="665"/>
  <c r="B76" i="665"/>
  <c r="M70" i="665"/>
  <c r="F70" i="665" s="1"/>
  <c r="L70" i="665"/>
  <c r="K70" i="665"/>
  <c r="J70" i="665"/>
  <c r="I70" i="665"/>
  <c r="E70" i="665"/>
  <c r="N70" i="665" s="1"/>
  <c r="B70" i="665"/>
  <c r="M65" i="665"/>
  <c r="E65" i="665" s="1"/>
  <c r="N65" i="665" s="1"/>
  <c r="L65" i="665"/>
  <c r="K65" i="665"/>
  <c r="I65" i="665"/>
  <c r="B65" i="665"/>
  <c r="M68" i="665"/>
  <c r="F68" i="665" s="1"/>
  <c r="L68" i="665"/>
  <c r="K68" i="665"/>
  <c r="J68" i="665"/>
  <c r="A68" i="665" s="1"/>
  <c r="I68" i="665"/>
  <c r="E68" i="665"/>
  <c r="N68" i="665" s="1"/>
  <c r="B68" i="665"/>
  <c r="M66" i="665"/>
  <c r="F66" i="665" s="1"/>
  <c r="L66" i="665"/>
  <c r="K66" i="665"/>
  <c r="J66" i="665"/>
  <c r="I66" i="665"/>
  <c r="B66" i="665"/>
  <c r="A66" i="665"/>
  <c r="M71" i="665"/>
  <c r="F71" i="665" s="1"/>
  <c r="L71" i="665"/>
  <c r="K71" i="665"/>
  <c r="J71" i="665"/>
  <c r="I71" i="665"/>
  <c r="B71" i="665"/>
  <c r="M67" i="665"/>
  <c r="F67" i="665" s="1"/>
  <c r="L67" i="665"/>
  <c r="K67" i="665"/>
  <c r="J67" i="665"/>
  <c r="I67" i="665"/>
  <c r="E67" i="665"/>
  <c r="N67" i="665" s="1"/>
  <c r="B67" i="665"/>
  <c r="A67" i="665"/>
  <c r="M69" i="665"/>
  <c r="F69" i="665" s="1"/>
  <c r="L69" i="665"/>
  <c r="K69" i="665"/>
  <c r="J69" i="665"/>
  <c r="I69" i="665"/>
  <c r="B69" i="665"/>
  <c r="M84" i="665"/>
  <c r="F84" i="665" s="1"/>
  <c r="L84" i="665"/>
  <c r="K84" i="665"/>
  <c r="J84" i="665"/>
  <c r="I84" i="665"/>
  <c r="B84" i="665"/>
  <c r="M78" i="665"/>
  <c r="F78" i="665" s="1"/>
  <c r="L78" i="665"/>
  <c r="K78" i="665"/>
  <c r="I78" i="665"/>
  <c r="B78" i="665"/>
  <c r="M81" i="665"/>
  <c r="F81" i="665" s="1"/>
  <c r="L81" i="665"/>
  <c r="K81" i="665"/>
  <c r="J81" i="665"/>
  <c r="I81" i="665"/>
  <c r="E81" i="665"/>
  <c r="N81" i="665" s="1"/>
  <c r="B81" i="665"/>
  <c r="M79" i="665"/>
  <c r="L79" i="665"/>
  <c r="K79" i="665"/>
  <c r="J79" i="665"/>
  <c r="I79" i="665"/>
  <c r="B79" i="665"/>
  <c r="M86" i="665"/>
  <c r="F86" i="665" s="1"/>
  <c r="L86" i="665"/>
  <c r="K86" i="665"/>
  <c r="J86" i="665"/>
  <c r="I86" i="665"/>
  <c r="B86" i="665"/>
  <c r="M80" i="665"/>
  <c r="L80" i="665"/>
  <c r="K80" i="665"/>
  <c r="J80" i="665"/>
  <c r="I80" i="665"/>
  <c r="B80" i="665"/>
  <c r="M94" i="665"/>
  <c r="F94" i="665" s="1"/>
  <c r="L94" i="665"/>
  <c r="K94" i="665"/>
  <c r="J94" i="665"/>
  <c r="I94" i="665"/>
  <c r="E94" i="665"/>
  <c r="N94" i="665" s="1"/>
  <c r="B94" i="665"/>
  <c r="M92" i="665"/>
  <c r="L92" i="665"/>
  <c r="K92" i="665"/>
  <c r="J92" i="665"/>
  <c r="I92" i="665"/>
  <c r="B92" i="665"/>
  <c r="M95" i="665"/>
  <c r="F95" i="665" s="1"/>
  <c r="L95" i="665"/>
  <c r="K95" i="665"/>
  <c r="J95" i="665"/>
  <c r="I95" i="665"/>
  <c r="B95" i="665"/>
  <c r="M90" i="665"/>
  <c r="L90" i="665"/>
  <c r="K90" i="665"/>
  <c r="J90" i="665"/>
  <c r="I90" i="665"/>
  <c r="B90" i="665"/>
  <c r="M91" i="665"/>
  <c r="F91" i="665" s="1"/>
  <c r="L91" i="665"/>
  <c r="K91" i="665"/>
  <c r="J91" i="665"/>
  <c r="I91" i="665"/>
  <c r="E91" i="665"/>
  <c r="N91" i="665" s="1"/>
  <c r="B91" i="665"/>
  <c r="M89" i="665"/>
  <c r="L89" i="665"/>
  <c r="K89" i="665"/>
  <c r="I89" i="665"/>
  <c r="B89" i="665"/>
  <c r="M93" i="665"/>
  <c r="F93" i="665" s="1"/>
  <c r="L93" i="665"/>
  <c r="K93" i="665"/>
  <c r="J93" i="665"/>
  <c r="I93" i="665"/>
  <c r="B93" i="665"/>
  <c r="M107" i="665"/>
  <c r="L107" i="665"/>
  <c r="K107" i="665"/>
  <c r="J107" i="665"/>
  <c r="I107" i="665"/>
  <c r="B107" i="665"/>
  <c r="M106" i="665"/>
  <c r="F106" i="665" s="1"/>
  <c r="L106" i="665"/>
  <c r="K106" i="665"/>
  <c r="J106" i="665"/>
  <c r="I106" i="665"/>
  <c r="E106" i="665"/>
  <c r="N106" i="665" s="1"/>
  <c r="B106" i="665"/>
  <c r="M108" i="665"/>
  <c r="L108" i="665"/>
  <c r="K108" i="665"/>
  <c r="J108" i="665"/>
  <c r="I108" i="665"/>
  <c r="B108" i="665"/>
  <c r="M142" i="665"/>
  <c r="F142" i="665" s="1"/>
  <c r="L142" i="665"/>
  <c r="K142" i="665"/>
  <c r="J142" i="665"/>
  <c r="I142" i="665"/>
  <c r="B142" i="665"/>
  <c r="M146" i="665"/>
  <c r="L146" i="665"/>
  <c r="K146" i="665"/>
  <c r="J146" i="665"/>
  <c r="I146" i="665"/>
  <c r="B146" i="665"/>
  <c r="M145" i="665"/>
  <c r="F145" i="665" s="1"/>
  <c r="L145" i="665"/>
  <c r="K145" i="665"/>
  <c r="J145" i="665"/>
  <c r="I145" i="665"/>
  <c r="E145" i="665"/>
  <c r="N145" i="665" s="1"/>
  <c r="B145" i="665"/>
  <c r="M136" i="665"/>
  <c r="L136" i="665"/>
  <c r="K136" i="665"/>
  <c r="J136" i="665"/>
  <c r="I136" i="665"/>
  <c r="B136" i="665"/>
  <c r="M135" i="665"/>
  <c r="F135" i="665" s="1"/>
  <c r="L135" i="665"/>
  <c r="K135" i="665"/>
  <c r="J135" i="665"/>
  <c r="I135" i="665"/>
  <c r="B135" i="665"/>
  <c r="M134" i="665"/>
  <c r="L134" i="665"/>
  <c r="K134" i="665"/>
  <c r="J134" i="665"/>
  <c r="I134" i="665"/>
  <c r="B134" i="665"/>
  <c r="M144" i="665"/>
  <c r="F144" i="665" s="1"/>
  <c r="L144" i="665"/>
  <c r="K144" i="665"/>
  <c r="J144" i="665"/>
  <c r="I144" i="665"/>
  <c r="E144" i="665"/>
  <c r="N144" i="665" s="1"/>
  <c r="B144" i="665"/>
  <c r="M143" i="665"/>
  <c r="L143" i="665"/>
  <c r="K143" i="665"/>
  <c r="J143" i="665"/>
  <c r="I143" i="665"/>
  <c r="B143" i="665"/>
  <c r="M133" i="665"/>
  <c r="F133" i="665" s="1"/>
  <c r="L133" i="665"/>
  <c r="K133" i="665"/>
  <c r="I133" i="665"/>
  <c r="B133" i="665"/>
  <c r="M141" i="665"/>
  <c r="F141" i="665" s="1"/>
  <c r="L141" i="665"/>
  <c r="K141" i="665"/>
  <c r="J141" i="665"/>
  <c r="I141" i="665"/>
  <c r="B141" i="665"/>
  <c r="M138" i="665"/>
  <c r="F138" i="665" s="1"/>
  <c r="L138" i="665"/>
  <c r="K138" i="665"/>
  <c r="J138" i="665"/>
  <c r="I138" i="665"/>
  <c r="B138" i="665"/>
  <c r="M140" i="665"/>
  <c r="F140" i="665" s="1"/>
  <c r="L140" i="665"/>
  <c r="K140" i="665"/>
  <c r="J140" i="665"/>
  <c r="I140" i="665"/>
  <c r="B140" i="665"/>
  <c r="M137" i="665"/>
  <c r="F137" i="665" s="1"/>
  <c r="L137" i="665"/>
  <c r="K137" i="665"/>
  <c r="J137" i="665"/>
  <c r="I137" i="665"/>
  <c r="B137" i="665"/>
  <c r="M139" i="665"/>
  <c r="F139" i="665" s="1"/>
  <c r="L139" i="665"/>
  <c r="K139" i="665"/>
  <c r="J139" i="665"/>
  <c r="I139" i="665"/>
  <c r="B139" i="665"/>
  <c r="M154" i="665"/>
  <c r="F154" i="665" s="1"/>
  <c r="L154" i="665"/>
  <c r="K154" i="665"/>
  <c r="J154" i="665"/>
  <c r="I154" i="665"/>
  <c r="B154" i="665"/>
  <c r="M157" i="665"/>
  <c r="F157" i="665" s="1"/>
  <c r="L157" i="665"/>
  <c r="K157" i="665"/>
  <c r="J157" i="665"/>
  <c r="I157" i="665"/>
  <c r="B157" i="665"/>
  <c r="M156" i="665"/>
  <c r="F156" i="665" s="1"/>
  <c r="L156" i="665"/>
  <c r="K156" i="665"/>
  <c r="J156" i="665"/>
  <c r="B156" i="665"/>
  <c r="M150" i="665"/>
  <c r="F150" i="665" s="1"/>
  <c r="L150" i="665"/>
  <c r="K150" i="665"/>
  <c r="J150" i="665"/>
  <c r="I150" i="665"/>
  <c r="B150" i="665"/>
  <c r="M147" i="665"/>
  <c r="F147" i="665" s="1"/>
  <c r="L147" i="665"/>
  <c r="K147" i="665"/>
  <c r="B147" i="665"/>
  <c r="M149" i="665"/>
  <c r="F149" i="665" s="1"/>
  <c r="L149" i="665"/>
  <c r="K149" i="665"/>
  <c r="J149" i="665"/>
  <c r="I149" i="665"/>
  <c r="B149" i="665"/>
  <c r="M148" i="665"/>
  <c r="F148" i="665" s="1"/>
  <c r="L148" i="665"/>
  <c r="K148" i="665"/>
  <c r="J148" i="665"/>
  <c r="B148" i="665"/>
  <c r="M153" i="665"/>
  <c r="F153" i="665" s="1"/>
  <c r="L153" i="665"/>
  <c r="K153" i="665"/>
  <c r="J153" i="665"/>
  <c r="I153" i="665"/>
  <c r="B153" i="665"/>
  <c r="M155" i="665"/>
  <c r="F155" i="665" s="1"/>
  <c r="L155" i="665"/>
  <c r="K155" i="665"/>
  <c r="J155" i="665"/>
  <c r="I155" i="665"/>
  <c r="B155" i="665"/>
  <c r="M152" i="665"/>
  <c r="F152" i="665" s="1"/>
  <c r="L152" i="665"/>
  <c r="K152" i="665"/>
  <c r="J152" i="665"/>
  <c r="I152" i="665"/>
  <c r="B152" i="665"/>
  <c r="M151" i="665"/>
  <c r="F151" i="665" s="1"/>
  <c r="L151" i="665"/>
  <c r="K151" i="665"/>
  <c r="J151" i="665"/>
  <c r="I151" i="665"/>
  <c r="B151" i="665"/>
  <c r="M129" i="665"/>
  <c r="F129" i="665" s="1"/>
  <c r="L129" i="665"/>
  <c r="K129" i="665"/>
  <c r="J129" i="665"/>
  <c r="B129" i="665"/>
  <c r="M132" i="665"/>
  <c r="F132" i="665" s="1"/>
  <c r="L132" i="665"/>
  <c r="K132" i="665"/>
  <c r="J132" i="665"/>
  <c r="I132" i="665"/>
  <c r="B132" i="665"/>
  <c r="M131" i="665"/>
  <c r="E131" i="665" s="1"/>
  <c r="N131" i="665" s="1"/>
  <c r="L131" i="665"/>
  <c r="K131" i="665"/>
  <c r="J131" i="665"/>
  <c r="B131" i="665"/>
  <c r="M125" i="665"/>
  <c r="F125" i="665" s="1"/>
  <c r="L125" i="665"/>
  <c r="K125" i="665"/>
  <c r="J125" i="665"/>
  <c r="I125" i="665"/>
  <c r="B125" i="665"/>
  <c r="M122" i="665"/>
  <c r="F122" i="665" s="1"/>
  <c r="L122" i="665"/>
  <c r="K122" i="665"/>
  <c r="B122" i="665"/>
  <c r="M124" i="665"/>
  <c r="F124" i="665" s="1"/>
  <c r="L124" i="665"/>
  <c r="K124" i="665"/>
  <c r="J124" i="665"/>
  <c r="I124" i="665"/>
  <c r="B124" i="665"/>
  <c r="M123" i="665"/>
  <c r="I123" i="665" s="1"/>
  <c r="L123" i="665"/>
  <c r="K123" i="665"/>
  <c r="J123" i="665"/>
  <c r="F123" i="665"/>
  <c r="B123" i="665"/>
  <c r="M128" i="665"/>
  <c r="F128" i="665" s="1"/>
  <c r="L128" i="665"/>
  <c r="K128" i="665"/>
  <c r="J128" i="665"/>
  <c r="I128" i="665"/>
  <c r="B128" i="665"/>
  <c r="M130" i="665"/>
  <c r="F130" i="665" s="1"/>
  <c r="L130" i="665"/>
  <c r="K130" i="665"/>
  <c r="J130" i="665"/>
  <c r="B130" i="665"/>
  <c r="M127" i="665"/>
  <c r="F127" i="665" s="1"/>
  <c r="L127" i="665"/>
  <c r="K127" i="665"/>
  <c r="J127" i="665"/>
  <c r="I127" i="665"/>
  <c r="B127" i="665"/>
  <c r="M126" i="665"/>
  <c r="E126" i="665" s="1"/>
  <c r="N126" i="665" s="1"/>
  <c r="L126" i="665"/>
  <c r="K126" i="665"/>
  <c r="J126" i="665"/>
  <c r="B126" i="665"/>
  <c r="M114" i="665"/>
  <c r="F114" i="665" s="1"/>
  <c r="L114" i="665"/>
  <c r="K114" i="665"/>
  <c r="J114" i="665"/>
  <c r="I114" i="665"/>
  <c r="B114" i="665"/>
  <c r="M113" i="665"/>
  <c r="F113" i="665" s="1"/>
  <c r="L113" i="665"/>
  <c r="K113" i="665"/>
  <c r="J113" i="665"/>
  <c r="I113" i="665"/>
  <c r="B113" i="665"/>
  <c r="M116" i="665"/>
  <c r="F116" i="665" s="1"/>
  <c r="L116" i="665"/>
  <c r="K116" i="665"/>
  <c r="J116" i="665"/>
  <c r="I116" i="665"/>
  <c r="B116" i="665"/>
  <c r="M121" i="665"/>
  <c r="E121" i="665" s="1"/>
  <c r="N121" i="665" s="1"/>
  <c r="L121" i="665"/>
  <c r="K121" i="665"/>
  <c r="J121" i="665"/>
  <c r="I121" i="665"/>
  <c r="B121" i="665"/>
  <c r="M120" i="665"/>
  <c r="F120" i="665" s="1"/>
  <c r="L120" i="665"/>
  <c r="K120" i="665"/>
  <c r="J120" i="665"/>
  <c r="I120" i="665"/>
  <c r="B120" i="665"/>
  <c r="M119" i="665"/>
  <c r="F119" i="665" s="1"/>
  <c r="L119" i="665"/>
  <c r="K119" i="665"/>
  <c r="J119" i="665"/>
  <c r="I119" i="665"/>
  <c r="B119" i="665"/>
  <c r="M112" i="665"/>
  <c r="F112" i="665" s="1"/>
  <c r="L112" i="665"/>
  <c r="K112" i="665"/>
  <c r="J112" i="665"/>
  <c r="I112" i="665"/>
  <c r="B112" i="665"/>
  <c r="M111" i="665"/>
  <c r="I111" i="665" s="1"/>
  <c r="L111" i="665"/>
  <c r="K111" i="665"/>
  <c r="J111" i="665"/>
  <c r="B111" i="665"/>
  <c r="M115" i="665"/>
  <c r="F115" i="665" s="1"/>
  <c r="L115" i="665"/>
  <c r="K115" i="665"/>
  <c r="J115" i="665"/>
  <c r="I115" i="665"/>
  <c r="B115" i="665"/>
  <c r="M110" i="665"/>
  <c r="F110" i="665" s="1"/>
  <c r="L110" i="665"/>
  <c r="K110" i="665"/>
  <c r="J110" i="665"/>
  <c r="B110" i="665"/>
  <c r="M109" i="665"/>
  <c r="F109" i="665" s="1"/>
  <c r="L109" i="665"/>
  <c r="K109" i="665"/>
  <c r="J109" i="665"/>
  <c r="I109" i="665"/>
  <c r="B109" i="665"/>
  <c r="M118" i="665"/>
  <c r="E118" i="665" s="1"/>
  <c r="N118" i="665" s="1"/>
  <c r="L118" i="665"/>
  <c r="K118" i="665"/>
  <c r="J118" i="665"/>
  <c r="I118" i="665"/>
  <c r="B118" i="665"/>
  <c r="M117" i="665"/>
  <c r="F117" i="665" s="1"/>
  <c r="L117" i="665"/>
  <c r="K117" i="665"/>
  <c r="J117" i="665"/>
  <c r="I117" i="665"/>
  <c r="E117" i="665"/>
  <c r="N117" i="665" s="1"/>
  <c r="B117" i="665"/>
  <c r="M159" i="665"/>
  <c r="E159" i="665" s="1"/>
  <c r="N159" i="665" s="1"/>
  <c r="L159" i="665"/>
  <c r="K159" i="665"/>
  <c r="J159" i="665"/>
  <c r="A159" i="665" s="1"/>
  <c r="I159" i="665"/>
  <c r="B159" i="665"/>
  <c r="M168" i="665"/>
  <c r="F168" i="665" s="1"/>
  <c r="L168" i="665"/>
  <c r="K168" i="665"/>
  <c r="J168" i="665"/>
  <c r="A168" i="665" s="1"/>
  <c r="I168" i="665"/>
  <c r="E168" i="665"/>
  <c r="N168" i="665" s="1"/>
  <c r="B168" i="665"/>
  <c r="M167" i="665"/>
  <c r="E167" i="665" s="1"/>
  <c r="N167" i="665" s="1"/>
  <c r="L167" i="665"/>
  <c r="K167" i="665"/>
  <c r="J167" i="665"/>
  <c r="A167" i="665" s="1"/>
  <c r="B167" i="665"/>
  <c r="M158" i="665"/>
  <c r="F158" i="665" s="1"/>
  <c r="L158" i="665"/>
  <c r="K158" i="665"/>
  <c r="J158" i="665"/>
  <c r="A158" i="665" s="1"/>
  <c r="I158" i="665"/>
  <c r="B158" i="665"/>
  <c r="H7" i="665"/>
  <c r="G7" i="665"/>
  <c r="D7" i="665"/>
  <c r="C7" i="665"/>
  <c r="H4" i="665"/>
  <c r="G4" i="665"/>
  <c r="X7" i="665"/>
  <c r="X6" i="665"/>
  <c r="X5" i="665"/>
  <c r="X4" i="665"/>
  <c r="O6" i="665"/>
  <c r="I211" i="665"/>
  <c r="I195" i="665"/>
  <c r="M5" i="665"/>
  <c r="F5" i="665" s="1"/>
  <c r="L5" i="665"/>
  <c r="K5" i="665"/>
  <c r="J5" i="665"/>
  <c r="A5" i="665" s="1"/>
  <c r="I5" i="665"/>
  <c r="B5" i="665"/>
  <c r="M6" i="665"/>
  <c r="F6" i="665" s="1"/>
  <c r="L6" i="665"/>
  <c r="K6" i="665"/>
  <c r="J6" i="665"/>
  <c r="A6" i="665" s="1"/>
  <c r="I6" i="665"/>
  <c r="B6" i="665"/>
  <c r="M4" i="665"/>
  <c r="F4" i="665" s="1"/>
  <c r="L4" i="665"/>
  <c r="K4" i="665"/>
  <c r="J4" i="665"/>
  <c r="I4" i="665"/>
  <c r="B4" i="665"/>
  <c r="A4" i="665"/>
  <c r="M7" i="665"/>
  <c r="F7" i="665" s="1"/>
  <c r="L7" i="665"/>
  <c r="K7" i="665"/>
  <c r="J7" i="665"/>
  <c r="A7" i="665" s="1"/>
  <c r="I7" i="665"/>
  <c r="B7" i="665"/>
  <c r="B3" i="665"/>
  <c r="A2" i="665"/>
  <c r="A177" i="665" s="1"/>
  <c r="O27" i="665" l="1"/>
  <c r="A21" i="665"/>
  <c r="O161" i="665"/>
  <c r="A90" i="665"/>
  <c r="J58" i="665"/>
  <c r="A58" i="665" s="1"/>
  <c r="X65" i="665"/>
  <c r="O13" i="665"/>
  <c r="O17" i="665" s="1"/>
  <c r="O18" i="665" s="1"/>
  <c r="O19" i="665" s="1"/>
  <c r="A12" i="665"/>
  <c r="O72" i="665"/>
  <c r="A71" i="665"/>
  <c r="O74" i="665"/>
  <c r="O75" i="665" s="1"/>
  <c r="O76" i="665" s="1"/>
  <c r="A74" i="665"/>
  <c r="A51" i="665"/>
  <c r="A70" i="665"/>
  <c r="A13" i="665"/>
  <c r="A18" i="665"/>
  <c r="A35" i="665"/>
  <c r="A79" i="665"/>
  <c r="A69" i="665"/>
  <c r="F167" i="665"/>
  <c r="I122" i="665"/>
  <c r="E34" i="665"/>
  <c r="N34" i="665" s="1"/>
  <c r="E36" i="665"/>
  <c r="N36" i="665" s="1"/>
  <c r="E40" i="665"/>
  <c r="N40" i="665" s="1"/>
  <c r="E43" i="665"/>
  <c r="N43" i="665" s="1"/>
  <c r="E35" i="665"/>
  <c r="N35" i="665" s="1"/>
  <c r="E45" i="665"/>
  <c r="N45" i="665" s="1"/>
  <c r="E49" i="665"/>
  <c r="N49" i="665" s="1"/>
  <c r="E52" i="665"/>
  <c r="N52" i="665" s="1"/>
  <c r="F101" i="665"/>
  <c r="F99" i="665"/>
  <c r="F161" i="665"/>
  <c r="F163" i="665"/>
  <c r="I110" i="665"/>
  <c r="E112" i="665"/>
  <c r="N112" i="665" s="1"/>
  <c r="E119" i="665"/>
  <c r="N119" i="665" s="1"/>
  <c r="F126" i="665"/>
  <c r="E127" i="665"/>
  <c r="N127" i="665" s="1"/>
  <c r="E130" i="665"/>
  <c r="N130" i="665" s="1"/>
  <c r="F131" i="665"/>
  <c r="E132" i="665"/>
  <c r="N132" i="665" s="1"/>
  <c r="E129" i="665"/>
  <c r="N129" i="665" s="1"/>
  <c r="E151" i="665"/>
  <c r="N151" i="665" s="1"/>
  <c r="E152" i="665"/>
  <c r="N152" i="665" s="1"/>
  <c r="E155" i="665"/>
  <c r="N155" i="665" s="1"/>
  <c r="E153" i="665"/>
  <c r="N153" i="665" s="1"/>
  <c r="E148" i="665"/>
  <c r="N148" i="665" s="1"/>
  <c r="E149" i="665"/>
  <c r="N149" i="665" s="1"/>
  <c r="E147" i="665"/>
  <c r="N147" i="665" s="1"/>
  <c r="E150" i="665"/>
  <c r="N150" i="665" s="1"/>
  <c r="E156" i="665"/>
  <c r="N156" i="665" s="1"/>
  <c r="E157" i="665"/>
  <c r="N157" i="665" s="1"/>
  <c r="E154" i="665"/>
  <c r="N154" i="665" s="1"/>
  <c r="E139" i="665"/>
  <c r="N139" i="665" s="1"/>
  <c r="E137" i="665"/>
  <c r="N137" i="665" s="1"/>
  <c r="E140" i="665"/>
  <c r="N140" i="665" s="1"/>
  <c r="E138" i="665"/>
  <c r="N138" i="665" s="1"/>
  <c r="E141" i="665"/>
  <c r="N141" i="665" s="1"/>
  <c r="E133" i="665"/>
  <c r="N133" i="665" s="1"/>
  <c r="E142" i="665"/>
  <c r="N142" i="665" s="1"/>
  <c r="E95" i="665"/>
  <c r="N95" i="665" s="1"/>
  <c r="E84" i="665"/>
  <c r="N84" i="665" s="1"/>
  <c r="F37" i="665"/>
  <c r="F39" i="665"/>
  <c r="F47" i="665"/>
  <c r="F50" i="665"/>
  <c r="F46" i="665"/>
  <c r="F48" i="665"/>
  <c r="F57" i="665"/>
  <c r="I126" i="665"/>
  <c r="I130" i="665"/>
  <c r="I131" i="665"/>
  <c r="I156" i="665"/>
  <c r="F111" i="665"/>
  <c r="I129" i="665"/>
  <c r="I148" i="665"/>
  <c r="I147" i="665"/>
  <c r="E158" i="665"/>
  <c r="N158" i="665" s="1"/>
  <c r="F159" i="665"/>
  <c r="F118" i="665"/>
  <c r="E109" i="665"/>
  <c r="N109" i="665" s="1"/>
  <c r="E110" i="665"/>
  <c r="N110" i="665" s="1"/>
  <c r="F121" i="665"/>
  <c r="E116" i="665"/>
  <c r="N116" i="665" s="1"/>
  <c r="E113" i="665"/>
  <c r="N113" i="665" s="1"/>
  <c r="E124" i="665"/>
  <c r="N124" i="665" s="1"/>
  <c r="E122" i="665"/>
  <c r="N122" i="665" s="1"/>
  <c r="E135" i="665"/>
  <c r="N135" i="665" s="1"/>
  <c r="E93" i="665"/>
  <c r="N93" i="665" s="1"/>
  <c r="E86" i="665"/>
  <c r="N86" i="665" s="1"/>
  <c r="E66" i="665"/>
  <c r="N66" i="665" s="1"/>
  <c r="F97" i="665"/>
  <c r="F102" i="665"/>
  <c r="E162" i="665"/>
  <c r="N162" i="665" s="1"/>
  <c r="E164" i="665"/>
  <c r="N164" i="665" s="1"/>
  <c r="I167" i="665"/>
  <c r="I169" i="665" s="1"/>
  <c r="E111" i="665"/>
  <c r="N111" i="665" s="1"/>
  <c r="E123" i="665"/>
  <c r="N123" i="665" s="1"/>
  <c r="F134" i="665"/>
  <c r="E134" i="665"/>
  <c r="N134" i="665" s="1"/>
  <c r="F107" i="665"/>
  <c r="E107" i="665"/>
  <c r="N107" i="665" s="1"/>
  <c r="F80" i="665"/>
  <c r="E80" i="665"/>
  <c r="N80" i="665" s="1"/>
  <c r="F143" i="665"/>
  <c r="E143" i="665"/>
  <c r="N143" i="665" s="1"/>
  <c r="F108" i="665"/>
  <c r="E108" i="665"/>
  <c r="N108" i="665" s="1"/>
  <c r="F92" i="665"/>
  <c r="E92" i="665"/>
  <c r="N92" i="665" s="1"/>
  <c r="F146" i="665"/>
  <c r="E146" i="665"/>
  <c r="N146" i="665" s="1"/>
  <c r="F90" i="665"/>
  <c r="E90" i="665"/>
  <c r="N90" i="665" s="1"/>
  <c r="E115" i="665"/>
  <c r="N115" i="665" s="1"/>
  <c r="E120" i="665"/>
  <c r="N120" i="665" s="1"/>
  <c r="E114" i="665"/>
  <c r="N114" i="665" s="1"/>
  <c r="E128" i="665"/>
  <c r="N128" i="665" s="1"/>
  <c r="E125" i="665"/>
  <c r="N125" i="665" s="1"/>
  <c r="F136" i="665"/>
  <c r="E136" i="665"/>
  <c r="N136" i="665" s="1"/>
  <c r="F89" i="665"/>
  <c r="E89" i="665"/>
  <c r="N89" i="665" s="1"/>
  <c r="F79" i="665"/>
  <c r="E79" i="665"/>
  <c r="N79" i="665" s="1"/>
  <c r="F76" i="665"/>
  <c r="F72" i="665"/>
  <c r="F14" i="665"/>
  <c r="F19" i="665"/>
  <c r="F16" i="665"/>
  <c r="F27" i="665"/>
  <c r="F28" i="665"/>
  <c r="F26" i="665"/>
  <c r="E78" i="665"/>
  <c r="N78" i="665" s="1"/>
  <c r="E69" i="665"/>
  <c r="N69" i="665" s="1"/>
  <c r="E71" i="665"/>
  <c r="N71" i="665" s="1"/>
  <c r="F65" i="665"/>
  <c r="F73" i="665"/>
  <c r="F12" i="665"/>
  <c r="F9" i="665"/>
  <c r="F21" i="665"/>
  <c r="F24" i="665"/>
  <c r="F25" i="665"/>
  <c r="F29" i="665"/>
  <c r="E4" i="665"/>
  <c r="N4" i="665" s="1"/>
  <c r="E6" i="665"/>
  <c r="N6" i="665" s="1"/>
  <c r="E7" i="665"/>
  <c r="N7" i="665" s="1"/>
  <c r="A188" i="665"/>
  <c r="A199" i="665"/>
  <c r="E5" i="665"/>
  <c r="N5" i="665" s="1"/>
  <c r="B2" i="664"/>
  <c r="O78" i="665" l="1"/>
  <c r="J65" i="665"/>
  <c r="A65" i="665" s="1"/>
  <c r="X72" i="665"/>
  <c r="A76" i="665"/>
  <c r="O77" i="665"/>
  <c r="A161" i="665"/>
  <c r="O162" i="665"/>
  <c r="A19" i="665"/>
  <c r="O20" i="665"/>
  <c r="A75" i="665"/>
  <c r="A17" i="665"/>
  <c r="O33" i="665"/>
  <c r="A27" i="665"/>
  <c r="M13" i="660"/>
  <c r="E13" i="660" s="1"/>
  <c r="N13" i="660" s="1"/>
  <c r="L13" i="660"/>
  <c r="K13" i="660"/>
  <c r="J13" i="660"/>
  <c r="I13" i="660"/>
  <c r="B13" i="660"/>
  <c r="M7" i="660"/>
  <c r="L7" i="660"/>
  <c r="K7" i="660"/>
  <c r="J7" i="660"/>
  <c r="A7" i="660" s="1"/>
  <c r="B7" i="660"/>
  <c r="M5" i="660"/>
  <c r="L5" i="660"/>
  <c r="K5" i="660"/>
  <c r="J5" i="660"/>
  <c r="A5" i="660" s="1"/>
  <c r="I5" i="660"/>
  <c r="B5" i="660"/>
  <c r="M11" i="660"/>
  <c r="L11" i="660"/>
  <c r="K11" i="660"/>
  <c r="J11" i="660"/>
  <c r="B11" i="660"/>
  <c r="M10" i="660"/>
  <c r="L10" i="660"/>
  <c r="K10" i="660"/>
  <c r="J10" i="660"/>
  <c r="I10" i="660"/>
  <c r="B10" i="660"/>
  <c r="M8" i="660"/>
  <c r="L8" i="660"/>
  <c r="K8" i="660"/>
  <c r="J8" i="660"/>
  <c r="A8" i="660" s="1"/>
  <c r="I8" i="660"/>
  <c r="B8" i="660"/>
  <c r="M12" i="660"/>
  <c r="F12" i="660" s="1"/>
  <c r="L12" i="660"/>
  <c r="K12" i="660"/>
  <c r="J12" i="660"/>
  <c r="I12" i="660"/>
  <c r="B12" i="660"/>
  <c r="M9" i="660"/>
  <c r="I9" i="660" s="1"/>
  <c r="L9" i="660"/>
  <c r="K9" i="660"/>
  <c r="J9" i="660"/>
  <c r="A9" i="660" s="1"/>
  <c r="B9" i="660"/>
  <c r="M4" i="660"/>
  <c r="L4" i="660"/>
  <c r="K4" i="660"/>
  <c r="J4" i="660"/>
  <c r="A4" i="660" s="1"/>
  <c r="I4" i="660"/>
  <c r="B4" i="660"/>
  <c r="M6" i="660"/>
  <c r="L6" i="660"/>
  <c r="K6" i="660"/>
  <c r="J6" i="660"/>
  <c r="A6" i="660" s="1"/>
  <c r="B6" i="660"/>
  <c r="O163" i="665" l="1"/>
  <c r="A162" i="665"/>
  <c r="X78" i="665"/>
  <c r="J72" i="665"/>
  <c r="A72" i="665" s="1"/>
  <c r="O22" i="665"/>
  <c r="A20" i="665"/>
  <c r="O80" i="665"/>
  <c r="A77" i="665"/>
  <c r="O48" i="665"/>
  <c r="A33" i="665"/>
  <c r="O89" i="665"/>
  <c r="O122" i="665" s="1"/>
  <c r="E10" i="660"/>
  <c r="N10" i="660" s="1"/>
  <c r="E5" i="660"/>
  <c r="N5" i="660" s="1"/>
  <c r="E4" i="660"/>
  <c r="N4" i="660" s="1"/>
  <c r="E6" i="660"/>
  <c r="N6" i="660" s="1"/>
  <c r="E7" i="660"/>
  <c r="N7" i="660" s="1"/>
  <c r="I7" i="660"/>
  <c r="A12" i="660"/>
  <c r="A10" i="660"/>
  <c r="A11" i="660"/>
  <c r="F7" i="660"/>
  <c r="I6" i="660"/>
  <c r="F5" i="660"/>
  <c r="A13" i="660"/>
  <c r="E12" i="660"/>
  <c r="N12" i="660" s="1"/>
  <c r="F10" i="660"/>
  <c r="F13" i="660"/>
  <c r="F8" i="660"/>
  <c r="E8" i="660"/>
  <c r="N8" i="660" s="1"/>
  <c r="F11" i="660"/>
  <c r="E11" i="660"/>
  <c r="N11" i="660" s="1"/>
  <c r="F9" i="660"/>
  <c r="E9" i="660"/>
  <c r="N9" i="660" s="1"/>
  <c r="I11" i="660"/>
  <c r="F4" i="660"/>
  <c r="F6" i="660"/>
  <c r="A2" i="660"/>
  <c r="A80" i="665" l="1"/>
  <c r="O81" i="665"/>
  <c r="X89" i="665"/>
  <c r="J78" i="665"/>
  <c r="A78" i="665" s="1"/>
  <c r="O133" i="665"/>
  <c r="O49" i="665"/>
  <c r="A48" i="665"/>
  <c r="O23" i="665"/>
  <c r="A22" i="665"/>
  <c r="A163" i="665"/>
  <c r="O164" i="665"/>
  <c r="A164" i="665" s="1"/>
  <c r="I14" i="660"/>
  <c r="M5" i="662"/>
  <c r="F5" i="662" s="1"/>
  <c r="L5" i="662"/>
  <c r="K5" i="662"/>
  <c r="J5" i="662"/>
  <c r="A5" i="662" s="1"/>
  <c r="B5" i="662"/>
  <c r="O50" i="665" l="1"/>
  <c r="A49" i="665"/>
  <c r="J89" i="665"/>
  <c r="A89" i="665" s="1"/>
  <c r="X122" i="665"/>
  <c r="O82" i="665"/>
  <c r="A81" i="665"/>
  <c r="O24" i="665"/>
  <c r="A23" i="665"/>
  <c r="O147" i="665"/>
  <c r="I5" i="662"/>
  <c r="E5" i="662"/>
  <c r="N5" i="662" s="1"/>
  <c r="M15" i="662"/>
  <c r="H15" i="662" s="1"/>
  <c r="J15" i="662"/>
  <c r="A15" i="662" s="1"/>
  <c r="I15" i="662"/>
  <c r="I59" i="660"/>
  <c r="I43" i="660"/>
  <c r="B3" i="660"/>
  <c r="X133" i="665" l="1"/>
  <c r="J122" i="665"/>
  <c r="A122" i="665" s="1"/>
  <c r="O25" i="665"/>
  <c r="A24" i="665"/>
  <c r="O83" i="665"/>
  <c r="A82" i="665"/>
  <c r="O57" i="665"/>
  <c r="A50" i="665"/>
  <c r="D15" i="662"/>
  <c r="N15" i="662" s="1"/>
  <c r="E15" i="662"/>
  <c r="A22" i="660"/>
  <c r="A47" i="660"/>
  <c r="A36" i="660"/>
  <c r="O26" i="665" l="1"/>
  <c r="A25" i="665"/>
  <c r="O84" i="665"/>
  <c r="A83" i="665"/>
  <c r="O64" i="665"/>
  <c r="A57" i="665"/>
  <c r="J133" i="665"/>
  <c r="A133" i="665" s="1"/>
  <c r="X147" i="665"/>
  <c r="J147" i="665" s="1"/>
  <c r="A147" i="665" s="1"/>
  <c r="O85" i="665" l="1"/>
  <c r="A84" i="665"/>
  <c r="O104" i="665"/>
  <c r="A64" i="665"/>
  <c r="O28" i="665"/>
  <c r="A26" i="665"/>
  <c r="O105" i="665" l="1"/>
  <c r="A104" i="665"/>
  <c r="O29" i="665"/>
  <c r="A28" i="665"/>
  <c r="O86" i="665"/>
  <c r="A85" i="665"/>
  <c r="O30" i="665" l="1"/>
  <c r="A29" i="665"/>
  <c r="O87" i="665"/>
  <c r="A86" i="665"/>
  <c r="O107" i="665"/>
  <c r="A105" i="665"/>
  <c r="A107" i="665" l="1"/>
  <c r="O108" i="665"/>
  <c r="O88" i="665"/>
  <c r="A87" i="665"/>
  <c r="O31" i="665"/>
  <c r="A30" i="665"/>
  <c r="O91" i="665" l="1"/>
  <c r="A88" i="665"/>
  <c r="O119" i="665"/>
  <c r="A108" i="665"/>
  <c r="O32" i="665"/>
  <c r="A31" i="665"/>
  <c r="O120" i="665" l="1"/>
  <c r="A119" i="665"/>
  <c r="O36" i="665"/>
  <c r="A32" i="665"/>
  <c r="A91" i="665"/>
  <c r="O92" i="665"/>
  <c r="O37" i="665" l="1"/>
  <c r="A36" i="665"/>
  <c r="O93" i="665"/>
  <c r="A92" i="665"/>
  <c r="O121" i="665"/>
  <c r="A120" i="665"/>
  <c r="O94" i="665" l="1"/>
  <c r="A93" i="665"/>
  <c r="O131" i="665"/>
  <c r="A121" i="665"/>
  <c r="O38" i="665"/>
  <c r="A37" i="665"/>
  <c r="O132" i="665" l="1"/>
  <c r="A131" i="665"/>
  <c r="O39" i="665"/>
  <c r="A38" i="665"/>
  <c r="A94" i="665"/>
  <c r="O95" i="665"/>
  <c r="A95" i="665" s="1"/>
  <c r="O40" i="665" l="1"/>
  <c r="A39" i="665"/>
  <c r="O145" i="665"/>
  <c r="A132" i="665"/>
  <c r="A145" i="665" l="1"/>
  <c r="O146" i="665"/>
  <c r="O41" i="665"/>
  <c r="A40" i="665"/>
  <c r="A41" i="665" l="1"/>
  <c r="O42" i="665"/>
  <c r="A146" i="665"/>
  <c r="O156" i="665"/>
  <c r="A156" i="665" l="1"/>
  <c r="O157" i="665"/>
  <c r="O43" i="665"/>
  <c r="A42" i="665"/>
  <c r="O44" i="665" l="1"/>
  <c r="A43" i="665"/>
  <c r="O166" i="665"/>
  <c r="A166" i="665" s="1"/>
  <c r="A157" i="665"/>
  <c r="O45" i="665" l="1"/>
  <c r="A44" i="665"/>
  <c r="O46" i="665" l="1"/>
  <c r="A45" i="665"/>
  <c r="O47" i="665" l="1"/>
  <c r="A46" i="665"/>
  <c r="O52" i="665" l="1"/>
  <c r="A47" i="665"/>
  <c r="O53" i="665" l="1"/>
  <c r="A52" i="665"/>
  <c r="O54" i="665" l="1"/>
  <c r="A53" i="665"/>
  <c r="O55" i="665" l="1"/>
  <c r="A54" i="665"/>
  <c r="O56" i="665" l="1"/>
  <c r="A55" i="665"/>
  <c r="O59" i="665" l="1"/>
  <c r="A56" i="665"/>
  <c r="O60" i="665" l="1"/>
  <c r="A59" i="665"/>
  <c r="O61" i="665" l="1"/>
  <c r="A60" i="665"/>
  <c r="O62" i="665" l="1"/>
  <c r="A61" i="665"/>
  <c r="O63" i="665" l="1"/>
  <c r="A62" i="665"/>
  <c r="O96" i="665" l="1"/>
  <c r="A63" i="665"/>
  <c r="O97" i="665" l="1"/>
  <c r="A96" i="665"/>
  <c r="O98" i="665" l="1"/>
  <c r="A97" i="665"/>
  <c r="A98" i="665" l="1"/>
  <c r="O99" i="665"/>
  <c r="O100" i="665" l="1"/>
  <c r="A99" i="665"/>
  <c r="O101" i="665" l="1"/>
  <c r="A100" i="665"/>
  <c r="A101" i="665" l="1"/>
  <c r="O102" i="665"/>
  <c r="A102" i="665" l="1"/>
  <c r="O103" i="665"/>
  <c r="O106" i="665" l="1"/>
  <c r="A103" i="665"/>
  <c r="O109" i="665" l="1"/>
  <c r="A106" i="665"/>
  <c r="O110" i="665" l="1"/>
  <c r="A109" i="665"/>
  <c r="O111" i="665" l="1"/>
  <c r="A110" i="665"/>
  <c r="O112" i="665" l="1"/>
  <c r="A111" i="665"/>
  <c r="O113" i="665" l="1"/>
  <c r="A112" i="665"/>
  <c r="O114" i="665" l="1"/>
  <c r="A113" i="665"/>
  <c r="O115" i="665" l="1"/>
  <c r="A114" i="665"/>
  <c r="O116" i="665" l="1"/>
  <c r="A115" i="665"/>
  <c r="O117" i="665" l="1"/>
  <c r="A116" i="665"/>
  <c r="O118" i="665" l="1"/>
  <c r="A117" i="665"/>
  <c r="O123" i="665" l="1"/>
  <c r="A118" i="665"/>
  <c r="O124" i="665" l="1"/>
  <c r="A123" i="665"/>
  <c r="O125" i="665" l="1"/>
  <c r="A124" i="665"/>
  <c r="O126" i="665" l="1"/>
  <c r="A125" i="665"/>
  <c r="O127" i="665" l="1"/>
  <c r="A126" i="665"/>
  <c r="O128" i="665" l="1"/>
  <c r="A127" i="665"/>
  <c r="O129" i="665" l="1"/>
  <c r="A128" i="665"/>
  <c r="O130" i="665" l="1"/>
  <c r="A129" i="665"/>
  <c r="O134" i="665" l="1"/>
  <c r="A130" i="665"/>
  <c r="O135" i="665" l="1"/>
  <c r="A134" i="665"/>
  <c r="O136" i="665" l="1"/>
  <c r="A135" i="665"/>
  <c r="O137" i="665" l="1"/>
  <c r="A136" i="665"/>
  <c r="O138" i="665" l="1"/>
  <c r="A137" i="665"/>
  <c r="O139" i="665" l="1"/>
  <c r="A138" i="665"/>
  <c r="A139" i="665" l="1"/>
  <c r="O140" i="665"/>
  <c r="O141" i="665" l="1"/>
  <c r="A140" i="665"/>
  <c r="A141" i="665" l="1"/>
  <c r="O142" i="665"/>
  <c r="O143" i="665" l="1"/>
  <c r="A142" i="665"/>
  <c r="O144" i="665" l="1"/>
  <c r="A143" i="665"/>
  <c r="A144" i="665" l="1"/>
  <c r="O148" i="665"/>
  <c r="O149" i="665" l="1"/>
  <c r="A148" i="665"/>
  <c r="O150" i="665" l="1"/>
  <c r="A149" i="665"/>
  <c r="O151" i="665" l="1"/>
  <c r="A150" i="665"/>
  <c r="O152" i="665" l="1"/>
  <c r="A151" i="665"/>
  <c r="O153" i="665" l="1"/>
  <c r="A152" i="665"/>
  <c r="O154" i="665" l="1"/>
  <c r="A153" i="665"/>
  <c r="O155" i="665" l="1"/>
  <c r="A154" i="665"/>
  <c r="O165" i="665" l="1"/>
  <c r="A165" i="665" s="1"/>
  <c r="A155" i="66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Скиф</author>
  </authors>
  <commentList>
    <comment ref="B54" authorId="0" shapeId="0" xr:uid="{AAFD04C1-13DD-40A8-9031-3ADB48F736F9}">
      <text>
        <r>
          <rPr>
            <b/>
            <sz val="9"/>
            <color indexed="81"/>
            <rFont val="Tahoma"/>
            <family val="2"/>
            <charset val="204"/>
          </rPr>
          <t>Путь и имя файла, который будет служить базой данных</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Скиф</author>
    <author>user</author>
  </authors>
  <commentList>
    <comment ref="A1" authorId="0" shapeId="0" xr:uid="{71C5D9D2-29B0-49FF-A8FE-E3FA9EE2B2C6}">
      <text>
        <r>
          <rPr>
            <b/>
            <sz val="9"/>
            <color indexed="81"/>
            <rFont val="Tahoma"/>
            <family val="2"/>
            <charset val="204"/>
          </rPr>
          <t>Текст из ячейки А1 будет скопирован в верхний левый колонтитул при печати</t>
        </r>
      </text>
    </comment>
    <comment ref="C1" authorId="0" shapeId="0" xr:uid="{F8C46F74-90DA-45AB-8BA2-ED0DFAE9571E}">
      <text>
        <r>
          <rPr>
            <b/>
            <sz val="9"/>
            <color indexed="81"/>
            <rFont val="Tahoma"/>
            <family val="2"/>
            <charset val="204"/>
          </rPr>
          <t>Если эта ячейка не пуста, то будет сохраняться бэкап</t>
        </r>
      </text>
    </comment>
    <comment ref="N1" authorId="0" shapeId="0" xr:uid="{9E33CF45-AA41-4E94-A89D-42EE8FB553A0}">
      <text>
        <r>
          <rPr>
            <b/>
            <sz val="9"/>
            <color indexed="81"/>
            <rFont val="Tahoma"/>
            <family val="2"/>
            <charset val="204"/>
          </rPr>
          <t>Если ячейка L1 не пуста, то будут показываться сообщения об обработке строк</t>
        </r>
      </text>
    </comment>
    <comment ref="O1" authorId="1" shapeId="0" xr:uid="{9DA3F884-6CCC-4F2B-BF23-C8D0CCFD361E}">
      <text>
        <r>
          <rPr>
            <b/>
            <sz val="9"/>
            <color indexed="81"/>
            <rFont val="Tahoma"/>
            <family val="2"/>
            <charset val="204"/>
          </rPr>
          <t>Значок, который даёт указание добавлять размер на запил торца детали</t>
        </r>
      </text>
    </comment>
    <comment ref="P1" authorId="1" shapeId="0" xr:uid="{BC2F107A-354F-46C5-B2A5-12BCB3F33E84}">
      <text>
        <r>
          <rPr>
            <b/>
            <sz val="9"/>
            <color indexed="81"/>
            <rFont val="Tahoma"/>
            <family val="2"/>
            <charset val="204"/>
          </rPr>
          <t>Запас на запил торца</t>
        </r>
      </text>
    </comment>
    <comment ref="Q1" authorId="1" shapeId="0" xr:uid="{FD68FB07-54A9-4F2B-9ADD-12CAE51F646C}">
      <text>
        <r>
          <rPr>
            <b/>
            <sz val="9"/>
            <color indexed="81"/>
            <rFont val="Tahoma"/>
            <family val="2"/>
            <charset val="204"/>
          </rPr>
          <t>Добавка на скрутку</t>
        </r>
      </text>
    </comment>
    <comment ref="S1" authorId="0" shapeId="0" xr:uid="{E1DE0D4D-0493-45D6-95AB-3E04CEB664B2}">
      <text>
        <r>
          <rPr>
            <b/>
            <sz val="9"/>
            <color indexed="81"/>
            <rFont val="Tahoma"/>
            <family val="2"/>
            <charset val="204"/>
          </rPr>
          <t>Здесь указывается путь для загрузки файла</t>
        </r>
      </text>
    </comment>
    <comment ref="X1" authorId="0" shapeId="0" xr:uid="{2E754D92-8A90-4512-917D-9A7CF4CB5251}">
      <text>
        <r>
          <rPr>
            <b/>
            <sz val="9"/>
            <color indexed="81"/>
            <rFont val="Tahoma"/>
            <family val="2"/>
            <charset val="204"/>
          </rPr>
          <t>Через точку с запятой перечислить, какие наименования плит игнорировать при загрузке из bCUT. В конце данных обязательно нужно ставить ";"
Если макрос найдёт в имени плиты одно из перечисленных названий, то плита не будет загружена в деталировку</t>
        </r>
      </text>
    </comment>
    <comment ref="A3" authorId="0" shapeId="0" xr:uid="{3307155B-4CC3-431E-8670-E4D9DD188F85}">
      <text>
        <r>
          <rPr>
            <b/>
            <sz val="9"/>
            <color indexed="81"/>
            <rFont val="Tahoma"/>
            <family val="2"/>
            <charset val="204"/>
          </rPr>
          <t>По этому символу макросы определяют начало деталировки. Его менять нельзя</t>
        </r>
      </text>
    </comment>
    <comment ref="H14" authorId="0" shapeId="0" xr:uid="{53E63BAD-86A3-4B0B-A193-26CECD0F2A8C}">
      <text>
        <r>
          <rPr>
            <b/>
            <sz val="9"/>
            <color indexed="81"/>
            <rFont val="Tahoma"/>
            <family val="2"/>
            <charset val="204"/>
          </rPr>
          <t>По этой фразе макросы определяют конец блока деталировки. Её менять нельзя</t>
        </r>
      </text>
    </comment>
    <comment ref="A22" authorId="0" shapeId="0" xr:uid="{07B1F15C-0CDD-491E-902B-839CF32C03D3}">
      <text>
        <r>
          <rPr>
            <b/>
            <sz val="9"/>
            <color indexed="81"/>
            <rFont val="Tahoma"/>
            <family val="2"/>
            <charset val="204"/>
          </rPr>
          <t>Фраза "Соответствие кромки и ДСП" обязательна. По ней макрос определяет начало блока кромки</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Скиф</author>
    <author>user</author>
  </authors>
  <commentList>
    <comment ref="A1" authorId="0" shapeId="0" xr:uid="{C923E5BE-0668-4D24-BADA-C2B81A024EF3}">
      <text>
        <r>
          <rPr>
            <b/>
            <sz val="9"/>
            <color indexed="81"/>
            <rFont val="Tahoma"/>
            <family val="2"/>
            <charset val="204"/>
          </rPr>
          <t>Текст из ячейки А1 будет скопирован в верхний левый колонтитул при печати</t>
        </r>
      </text>
    </comment>
    <comment ref="C1" authorId="0" shapeId="0" xr:uid="{3D4DC5A7-D334-485B-9E32-795AF44E29DA}">
      <text>
        <r>
          <rPr>
            <b/>
            <sz val="9"/>
            <color indexed="81"/>
            <rFont val="Tahoma"/>
            <family val="2"/>
            <charset val="204"/>
          </rPr>
          <t>Если эта ячейка не пуста, то будет сохраняться бэкап</t>
        </r>
      </text>
    </comment>
    <comment ref="N1" authorId="0" shapeId="0" xr:uid="{087C2F30-DC60-4E14-9009-570BEB1A7215}">
      <text>
        <r>
          <rPr>
            <b/>
            <sz val="9"/>
            <color indexed="81"/>
            <rFont val="Tahoma"/>
            <family val="2"/>
            <charset val="204"/>
          </rPr>
          <t>Если ячейка L1 не пуста, то будут показываться сообщения об обработке строк</t>
        </r>
      </text>
    </comment>
    <comment ref="O1" authorId="1" shapeId="0" xr:uid="{B2F15242-6EBA-4D5C-B24C-14E64D194BC5}">
      <text>
        <r>
          <rPr>
            <b/>
            <sz val="9"/>
            <color indexed="81"/>
            <rFont val="Tahoma"/>
            <family val="2"/>
            <charset val="204"/>
          </rPr>
          <t>Значок, который даёт указание добавлять размер на запил торца детали</t>
        </r>
      </text>
    </comment>
    <comment ref="P1" authorId="1" shapeId="0" xr:uid="{3EB1A8C1-5408-46B2-B29C-9F6450F730B2}">
      <text>
        <r>
          <rPr>
            <b/>
            <sz val="9"/>
            <color indexed="81"/>
            <rFont val="Tahoma"/>
            <family val="2"/>
            <charset val="204"/>
          </rPr>
          <t>Запас на запил торца</t>
        </r>
      </text>
    </comment>
    <comment ref="Q1" authorId="1" shapeId="0" xr:uid="{CDA2C229-7B69-4C25-8197-03730DD808AC}">
      <text>
        <r>
          <rPr>
            <b/>
            <sz val="9"/>
            <color indexed="81"/>
            <rFont val="Tahoma"/>
            <family val="2"/>
            <charset val="204"/>
          </rPr>
          <t>Добавка на скрутку</t>
        </r>
      </text>
    </comment>
    <comment ref="S1" authorId="0" shapeId="0" xr:uid="{09403F2D-90B5-4CB2-8EBC-2FE46AF4DD66}">
      <text>
        <r>
          <rPr>
            <b/>
            <sz val="9"/>
            <color indexed="81"/>
            <rFont val="Tahoma"/>
            <family val="2"/>
            <charset val="204"/>
          </rPr>
          <t>Здесь указывается путь для загрузки файла</t>
        </r>
      </text>
    </comment>
    <comment ref="X1" authorId="0" shapeId="0" xr:uid="{C4C6E7CF-9029-4AB9-9A80-98FF95E5AAB1}">
      <text>
        <r>
          <rPr>
            <b/>
            <sz val="9"/>
            <color indexed="81"/>
            <rFont val="Tahoma"/>
            <family val="2"/>
            <charset val="204"/>
          </rPr>
          <t>Через точку с запятой перечислить, какие наименования плит игнорировать при загрузке из bCUT. В конце данных обязательно нужно ставить ";"
Если макрос найдёт в имени плиты одно из перечисленных названий, то плита не будет загружена в деталировку</t>
        </r>
      </text>
    </comment>
    <comment ref="A3" authorId="0" shapeId="0" xr:uid="{C28994BA-6F9C-4EE8-985D-AEB960557003}">
      <text>
        <r>
          <rPr>
            <b/>
            <sz val="9"/>
            <color indexed="81"/>
            <rFont val="Tahoma"/>
            <family val="2"/>
            <charset val="204"/>
          </rPr>
          <t>По этому символу макросы определяют начало деталировки. Его менять нельзя</t>
        </r>
      </text>
    </comment>
    <comment ref="H169" authorId="0" shapeId="0" xr:uid="{2B7AA5BE-7CB7-4786-B1A9-79CB6CAF235E}">
      <text>
        <r>
          <rPr>
            <b/>
            <sz val="9"/>
            <color indexed="81"/>
            <rFont val="Tahoma"/>
            <family val="2"/>
            <charset val="204"/>
          </rPr>
          <t>По этой фразе макросы определяют конец блока деталировки. Её менять нельзя</t>
        </r>
      </text>
    </comment>
    <comment ref="A177" authorId="0" shapeId="0" xr:uid="{19F79879-EE1E-4F69-A682-F5807EA2B977}">
      <text>
        <r>
          <rPr>
            <b/>
            <sz val="9"/>
            <color indexed="81"/>
            <rFont val="Tahoma"/>
            <family val="2"/>
            <charset val="204"/>
          </rPr>
          <t>Фраза "Соответствие кромки и ДСП" обязательна. По ней макрос определяет начало блока кромки</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Скиф</author>
  </authors>
  <commentList>
    <comment ref="A2" authorId="0" shapeId="0" xr:uid="{154A32A0-BBD5-4D2F-9AF2-954C64E1643B}">
      <text>
        <r>
          <rPr>
            <b/>
            <sz val="9"/>
            <color indexed="81"/>
            <rFont val="Tahoma"/>
            <family val="2"/>
            <charset val="204"/>
          </rPr>
          <t>сделать столбец скрываемым из диалога "ИНСТРУМЕНТЫ"</t>
        </r>
      </text>
    </comment>
  </commentList>
</comments>
</file>

<file path=xl/sharedStrings.xml><?xml version="1.0" encoding="utf-8"?>
<sst xmlns="http://schemas.openxmlformats.org/spreadsheetml/2006/main" count="937" uniqueCount="236">
  <si>
    <t>Ширина</t>
  </si>
  <si>
    <t>Длина</t>
  </si>
  <si>
    <t>Кол-во</t>
  </si>
  <si>
    <t>Материал</t>
  </si>
  <si>
    <t>Примечание</t>
  </si>
  <si>
    <t>Наименование</t>
  </si>
  <si>
    <t>№</t>
  </si>
  <si>
    <t>Начало</t>
  </si>
  <si>
    <t>Примечания:</t>
  </si>
  <si>
    <t>в</t>
  </si>
  <si>
    <t>л</t>
  </si>
  <si>
    <t>н</t>
  </si>
  <si>
    <t>п</t>
  </si>
  <si>
    <t>Наименование ДСП</t>
  </si>
  <si>
    <t>Наименование кромки</t>
  </si>
  <si>
    <t>Итого деталей</t>
  </si>
  <si>
    <r>
      <t xml:space="preserve">Знак </t>
    </r>
    <r>
      <rPr>
        <b/>
        <sz val="11"/>
        <color theme="1"/>
        <rFont val="Calibri"/>
        <family val="2"/>
        <charset val="204"/>
        <scheme val="minor"/>
      </rPr>
      <t>"кпз-"</t>
    </r>
    <r>
      <rPr>
        <sz val="11"/>
        <color theme="1"/>
        <rFont val="Calibri"/>
        <family val="2"/>
        <charset val="204"/>
        <scheme val="minor"/>
      </rPr>
      <t xml:space="preserve"> и </t>
    </r>
    <r>
      <rPr>
        <b/>
        <sz val="11"/>
        <color theme="1"/>
        <rFont val="Calibri"/>
        <family val="2"/>
        <charset val="204"/>
        <scheme val="minor"/>
      </rPr>
      <t>"кпз2":</t>
    </r>
    <r>
      <rPr>
        <sz val="11"/>
        <color theme="1"/>
        <rFont val="Calibri"/>
        <family val="2"/>
        <charset val="204"/>
        <scheme val="minor"/>
      </rPr>
      <t xml:space="preserve"> кромковать соответствующей кромкой после замеров/уточнений</t>
    </r>
  </si>
  <si>
    <t>сКромкой длина</t>
  </si>
  <si>
    <t>сКромкой ширина</t>
  </si>
  <si>
    <t>БезКромки длина</t>
  </si>
  <si>
    <t>БезКромкиШирина</t>
  </si>
  <si>
    <t>Площадь</t>
  </si>
  <si>
    <t>Код</t>
  </si>
  <si>
    <t>Кромка</t>
  </si>
  <si>
    <t>Плита</t>
  </si>
  <si>
    <t>Текстура</t>
  </si>
  <si>
    <t>Проверка</t>
  </si>
  <si>
    <t>з</t>
  </si>
  <si>
    <r>
      <t xml:space="preserve">Знак </t>
    </r>
    <r>
      <rPr>
        <b/>
        <sz val="11"/>
        <color theme="1"/>
        <rFont val="Calibri"/>
        <family val="2"/>
        <charset val="204"/>
        <scheme val="minor"/>
      </rPr>
      <t>"з":</t>
    </r>
    <r>
      <rPr>
        <sz val="11"/>
        <color theme="1"/>
        <rFont val="Calibri"/>
        <family val="2"/>
        <charset val="204"/>
        <scheme val="minor"/>
      </rPr>
      <t xml:space="preserve"> запил торца</t>
    </r>
  </si>
  <si>
    <t>Правила оформления деталировки</t>
  </si>
  <si>
    <t>Обозначение</t>
  </si>
  <si>
    <t>t</t>
  </si>
  <si>
    <t>Соответствие цвета кромки и ДСП указано в таблице ниже. Если не указано, то</t>
  </si>
  <si>
    <r>
      <t xml:space="preserve">знак </t>
    </r>
    <r>
      <rPr>
        <b/>
        <sz val="11"/>
        <color theme="1"/>
        <rFont val="Calibri"/>
        <family val="2"/>
        <charset val="204"/>
        <scheme val="minor"/>
      </rPr>
      <t>"-"</t>
    </r>
    <r>
      <rPr>
        <sz val="11"/>
        <color theme="1"/>
        <rFont val="Calibri"/>
        <family val="2"/>
        <charset val="204"/>
        <scheme val="minor"/>
      </rPr>
      <t xml:space="preserve">: кромка толщиной </t>
    </r>
    <r>
      <rPr>
        <b/>
        <sz val="11"/>
        <color theme="1"/>
        <rFont val="Calibri"/>
        <family val="2"/>
        <charset val="204"/>
        <scheme val="minor"/>
      </rPr>
      <t>0,5</t>
    </r>
    <r>
      <rPr>
        <sz val="11"/>
        <color theme="1"/>
        <rFont val="Calibri"/>
        <family val="2"/>
        <charset val="204"/>
        <scheme val="minor"/>
      </rPr>
      <t xml:space="preserve"> мм под цвет детали. Знак </t>
    </r>
    <r>
      <rPr>
        <b/>
        <sz val="11"/>
        <color theme="1"/>
        <rFont val="Calibri"/>
        <family val="2"/>
        <charset val="204"/>
        <scheme val="minor"/>
      </rPr>
      <t>"2"</t>
    </r>
    <r>
      <rPr>
        <sz val="11"/>
        <color theme="1"/>
        <rFont val="Calibri"/>
        <family val="2"/>
        <charset val="204"/>
        <scheme val="minor"/>
      </rPr>
      <t>: кромка толщиной 2 мм под цвет детали</t>
    </r>
  </si>
  <si>
    <t>Примечания</t>
  </si>
  <si>
    <t>Обязательный блок с обязательной фразой</t>
  </si>
  <si>
    <t>Автор таблицы - Ганков Ярослав +380662854936</t>
  </si>
  <si>
    <t>Между блоками в деталироке не может быть больше одной пустой строки (если будет больше - нумерация может быть некорректна)</t>
  </si>
  <si>
    <t>Деталировка</t>
  </si>
  <si>
    <t>Стекло</t>
  </si>
  <si>
    <t>Еврокромка полировка по периметру всех деталей</t>
  </si>
  <si>
    <t>Соответствие кромки и ДСП</t>
  </si>
  <si>
    <r>
      <t xml:space="preserve">Здесь располагаются </t>
    </r>
    <r>
      <rPr>
        <b/>
        <sz val="11"/>
        <color theme="1"/>
        <rFont val="Calibri"/>
        <family val="2"/>
        <charset val="204"/>
        <scheme val="minor"/>
      </rPr>
      <t>строки-заготовки</t>
    </r>
    <r>
      <rPr>
        <sz val="11"/>
        <color theme="1"/>
        <rFont val="Calibri"/>
        <family val="2"/>
        <charset val="204"/>
        <scheme val="minor"/>
      </rPr>
      <t xml:space="preserve"> для копирования в </t>
    </r>
    <r>
      <rPr>
        <b/>
        <sz val="11"/>
        <color theme="1"/>
        <rFont val="Calibri"/>
        <family val="2"/>
        <charset val="204"/>
        <scheme val="minor"/>
      </rPr>
      <t>блоки</t>
    </r>
    <r>
      <rPr>
        <sz val="11"/>
        <color theme="1"/>
        <rFont val="Calibri"/>
        <family val="2"/>
        <charset val="204"/>
        <scheme val="minor"/>
      </rPr>
      <t xml:space="preserve">. Фраза над заготовкой-строкой должна быть </t>
    </r>
    <r>
      <rPr>
        <b/>
        <sz val="11"/>
        <color theme="1"/>
        <rFont val="Calibri"/>
        <family val="2"/>
        <charset val="204"/>
        <scheme val="minor"/>
      </rPr>
      <t>точно такая же</t>
    </r>
    <r>
      <rPr>
        <sz val="11"/>
        <color theme="1"/>
        <rFont val="Calibri"/>
        <family val="2"/>
        <charset val="204"/>
        <scheme val="minor"/>
      </rPr>
      <t xml:space="preserve">, как и </t>
    </r>
    <r>
      <rPr>
        <b/>
        <sz val="11"/>
        <color theme="1"/>
        <rFont val="Calibri"/>
        <family val="2"/>
        <charset val="204"/>
        <scheme val="minor"/>
      </rPr>
      <t>название блока</t>
    </r>
    <r>
      <rPr>
        <sz val="11"/>
        <color theme="1"/>
        <rFont val="Calibri"/>
        <family val="2"/>
        <charset val="204"/>
        <scheme val="minor"/>
      </rPr>
      <t>. Копируются данные (кроме таблицы соответствия с столбца А по с толбец Y</t>
    </r>
  </si>
  <si>
    <t>Инструкция</t>
  </si>
  <si>
    <t>Таблица соответствия (блок соответствия)</t>
  </si>
  <si>
    <t>Фигурные детали</t>
  </si>
  <si>
    <r>
      <t xml:space="preserve">На фигурных деталях кромка не указывается. При обнаружении фигурной детали макрос не указывает кромкование, а автоматически в примечании пишет </t>
    </r>
    <r>
      <rPr>
        <b/>
        <sz val="11"/>
        <color theme="1"/>
        <rFont val="Calibri"/>
        <family val="2"/>
        <charset val="204"/>
        <scheme val="minor"/>
      </rPr>
      <t>"См.чертёж; Кромки уточнить;"</t>
    </r>
  </si>
  <si>
    <t>На фигурных деталях считывается лишь одно (первое) наименование кромки и оно будет отображено в таблице соответствия. Если на фигурных деталях больше 1 наименований кромок, то они не отобразятся в таблице соответствия</t>
  </si>
  <si>
    <t>Сердцевина</t>
  </si>
  <si>
    <t>Лицо</t>
  </si>
  <si>
    <t>Тыл</t>
  </si>
  <si>
    <t>D:/bCad-teh.xml</t>
  </si>
  <si>
    <t>Лицевая</t>
  </si>
  <si>
    <t>Тыльная</t>
  </si>
  <si>
    <t>HDF;Зеркало;ПВС;стена;</t>
  </si>
  <si>
    <t>Таблица замены</t>
  </si>
  <si>
    <t>Выгрузка из bCad</t>
  </si>
  <si>
    <t>Соответствие</t>
  </si>
  <si>
    <t>Таблица замены должна располагаться за всеми заготовками блоков</t>
  </si>
  <si>
    <t>SkiffПВХ 0,4х19 Вулканический серый б/к</t>
  </si>
  <si>
    <t>В деталировке при найденном значении в столбце "Выгрузка из bCad" будет произведена полная замена значения на соответствующее из столбика "Соответствие". Если поле "Соответствие" будет пусто, то замена не будет произведена. Деталь при этом не удаляется из деталировки</t>
  </si>
  <si>
    <t>НАЧАЛО ЗАГОТОВОК ДЛЯ ДЕТАЛИРОВКИ</t>
  </si>
  <si>
    <t>КОНЕЦ ЗАГОТОВОК ДЛЯ ДЕТАЛИРОВКИ</t>
  </si>
  <si>
    <t>ЛИСТОВЫЕ</t>
  </si>
  <si>
    <t>Инструкция:</t>
  </si>
  <si>
    <t>Ед. изм.</t>
  </si>
  <si>
    <t>Расход</t>
  </si>
  <si>
    <t>Вначале идут заголовки. Они обязательно должны заканчиваться фразой "Конец заголовков"</t>
  </si>
  <si>
    <r>
      <t xml:space="preserve">Заголовок состоит из двух строк. Верхняя может содержать данные лишь в ячейке "А" и </t>
    </r>
    <r>
      <rPr>
        <b/>
        <sz val="11"/>
        <color theme="1"/>
        <rFont val="Calibri"/>
        <family val="2"/>
        <charset val="204"/>
        <scheme val="minor"/>
      </rPr>
      <t>не</t>
    </r>
    <r>
      <rPr>
        <sz val="11"/>
        <color theme="1"/>
        <rFont val="Calibri"/>
        <family val="2"/>
        <charset val="204"/>
        <scheme val="minor"/>
      </rPr>
      <t xml:space="preserve"> содержать данных в ячейках "В" и "С" (иначе алгоритм не распознает его как заголовок). Нижняя строка заголовка может содержать любые данные</t>
    </r>
  </si>
  <si>
    <t>ОБЛИЦОВКА</t>
  </si>
  <si>
    <t>За фразой "Конец заголовков" могут идти доп. блоки</t>
  </si>
  <si>
    <t>КРОМКА</t>
  </si>
  <si>
    <t>Длина м.</t>
  </si>
  <si>
    <r>
      <t xml:space="preserve">Блок </t>
    </r>
    <r>
      <rPr>
        <b/>
        <sz val="11"/>
        <color theme="1"/>
        <rFont val="Calibri"/>
        <family val="2"/>
        <charset val="204"/>
        <scheme val="minor"/>
      </rPr>
      <t>"Таблица замены"</t>
    </r>
    <r>
      <rPr>
        <sz val="11"/>
        <color theme="1"/>
        <rFont val="Calibri"/>
        <family val="2"/>
        <charset val="204"/>
        <scheme val="minor"/>
      </rPr>
      <t xml:space="preserve"> должен быть последним. Всё, что будет в этом блоке. В этом блоке в столбике "А" не должно быть пустых строк. Пустые строки могут быть в столбике "В" - при этом значение не будет загружаться в Склад</t>
    </r>
  </si>
  <si>
    <t>ФУРНИТУРА</t>
  </si>
  <si>
    <t>Название</t>
  </si>
  <si>
    <t>Ед.изм</t>
  </si>
  <si>
    <t>Кол.</t>
  </si>
  <si>
    <t>РАСКРОЙ ПРОФИЛЬНЫХ ДЕТАЛЕЙ</t>
  </si>
  <si>
    <t>Длина мм.</t>
  </si>
  <si>
    <t>Конец заголовков</t>
  </si>
  <si>
    <t>Перенос-&gt;ОБЛИЦОВКА-&gt;ЛИСТОВЫЕ</t>
  </si>
  <si>
    <t>камень</t>
  </si>
  <si>
    <t>пластик</t>
  </si>
  <si>
    <t>Конец Перенос-&gt;ОБЛИЦОВКА-&gt;ЛИСТОВЫЕ</t>
  </si>
  <si>
    <t>НАЧАЛО ЗАГОТОВОК ДЛЯ СКЛАДА</t>
  </si>
  <si>
    <t>КОНЕЦ ЗАГОТОВОК ДЛЯ СКЛАДА</t>
  </si>
  <si>
    <r>
      <t>Блок "</t>
    </r>
    <r>
      <rPr>
        <b/>
        <sz val="11"/>
        <color theme="1"/>
        <rFont val="Calibri"/>
        <family val="2"/>
        <charset val="204"/>
        <scheme val="minor"/>
      </rPr>
      <t xml:space="preserve">Перенос" </t>
    </r>
    <r>
      <rPr>
        <sz val="11"/>
        <color theme="1"/>
        <rFont val="Calibri"/>
        <family val="2"/>
        <charset val="204"/>
        <scheme val="minor"/>
      </rPr>
      <t xml:space="preserve">позволяет перенести данные из одного блока склада в другой. Блок обязательно должен содержать служебные метки начала и конца и обязательно должен находиться после Заголовков для склада. Синтаксис таков </t>
    </r>
    <r>
      <rPr>
        <b/>
        <sz val="11"/>
        <color theme="1"/>
        <rFont val="Calibri"/>
        <family val="2"/>
        <charset val="204"/>
        <scheme val="minor"/>
      </rPr>
      <t>Перенос-&gt;</t>
    </r>
    <r>
      <rPr>
        <sz val="11"/>
        <color theme="1"/>
        <rFont val="Calibri"/>
        <family val="2"/>
        <charset val="204"/>
        <scheme val="minor"/>
      </rPr>
      <t>[откуда_переносить]</t>
    </r>
    <r>
      <rPr>
        <b/>
        <sz val="11"/>
        <color theme="1"/>
        <rFont val="Calibri"/>
        <family val="2"/>
        <charset val="204"/>
        <scheme val="minor"/>
      </rPr>
      <t>-&gt;</t>
    </r>
    <r>
      <rPr>
        <sz val="11"/>
        <color theme="1"/>
        <rFont val="Calibri"/>
        <family val="2"/>
        <charset val="204"/>
        <scheme val="minor"/>
      </rPr>
      <t>[куда_переносить]. Начальное слово Перенос со стрелочкой является служебным</t>
    </r>
  </si>
  <si>
    <t>ЛДСП Lamarty 2750*1830*16 Белый б/к</t>
  </si>
  <si>
    <t>XДФ 2800*2070*4 Белый б/к</t>
  </si>
  <si>
    <t>Из файла загружаются лишь те записи, которые не были найдены здесь</t>
  </si>
  <si>
    <t>Приоритетными считаются записи из таблицы. Если будут найдены одинаковые записи в файле и в таблице, то в файле записи будут перезаписаны записями из таблицы</t>
  </si>
  <si>
    <t>C:/bCADExtensions/table.txt</t>
  </si>
  <si>
    <t>камень Akrilika M-608 Seashell 3660*760*12 б/к</t>
  </si>
  <si>
    <t>ЛМДФ 2800*2070*16 Белый 1 ст. б/к</t>
  </si>
  <si>
    <t>ЛМДФ 2800*2070*19 Белый 2 ст. б/к</t>
  </si>
  <si>
    <t>склейка ДСП 2750*1830*26 шлиф. б/к</t>
  </si>
  <si>
    <t>Толщина</t>
  </si>
  <si>
    <r>
      <rPr>
        <sz val="11"/>
        <color theme="1"/>
        <rFont val="Calibri"/>
        <family val="2"/>
        <charset val="204"/>
        <scheme val="minor"/>
      </rPr>
      <t xml:space="preserve">стр 1из1 </t>
    </r>
    <r>
      <rPr>
        <b/>
        <sz val="11"/>
        <color theme="1"/>
        <rFont val="Calibri"/>
        <family val="2"/>
        <charset val="204"/>
        <scheme val="minor"/>
      </rPr>
      <t>Дата: 20.01.2022</t>
    </r>
  </si>
  <si>
    <t>Длина пильная</t>
  </si>
  <si>
    <t>Ширина пильная</t>
  </si>
  <si>
    <t>Итого деталей:</t>
  </si>
  <si>
    <t>Итого м.п. кромки б/к:</t>
  </si>
  <si>
    <t>Сортировка по "Кромке" сначала позиции только с кромкой 0,4 и далее по цветам отличным от базовой 0,4 с разделением пробелом</t>
  </si>
  <si>
    <t>Сюда не заносятся данные, где есть слово: "плёнка", "пленка"</t>
  </si>
  <si>
    <t>В КРОМКУ не пишем следующие виды кромок: эмаль и камень</t>
  </si>
  <si>
    <t>камень_Akrilika MA-502 Everest 3660*760*12 б/к</t>
  </si>
  <si>
    <t>Склейка 28 ДСП</t>
  </si>
  <si>
    <t>МДФ 2800х2070х16 лам. Белый 2 ст. б/к</t>
  </si>
  <si>
    <t>ЛДСП Lamarty 2750*1830*16мм Вулканический серый б/к</t>
  </si>
  <si>
    <t>ЛДСП FB68 Ares 2800х2070х18</t>
  </si>
  <si>
    <t>KHR Глянец</t>
  </si>
  <si>
    <t>пластик ПОДКЛАДОЧНЫЙ б/к</t>
  </si>
  <si>
    <t>ПВХ 0,4х19 Белый б/к</t>
  </si>
  <si>
    <t>ПВХ 0,4х19 Вулканический серый б/к</t>
  </si>
  <si>
    <t>Кромка ABS FB68 Ares 1х22</t>
  </si>
  <si>
    <t>Древесный</t>
  </si>
  <si>
    <t>камень1</t>
  </si>
  <si>
    <t>вишня Оксфорд</t>
  </si>
  <si>
    <t>груша дикая (светлая)</t>
  </si>
  <si>
    <t>graphite</t>
  </si>
  <si>
    <t>древесный</t>
  </si>
  <si>
    <t>пластик EGGER W908 SM белый базовый 2800*1310*0,8 б/к</t>
  </si>
  <si>
    <t>пластик EGGER U763 ST9 cерый перламутровый 2800*1310*0,8 б/к</t>
  </si>
  <si>
    <t>ПВХ 2х19 EGGER W908 SM белый базовый б/к</t>
  </si>
  <si>
    <t>ПВХ 0,4х35 Белый б/к</t>
  </si>
  <si>
    <t>ПВХ 2х19 EGGER U763 ST9 cерый перламутровый б/к</t>
  </si>
  <si>
    <t>ПВХ 0,4х19 EGGER W908 SM белый базовый б/к</t>
  </si>
  <si>
    <t>евронавес Scarpi с заглушкой и шиной Правый</t>
  </si>
  <si>
    <t>евронавес Scarpi с заглушкой и шиной Левый</t>
  </si>
  <si>
    <t>петля BLUM накладная 110° с доводчиком</t>
  </si>
  <si>
    <t>86° Ограничитель угла открывания для петли 110°(BLUM)</t>
  </si>
  <si>
    <t>эксцентриковая стяжка с заглушкой</t>
  </si>
  <si>
    <t>сушилка Variant 3 2-уровневая 800</t>
  </si>
  <si>
    <t>евровинт 7*50</t>
  </si>
  <si>
    <t>уголок крепежный 20х20х16мм с пласт. крышкой (в цвет корпуса)</t>
  </si>
  <si>
    <t>подпятник регулируемый М6 белый</t>
  </si>
  <si>
    <t>встраиваемая посудомоечная машина PM 4542</t>
  </si>
  <si>
    <t>петля BLUM вкладная под фальшпанель 83° с доводчиком</t>
  </si>
  <si>
    <t>газовый лифт Boyard N100 с фикс. положения, GL104GR/100/3</t>
  </si>
  <si>
    <t>ящик Blum TANDEMBOX antaro D (224мм) царги М - 1 релинг, глуб. 500мм, Белый шелк</t>
  </si>
  <si>
    <t>ящик Blum TANDEMBOX antaro M (98,5мм), глуб. 500мм, Белый шелк</t>
  </si>
  <si>
    <t>шариковые направляющие Master DB4504Zn/500</t>
  </si>
  <si>
    <t>фасадный эксцентрик</t>
  </si>
  <si>
    <t>опора кухонная Н=100</t>
  </si>
  <si>
    <t>заглушка тех. отверстия D5</t>
  </si>
  <si>
    <t>полкодержатель (боченок)</t>
  </si>
  <si>
    <t>стяжка для столешницы М6 Х 100</t>
  </si>
  <si>
    <t>TANDEM, замок, левый T51.1700.04</t>
  </si>
  <si>
    <t>TANDEM, замок, правый T51.1700.04</t>
  </si>
  <si>
    <t>направляющие Tandem с BLUMOTION, полного выдв., 30кг, 300мм, комплект</t>
  </si>
  <si>
    <t>ящик Blum TANDEMBOX antaro D (224мм) царги М - 1 релинг, глуб. 300мм, Белый шелк</t>
  </si>
  <si>
    <t>белый</t>
  </si>
  <si>
    <t>скрытая ручка 901056</t>
  </si>
  <si>
    <t>водоотбойник цоколя для плит 19мм</t>
  </si>
  <si>
    <t>A</t>
  </si>
  <si>
    <t>B</t>
  </si>
  <si>
    <t>C</t>
  </si>
  <si>
    <t>ЛОЖЬ</t>
  </si>
  <si>
    <t>См.чертёж; Кромки уточнить;</t>
  </si>
  <si>
    <t>вырезЕсть</t>
  </si>
  <si>
    <t>ножка стула</t>
  </si>
  <si>
    <t>другаяДеталь</t>
  </si>
  <si>
    <t>D</t>
  </si>
  <si>
    <t>*;*;*;*;*;*;*;*;</t>
  </si>
  <si>
    <t>поперёк ПВХ</t>
  </si>
  <si>
    <t>-</t>
  </si>
  <si>
    <t>-;-;-;-;камень1;камень1;камень1;камень1;</t>
  </si>
  <si>
    <t>*;*;2;2;*;*;graphite;graphite;</t>
  </si>
  <si>
    <t>коминь</t>
  </si>
  <si>
    <t>водоотбойник камень 12</t>
  </si>
  <si>
    <t>столешница</t>
  </si>
  <si>
    <t>Вырез;</t>
  </si>
  <si>
    <t>царга</t>
  </si>
  <si>
    <t>бок</t>
  </si>
  <si>
    <t>фронтальная царга</t>
  </si>
  <si>
    <t>дно (вырез)</t>
  </si>
  <si>
    <t>планка</t>
  </si>
  <si>
    <t>фасадная планка (мыло)</t>
  </si>
  <si>
    <t>фронтальный щит</t>
  </si>
  <si>
    <t>полка жесткая</t>
  </si>
  <si>
    <t>тыльный щит</t>
  </si>
  <si>
    <t>дно ящика</t>
  </si>
  <si>
    <t>тыл ящика</t>
  </si>
  <si>
    <t>фальш горизонт (паз_10)</t>
  </si>
  <si>
    <t>паз ХДФ 8*4(по длине);</t>
  </si>
  <si>
    <t>фальш горизонт</t>
  </si>
  <si>
    <t>бок (паз_10)</t>
  </si>
  <si>
    <t>паз ХДФ*anna(по длине);</t>
  </si>
  <si>
    <t>задняя стенка</t>
  </si>
  <si>
    <t>дно (паз_10)</t>
  </si>
  <si>
    <t>фасад (мыло, 901246 в торец)</t>
  </si>
  <si>
    <t>задняя стенка ящика</t>
  </si>
  <si>
    <t>царга (паз_10 в торец)</t>
  </si>
  <si>
    <t>фасадный бок (мыло)</t>
  </si>
  <si>
    <t>бок (вырез под цоколь, вырез под сантех.)</t>
  </si>
  <si>
    <t>горизонт (паз_16)</t>
  </si>
  <si>
    <t>бок (паз_16)</t>
  </si>
  <si>
    <t>фасад (ПВХ_1мм в круг)</t>
  </si>
  <si>
    <t>полка</t>
  </si>
  <si>
    <t>полка вытяжки (паз_16, вырез)</t>
  </si>
  <si>
    <t>Вырез; паз ХДФ 8*4(по длине);</t>
  </si>
  <si>
    <t>горизонт (вырез, паз_16)</t>
  </si>
  <si>
    <t>паз ХДФ*anna(уточнить);</t>
  </si>
  <si>
    <t>паз ХДФ 8*4(уточнить);</t>
  </si>
  <si>
    <t>фасадная накладка (мыло)</t>
  </si>
  <si>
    <t>горизонт</t>
  </si>
  <si>
    <t>щит</t>
  </si>
  <si>
    <t>щит вытяжки</t>
  </si>
  <si>
    <t>фронт короба</t>
  </si>
  <si>
    <t>бок короба</t>
  </si>
  <si>
    <t>видимый бок пр. (четверть по низу, паз_74)</t>
  </si>
  <si>
    <t>видимый бок лев. (паз_62)</t>
  </si>
  <si>
    <t>горизонт (паз_10)</t>
  </si>
  <si>
    <t>полка СВЧ</t>
  </si>
  <si>
    <t>бок (паз_74)</t>
  </si>
  <si>
    <t>видимый бок (четверть по низу)</t>
  </si>
  <si>
    <t>крышка</t>
  </si>
  <si>
    <t>дно</t>
  </si>
  <si>
    <t>задняя стенка ЛДСП</t>
  </si>
  <si>
    <t>цоколь (ПВХ_1мм в круг)</t>
  </si>
  <si>
    <t>видимое дно антресолей (вырез)</t>
  </si>
  <si>
    <t>дно вытяжки (вырез)</t>
  </si>
  <si>
    <t>фасад (мыло)</t>
  </si>
  <si>
    <t>E</t>
  </si>
  <si>
    <t>*;12;*;12;*;камень_Akrilika MA-502 Everest 3660*760*12 б/к;*;камень_Akrilika MA-502 Everest 3660*760*12 б/к;</t>
  </si>
  <si>
    <t>*;12;12;*;*;камень_Akrilika MA-502 Everest 3660*760*12 б/к;камень_Akrilika MA-502 Everest 3660*760*12 б/к;*;</t>
  </si>
  <si>
    <t>-;-;-;-;ПВХ 0,4х19 Белый б/к;ПВХ 0,4х19 Белый б/к;ПВХ 0,4х19 Белый б/к;ПВХ 0,4х19 Белый б/к;</t>
  </si>
  <si>
    <t>-;-;*;*;ПВХ 0,4х19 Белый б/к;ПВХ 0,4х19 Белый б/к;*;*;</t>
  </si>
  <si>
    <t>-;-;-;-;KHR Глянец;KHR Глянец;KHR Глянец;KHR Глянец;</t>
  </si>
  <si>
    <t>*;*;-;-;*;*;ПВХ 0,4х19 Белый б/к;ПВХ 0,4х19 Белый б/к;</t>
  </si>
  <si>
    <t>-;-;*;*;ПВХ 0,4х19 Вулканический серый б/к;ПВХ 0,4х19 Вулканический серый б/к;*;*;</t>
  </si>
  <si>
    <t>-;-;-;-;ПВХ 0,4х19 Вулканический серый б/к;ПВХ 0,4х19 Вулканический серый б/к;ПВХ 0,4х19 Вулканический серый б/к;ПВХ 0,4х19 Вулканический серый б/к;</t>
  </si>
  <si>
    <t>1;1;1;1;Кромка ABS FB68 Ares 1х22;Кромка ABS FB68 Ares 1х22;Кромка ABS FB68 Ares 1х22;Кромка ABS FB68 Ares 1х22;</t>
  </si>
  <si>
    <t>bCad-teh1</t>
  </si>
  <si>
    <t>КРОМКА bCad-teh1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</si>
</sst>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x14ac:knownFonts="1">
    <font>
      <sz val="11"/>
      <color theme="1"/>
      <name val="Calibri"/>
      <family val="2"/>
      <charset val="204"/>
      <scheme val="minor"/>
    </font>
    <font>
      <sz val="10"/>
      <name val="Arial"/>
      <family val="2"/>
      <charset val="204"/>
    </font>
    <font>
      <b/>
      <sz val="11"/>
      <color theme="1"/>
      <name val="Calibri"/>
      <family val="2"/>
      <charset val="204"/>
      <scheme val="minor"/>
    </font>
    <font>
      <sz val="11"/>
      <color rgb="FF000000"/>
      <name val="Calibri"/>
      <family val="2"/>
      <charset val="204"/>
    </font>
    <font>
      <sz val="9"/>
      <color theme="1"/>
      <name val="Calibri"/>
      <family val="2"/>
      <charset val="204"/>
      <scheme val="minor"/>
    </font>
    <font>
      <sz val="10"/>
      <color theme="1"/>
      <name val="Calibri"/>
      <family val="2"/>
      <charset val="204"/>
      <scheme val="minor"/>
    </font>
    <font>
      <b/>
      <sz val="14"/>
      <color theme="1"/>
      <name val="Calibri"/>
      <family val="2"/>
      <charset val="204"/>
      <scheme val="minor"/>
    </font>
    <font>
      <b/>
      <sz val="9"/>
      <color theme="1"/>
      <name val="Calibri"/>
      <family val="2"/>
      <charset val="204"/>
      <scheme val="minor"/>
    </font>
    <font>
      <sz val="11"/>
      <color theme="1"/>
      <name val="Calibri"/>
      <family val="2"/>
      <charset val="204"/>
    </font>
    <font>
      <b/>
      <sz val="9"/>
      <color indexed="81"/>
      <name val="Tahoma"/>
      <family val="2"/>
      <charset val="204"/>
    </font>
    <font>
      <sz val="8"/>
      <name val="Calibri"/>
      <family val="2"/>
      <charset val="204"/>
      <scheme val="minor"/>
    </font>
    <font>
      <b/>
      <sz val="10"/>
      <color theme="1"/>
      <name val="Calibri"/>
      <family val="2"/>
      <charset val="204"/>
      <scheme val="minor"/>
    </font>
    <font>
      <b/>
      <sz val="12"/>
      <color theme="1"/>
      <name val="Calibri"/>
      <family val="2"/>
      <charset val="204"/>
      <scheme val="minor"/>
    </font>
    <font>
      <i/>
      <sz val="11"/>
      <color theme="1"/>
      <name val="Calibri"/>
      <family val="2"/>
      <charset val="204"/>
      <scheme val="minor"/>
    </font>
    <font>
      <b/>
      <i/>
      <sz val="11"/>
      <color theme="1"/>
      <name val="Calibri"/>
      <family val="2"/>
      <charset val="204"/>
      <scheme val="minor"/>
    </font>
    <font>
      <b/>
      <sz val="11"/>
      <name val="Arial"/>
      <family val="2"/>
      <charset val="204"/>
    </font>
    <font>
      <b/>
      <sz val="16"/>
      <color theme="1"/>
      <name val="Calibri"/>
      <family val="2"/>
      <charset val="204"/>
      <scheme val="minor"/>
    </font>
  </fonts>
  <fills count="3">
    <fill>
      <patternFill patternType="none"/>
    </fill>
    <fill>
      <patternFill patternType="gray125"/>
    </fill>
    <fill>
      <patternFill patternType="solid">
        <fgColor rgb="FFCC9900"/>
        <bgColor indexed="64"/>
      </patternFill>
    </fill>
  </fills>
  <borders count="16">
    <border>
      <left/>
      <right/>
      <top/>
      <bottom/>
      <diagonal/>
    </border>
    <border>
      <left style="thin">
        <color indexed="64"/>
      </left>
      <right style="thin">
        <color auto="1"/>
      </right>
      <top style="thin">
        <color auto="1"/>
      </top>
      <bottom style="thin">
        <color auto="1"/>
      </bottom>
      <diagonal/>
    </border>
    <border>
      <left style="thin">
        <color theme="0" tint="-4.9989318521683403E-2"/>
      </left>
      <right style="thin">
        <color theme="0" tint="-4.9989318521683403E-2"/>
      </right>
      <top/>
      <bottom style="thin">
        <color theme="0" tint="-4.9989318521683403E-2"/>
      </bottom>
      <diagonal/>
    </border>
    <border>
      <left style="thin">
        <color indexed="64"/>
      </left>
      <right/>
      <top style="thin">
        <color auto="1"/>
      </top>
      <bottom style="thin">
        <color auto="1"/>
      </bottom>
      <diagonal/>
    </border>
    <border>
      <left/>
      <right style="thin">
        <color auto="1"/>
      </right>
      <top style="thin">
        <color auto="1"/>
      </top>
      <bottom style="thin">
        <color auto="1"/>
      </bottom>
      <diagonal/>
    </border>
    <border>
      <left/>
      <right/>
      <top style="thin">
        <color indexed="64"/>
      </top>
      <bottom style="thin">
        <color indexed="64"/>
      </bottom>
      <diagonal/>
    </border>
    <border>
      <left/>
      <right/>
      <top style="thin">
        <color indexed="64"/>
      </top>
      <bottom/>
      <diagonal/>
    </border>
    <border>
      <left style="thin">
        <color indexed="64"/>
      </left>
      <right style="thin">
        <color auto="1"/>
      </right>
      <top style="thin">
        <color auto="1"/>
      </top>
      <bottom/>
      <diagonal/>
    </border>
    <border>
      <left style="thin">
        <color theme="0" tint="-0.14999847407452621"/>
      </left>
      <right style="thin">
        <color theme="0" tint="-0.14999847407452621"/>
      </right>
      <top/>
      <bottom style="thin">
        <color theme="0" tint="-0.14999847407452621"/>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auto="1"/>
      </top>
      <bottom style="thin">
        <color theme="0" tint="-0.14999847407452621"/>
      </bottom>
      <diagonal/>
    </border>
    <border>
      <left/>
      <right/>
      <top style="thin">
        <color auto="1"/>
      </top>
      <bottom style="thin">
        <color theme="0" tint="-0.14999847407452621"/>
      </bottom>
      <diagonal/>
    </border>
    <border>
      <left/>
      <right style="thin">
        <color theme="0" tint="-0.14999847407452621"/>
      </right>
      <top style="thin">
        <color auto="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s>
  <cellStyleXfs count="2">
    <xf numFmtId="0" fontId="0" fillId="0" borderId="0"/>
    <xf numFmtId="0" fontId="1" fillId="0" borderId="0"/>
  </cellStyleXfs>
  <cellXfs count="113">
    <xf numFmtId="0" fontId="0" fillId="0" borderId="0" xfId="0"/>
    <xf numFmtId="0" fontId="6" fillId="0" borderId="0" xfId="0" applyFont="1"/>
    <xf numFmtId="0" fontId="2" fillId="0" borderId="0" xfId="0" applyFont="1"/>
    <xf numFmtId="0" fontId="2" fillId="0" borderId="1" xfId="0" applyFont="1" applyBorder="1"/>
    <xf numFmtId="0" fontId="2" fillId="0" borderId="3" xfId="0" applyFont="1" applyBorder="1"/>
    <xf numFmtId="0" fontId="2" fillId="0" borderId="5" xfId="0" applyFont="1" applyBorder="1"/>
    <xf numFmtId="0" fontId="2" fillId="0" borderId="5" xfId="0" applyFont="1" applyBorder="1" applyAlignment="1">
      <alignment horizontal="right"/>
    </xf>
    <xf numFmtId="0" fontId="2" fillId="0" borderId="3" xfId="0" applyFont="1" applyBorder="1" applyAlignment="1">
      <alignment horizontal="left"/>
    </xf>
    <xf numFmtId="0" fontId="2" fillId="0" borderId="4" xfId="0" applyFont="1" applyBorder="1"/>
    <xf numFmtId="0" fontId="0" fillId="0" borderId="2" xfId="0" applyBorder="1" applyAlignment="1">
      <alignment vertical="center"/>
    </xf>
    <xf numFmtId="0" fontId="2" fillId="0" borderId="2" xfId="0" applyFont="1" applyBorder="1" applyAlignment="1">
      <alignment vertical="center"/>
    </xf>
    <xf numFmtId="49" fontId="4" fillId="0" borderId="2" xfId="0" applyNumberFormat="1" applyFont="1" applyBorder="1" applyAlignment="1">
      <alignment vertical="center"/>
    </xf>
    <xf numFmtId="0" fontId="7" fillId="0" borderId="2" xfId="0" applyFont="1" applyBorder="1" applyAlignment="1">
      <alignment vertical="center"/>
    </xf>
    <xf numFmtId="0" fontId="0" fillId="0" borderId="0" xfId="0" applyAlignment="1">
      <alignment vertical="center"/>
    </xf>
    <xf numFmtId="1" fontId="2" fillId="0" borderId="2" xfId="0" applyNumberFormat="1" applyFont="1" applyBorder="1" applyAlignment="1">
      <alignment vertical="center"/>
    </xf>
    <xf numFmtId="0" fontId="4" fillId="0" borderId="2" xfId="0" applyFont="1" applyBorder="1" applyAlignment="1">
      <alignment vertical="center"/>
    </xf>
    <xf numFmtId="0" fontId="2" fillId="0" borderId="6" xfId="0" applyFont="1" applyBorder="1"/>
    <xf numFmtId="49" fontId="0" fillId="0" borderId="0" xfId="0" applyNumberFormat="1"/>
    <xf numFmtId="0" fontId="0" fillId="0" borderId="1" xfId="0" applyBorder="1"/>
    <xf numFmtId="0" fontId="8" fillId="0" borderId="0" xfId="0" applyFont="1"/>
    <xf numFmtId="0" fontId="5" fillId="0" borderId="0" xfId="0" applyFont="1" applyAlignment="1">
      <alignment horizontal="right"/>
    </xf>
    <xf numFmtId="0" fontId="2" fillId="0" borderId="7" xfId="0" applyFont="1" applyBorder="1"/>
    <xf numFmtId="1" fontId="0" fillId="0" borderId="1" xfId="0" applyNumberFormat="1" applyBorder="1"/>
    <xf numFmtId="49" fontId="0" fillId="0" borderId="1" xfId="0" applyNumberFormat="1" applyBorder="1"/>
    <xf numFmtId="1" fontId="0" fillId="0" borderId="0" xfId="0" applyNumberFormat="1"/>
    <xf numFmtId="0" fontId="2" fillId="0" borderId="0" xfId="0" applyFont="1" applyAlignment="1">
      <alignment vertical="center"/>
    </xf>
    <xf numFmtId="0" fontId="0" fillId="0" borderId="1" xfId="0" applyNumberFormat="1" applyBorder="1"/>
    <xf numFmtId="0" fontId="0" fillId="0" borderId="0" xfId="0"/>
    <xf numFmtId="0" fontId="7" fillId="0" borderId="2" xfId="0" applyFont="1" applyBorder="1" applyAlignment="1">
      <alignment vertical="center" wrapText="1"/>
    </xf>
    <xf numFmtId="0" fontId="0" fillId="2" borderId="0" xfId="0" applyFill="1"/>
    <xf numFmtId="0" fontId="0" fillId="0" borderId="0" xfId="0"/>
    <xf numFmtId="0" fontId="12" fillId="0" borderId="0" xfId="0" applyFont="1"/>
    <xf numFmtId="0" fontId="0" fillId="0" borderId="2" xfId="0" applyBorder="1" applyAlignment="1">
      <alignment vertical="center" wrapText="1"/>
    </xf>
    <xf numFmtId="1" fontId="2" fillId="0" borderId="0" xfId="0" applyNumberFormat="1" applyFont="1" applyAlignment="1">
      <alignment vertical="center"/>
    </xf>
    <xf numFmtId="0" fontId="0" fillId="0" borderId="0" xfId="0" applyAlignment="1">
      <alignment vertical="center" wrapText="1"/>
    </xf>
    <xf numFmtId="49" fontId="4" fillId="0" borderId="0" xfId="0" applyNumberFormat="1" applyFont="1" applyAlignment="1">
      <alignment vertical="center"/>
    </xf>
    <xf numFmtId="0" fontId="7" fillId="0" borderId="0" xfId="0" applyFont="1" applyAlignment="1">
      <alignment vertical="center"/>
    </xf>
    <xf numFmtId="0" fontId="4" fillId="0" borderId="0" xfId="0" applyFont="1" applyAlignment="1">
      <alignment vertical="center"/>
    </xf>
    <xf numFmtId="0" fontId="13" fillId="0" borderId="0" xfId="0" applyFont="1"/>
    <xf numFmtId="0" fontId="14" fillId="0" borderId="3" xfId="0" applyFont="1" applyBorder="1"/>
    <xf numFmtId="0" fontId="14" fillId="0" borderId="5" xfId="0" applyFont="1" applyBorder="1"/>
    <xf numFmtId="0" fontId="13" fillId="0" borderId="2" xfId="0" applyFont="1" applyBorder="1" applyAlignment="1">
      <alignment vertical="center"/>
    </xf>
    <xf numFmtId="0" fontId="13" fillId="0" borderId="0" xfId="0" applyFont="1" applyAlignment="1">
      <alignment vertical="center"/>
    </xf>
    <xf numFmtId="0" fontId="13" fillId="0" borderId="4" xfId="0" applyFont="1" applyBorder="1"/>
    <xf numFmtId="0" fontId="14" fillId="0" borderId="4" xfId="0" applyFont="1" applyBorder="1"/>
    <xf numFmtId="0" fontId="14" fillId="0" borderId="0" xfId="0" applyFont="1" applyAlignment="1">
      <alignment horizontal="right" vertical="center"/>
    </xf>
    <xf numFmtId="0" fontId="13" fillId="0" borderId="5" xfId="0" applyFont="1" applyBorder="1"/>
    <xf numFmtId="0" fontId="13" fillId="0" borderId="2" xfId="0" applyFont="1" applyBorder="1" applyAlignment="1">
      <alignment horizontal="center" vertical="center"/>
    </xf>
    <xf numFmtId="1" fontId="2" fillId="0" borderId="2" xfId="0" applyNumberFormat="1" applyFont="1" applyBorder="1" applyAlignment="1">
      <alignment horizontal="center" vertical="center"/>
    </xf>
    <xf numFmtId="0" fontId="2" fillId="0" borderId="2" xfId="0" applyFont="1" applyBorder="1" applyAlignment="1">
      <alignment horizontal="center" vertical="center"/>
    </xf>
    <xf numFmtId="0" fontId="2" fillId="0" borderId="0" xfId="0" applyFont="1" applyAlignment="1">
      <alignment horizontal="center" vertical="center"/>
    </xf>
    <xf numFmtId="49" fontId="4" fillId="0" borderId="2" xfId="0" applyNumberFormat="1" applyFont="1" applyBorder="1" applyAlignment="1">
      <alignment horizontal="center" vertical="center"/>
    </xf>
    <xf numFmtId="0" fontId="4" fillId="0" borderId="2" xfId="0" applyFont="1" applyBorder="1" applyAlignment="1">
      <alignment horizontal="center" vertical="center"/>
    </xf>
    <xf numFmtId="49" fontId="4" fillId="0" borderId="2" xfId="0" applyNumberFormat="1" applyFont="1" applyFill="1" applyBorder="1" applyAlignment="1">
      <alignment horizontal="center" vertical="center"/>
    </xf>
    <xf numFmtId="0" fontId="13" fillId="0" borderId="2" xfId="0" applyFont="1" applyFill="1" applyBorder="1" applyAlignment="1">
      <alignment horizontal="center" vertical="center"/>
    </xf>
    <xf numFmtId="0" fontId="2" fillId="0" borderId="0" xfId="0" applyFont="1" applyBorder="1"/>
    <xf numFmtId="0" fontId="0" fillId="0" borderId="0" xfId="0" applyBorder="1"/>
    <xf numFmtId="0" fontId="14" fillId="0" borderId="1" xfId="0" applyFont="1" applyBorder="1" applyAlignment="1">
      <alignment horizontal="right"/>
    </xf>
    <xf numFmtId="0" fontId="11" fillId="0" borderId="1" xfId="0" applyFont="1" applyBorder="1" applyAlignment="1">
      <alignment horizontal="left"/>
    </xf>
    <xf numFmtId="0" fontId="13" fillId="0" borderId="1" xfId="0" applyFont="1" applyBorder="1"/>
    <xf numFmtId="0" fontId="14" fillId="0" borderId="5" xfId="0" applyFont="1" applyBorder="1" applyAlignment="1">
      <alignment horizontal="right"/>
    </xf>
    <xf numFmtId="0" fontId="11" fillId="0" borderId="5" xfId="0" applyFont="1" applyBorder="1" applyAlignment="1">
      <alignment horizontal="left"/>
    </xf>
    <xf numFmtId="0" fontId="13" fillId="0" borderId="5" xfId="0" applyFont="1" applyBorder="1" applyAlignment="1">
      <alignment horizontal="right"/>
    </xf>
    <xf numFmtId="0" fontId="0" fillId="0" borderId="5" xfId="0" applyBorder="1" applyAlignment="1">
      <alignment horizontal="left"/>
    </xf>
    <xf numFmtId="49" fontId="15" fillId="0" borderId="0" xfId="0" applyNumberFormat="1" applyFont="1" applyAlignment="1">
      <alignment horizontal="center"/>
    </xf>
    <xf numFmtId="0" fontId="2" fillId="0" borderId="1" xfId="0" applyFont="1" applyBorder="1" applyAlignment="1">
      <alignment horizontal="center" vertical="center"/>
    </xf>
    <xf numFmtId="0" fontId="2" fillId="0" borderId="3" xfId="0" applyFont="1" applyBorder="1" applyAlignment="1">
      <alignment horizontal="center" vertical="center"/>
    </xf>
    <xf numFmtId="0" fontId="14" fillId="0" borderId="3" xfId="0" applyFont="1" applyBorder="1" applyAlignment="1">
      <alignment horizontal="center" vertical="center"/>
    </xf>
    <xf numFmtId="0" fontId="14" fillId="0" borderId="5" xfId="0" applyFont="1" applyBorder="1" applyAlignment="1">
      <alignment horizontal="center" vertical="center"/>
    </xf>
    <xf numFmtId="0" fontId="2" fillId="0" borderId="5" xfId="0" applyFont="1" applyBorder="1" applyAlignment="1">
      <alignment horizontal="center" vertical="center"/>
    </xf>
    <xf numFmtId="0" fontId="14" fillId="0" borderId="4" xfId="0" applyFont="1" applyBorder="1" applyAlignment="1">
      <alignment horizontal="center" vertical="center"/>
    </xf>
    <xf numFmtId="0" fontId="2" fillId="0" borderId="4" xfId="0" applyFont="1" applyBorder="1" applyAlignment="1">
      <alignment horizontal="center" vertical="center"/>
    </xf>
    <xf numFmtId="49" fontId="14" fillId="0" borderId="0" xfId="0" applyNumberFormat="1" applyFont="1" applyAlignment="1">
      <alignment horizontal="center"/>
    </xf>
    <xf numFmtId="49" fontId="0" fillId="0" borderId="0" xfId="0" applyNumberFormat="1" applyAlignment="1">
      <alignment horizontal="left"/>
    </xf>
    <xf numFmtId="49" fontId="2" fillId="0" borderId="0" xfId="0" applyNumberFormat="1" applyFont="1"/>
    <xf numFmtId="2" fontId="0" fillId="0" borderId="0" xfId="0" applyNumberFormat="1" applyAlignment="1">
      <alignment horizontal="center"/>
    </xf>
    <xf numFmtId="2" fontId="2" fillId="0" borderId="0" xfId="0" applyNumberFormat="1" applyFont="1" applyAlignment="1">
      <alignment horizontal="center"/>
    </xf>
    <xf numFmtId="9" fontId="14" fillId="0" borderId="0" xfId="0" applyNumberFormat="1" applyFont="1" applyAlignment="1">
      <alignment horizontal="center"/>
    </xf>
    <xf numFmtId="0" fontId="2" fillId="0" borderId="0" xfId="0" applyFont="1" applyAlignment="1">
      <alignment horizontal="center"/>
    </xf>
    <xf numFmtId="0" fontId="16" fillId="0" borderId="0" xfId="0" applyFont="1"/>
    <xf numFmtId="0" fontId="0" fillId="0" borderId="1" xfId="0" applyFont="1" applyBorder="1"/>
    <xf numFmtId="0" fontId="0" fillId="0" borderId="3" xfId="0" applyFont="1" applyBorder="1"/>
    <xf numFmtId="0" fontId="0" fillId="0" borderId="0" xfId="0" applyAlignment="1">
      <alignment horizontal="center"/>
    </xf>
    <xf numFmtId="49" fontId="15" fillId="0" borderId="1" xfId="0" applyNumberFormat="1" applyFont="1" applyBorder="1" applyAlignment="1">
      <alignment horizontal="center"/>
    </xf>
    <xf numFmtId="0" fontId="0" fillId="0" borderId="0" xfId="0" applyAlignment="1">
      <alignment wrapText="1"/>
    </xf>
    <xf numFmtId="14" fontId="2" fillId="0" borderId="0" xfId="0" applyNumberFormat="1" applyFont="1"/>
    <xf numFmtId="14" fontId="2" fillId="0" borderId="0" xfId="0" applyNumberFormat="1" applyFont="1" applyAlignment="1">
      <alignment horizontal="right"/>
    </xf>
    <xf numFmtId="0" fontId="14" fillId="0" borderId="1" xfId="0" applyFont="1" applyBorder="1" applyAlignment="1">
      <alignment horizontal="center" vertical="center"/>
    </xf>
    <xf numFmtId="0" fontId="2" fillId="0" borderId="1" xfId="0" applyFont="1" applyBorder="1" applyAlignment="1">
      <alignment horizontal="center" vertical="center" wrapText="1"/>
    </xf>
    <xf numFmtId="0" fontId="14" fillId="0" borderId="1" xfId="0" applyFont="1" applyBorder="1" applyAlignment="1">
      <alignment horizontal="center" vertical="center" wrapText="1"/>
    </xf>
    <xf numFmtId="0" fontId="0" fillId="0" borderId="8" xfId="0" applyBorder="1"/>
    <xf numFmtId="0" fontId="0" fillId="0" borderId="9" xfId="0" applyBorder="1"/>
    <xf numFmtId="0" fontId="2" fillId="0" borderId="0" xfId="0" applyFont="1" applyAlignment="1">
      <alignment horizontal="right" vertical="center"/>
    </xf>
    <xf numFmtId="1" fontId="2" fillId="0" borderId="0" xfId="0" applyNumberFormat="1" applyFont="1" applyAlignment="1">
      <alignment vertical="center" wrapText="1"/>
    </xf>
    <xf numFmtId="0" fontId="2" fillId="0" borderId="0" xfId="0" applyFont="1" applyAlignment="1">
      <alignment vertical="center" wrapText="1"/>
    </xf>
    <xf numFmtId="0" fontId="2" fillId="0" borderId="1" xfId="0" applyFont="1" applyBorder="1" applyAlignment="1">
      <alignment horizontal="center"/>
    </xf>
    <xf numFmtId="0" fontId="14" fillId="0" borderId="1" xfId="0" applyFont="1" applyBorder="1" applyAlignment="1">
      <alignment horizontal="center"/>
    </xf>
    <xf numFmtId="0" fontId="11" fillId="0" borderId="1" xfId="0" applyFont="1" applyBorder="1" applyAlignment="1">
      <alignment horizontal="center"/>
    </xf>
    <xf numFmtId="0" fontId="2" fillId="0" borderId="8" xfId="0" applyFont="1" applyBorder="1" applyAlignment="1">
      <alignment horizontal="center"/>
    </xf>
    <xf numFmtId="0" fontId="0" fillId="0" borderId="8" xfId="0" applyBorder="1" applyAlignment="1">
      <alignment horizontal="center"/>
    </xf>
    <xf numFmtId="0" fontId="2" fillId="0" borderId="9" xfId="0" applyFont="1" applyBorder="1" applyAlignment="1">
      <alignment horizontal="center"/>
    </xf>
    <xf numFmtId="0" fontId="0" fillId="0" borderId="9" xfId="0" applyBorder="1" applyAlignment="1">
      <alignment horizontal="center"/>
    </xf>
    <xf numFmtId="0" fontId="2" fillId="0" borderId="3" xfId="0" applyFont="1" applyBorder="1" applyAlignment="1">
      <alignment horizontal="center"/>
    </xf>
    <xf numFmtId="0" fontId="2" fillId="0" borderId="5" xfId="0" applyFont="1" applyBorder="1" applyAlignment="1">
      <alignment horizontal="center"/>
    </xf>
    <xf numFmtId="0" fontId="2" fillId="0" borderId="4" xfId="0" applyFont="1" applyBorder="1" applyAlignment="1">
      <alignment horizontal="center"/>
    </xf>
    <xf numFmtId="0" fontId="2" fillId="0" borderId="10" xfId="0" applyFont="1" applyBorder="1" applyAlignment="1">
      <alignment horizontal="center"/>
    </xf>
    <xf numFmtId="0" fontId="2" fillId="0" borderId="11" xfId="0" applyFont="1" applyBorder="1" applyAlignment="1">
      <alignment horizontal="center"/>
    </xf>
    <xf numFmtId="0" fontId="2" fillId="0" borderId="12" xfId="0" applyFont="1" applyBorder="1" applyAlignment="1">
      <alignment horizontal="center"/>
    </xf>
    <xf numFmtId="0" fontId="2" fillId="0" borderId="13" xfId="0" applyFont="1" applyBorder="1" applyAlignment="1">
      <alignment horizontal="center"/>
    </xf>
    <xf numFmtId="0" fontId="2" fillId="0" borderId="14" xfId="0" applyFont="1" applyBorder="1" applyAlignment="1">
      <alignment horizontal="center"/>
    </xf>
    <xf numFmtId="0" fontId="2" fillId="0" borderId="15" xfId="0" applyFont="1" applyBorder="1" applyAlignment="1">
      <alignment horizontal="center"/>
    </xf>
    <xf numFmtId="49" fontId="4" fillId="2" borderId="2" xfId="0" applyNumberFormat="1" applyFont="1" applyFill="1" applyBorder="1" applyAlignment="1">
      <alignment horizontal="center" vertical="center"/>
    </xf>
    <xf numFmtId="0" fontId="2" fillId="0" borderId="9" xfId="0" applyFont="1" applyBorder="1"/>
  </cellXfs>
  <cellStyles count="2">
    <cellStyle name="Обычный" xfId="0" builtinId="0"/>
    <cellStyle name="Обычный 3" xfId="1" xr:uid="{00000000-0005-0000-0000-000001000000}"/>
  </cellStyles>
  <dxfs count="1464">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
      <font>
        <u/>
      </font>
    </dxf>
    <dxf>
      <font>
        <u val="double"/>
      </font>
    </dxf>
    <dxf>
      <font>
        <u/>
      </font>
    </dxf>
    <dxf>
      <font>
        <u val="double"/>
      </font>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
      <fill>
        <patternFill>
          <fgColor indexed="64"/>
          <bgColor rgb="FFFFFF99"/>
        </patternFill>
      </fill>
    </dxf>
    <dxf>
      <fill>
        <patternFill>
          <fgColor indexed="64"/>
          <bgColor rgb="FFFFFF99"/>
        </patternFill>
      </fill>
    </dxf>
    <dxf>
      <font>
        <u/>
      </font>
    </dxf>
    <dxf>
      <font>
        <u val="double"/>
      </font>
    </dxf>
    <dxf>
      <font>
        <u/>
      </font>
    </dxf>
    <dxf>
      <font>
        <u val="double"/>
      </font>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
      <fill>
        <patternFill>
          <fgColor indexed="64"/>
          <bgColor rgb="FFFFFF99"/>
        </patternFill>
      </fill>
    </dxf>
    <dxf>
      <font>
        <u/>
      </font>
    </dxf>
    <dxf>
      <font>
        <u val="double"/>
      </font>
    </dxf>
    <dxf>
      <font>
        <u/>
      </font>
    </dxf>
    <dxf>
      <font>
        <u val="double"/>
      </font>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
      <font>
        <u/>
      </font>
    </dxf>
    <dxf>
      <font>
        <u val="double"/>
      </font>
    </dxf>
    <dxf>
      <font>
        <u/>
      </font>
    </dxf>
    <dxf>
      <font>
        <u val="double"/>
      </font>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
      <fill>
        <patternFill>
          <fgColor indexed="64"/>
          <bgColor rgb="FFFFFF99"/>
        </patternFill>
      </fill>
    </dxf>
    <dxf>
      <fill>
        <patternFill>
          <fgColor indexed="64"/>
          <bgColor rgb="FFFFFF99"/>
        </patternFill>
      </fill>
    </dxf>
    <dxf>
      <font>
        <u/>
      </font>
    </dxf>
    <dxf>
      <font>
        <u val="double"/>
      </font>
    </dxf>
    <dxf>
      <font>
        <u/>
      </font>
    </dxf>
    <dxf>
      <font>
        <u val="double"/>
      </font>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
      <fill>
        <patternFill>
          <fgColor indexed="64"/>
          <bgColor rgb="FFFFFF99"/>
        </patternFill>
      </fill>
    </dxf>
    <dxf>
      <font>
        <u/>
      </font>
    </dxf>
    <dxf>
      <font>
        <u val="double"/>
      </font>
    </dxf>
    <dxf>
      <font>
        <u/>
      </font>
    </dxf>
    <dxf>
      <font>
        <u val="double"/>
      </font>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s>
  <tableStyles count="0" defaultTableStyle="TableStyleMedium9" defaultPivotStyle="PivotStyleLight16"/>
  <colors>
    <mruColors>
      <color rgb="FFFFFF99"/>
      <color rgb="FFCC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38100</xdr:colOff>
          <xdr:row>52</xdr:row>
          <xdr:rowOff>152400</xdr:rowOff>
        </xdr:from>
        <xdr:to>
          <xdr:col>4</xdr:col>
          <xdr:colOff>419100</xdr:colOff>
          <xdr:row>54</xdr:row>
          <xdr:rowOff>161925</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000-000001B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uk-UA" sz="1100" b="0" i="0" u="none" strike="noStrike" baseline="0">
                  <a:solidFill>
                    <a:srgbClr val="000000"/>
                  </a:solidFill>
                  <a:latin typeface="Calibri"/>
                </a:rPr>
                <a:t>Синхронизация Таблицы Замены</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14</xdr:col>
          <xdr:colOff>0</xdr:colOff>
          <xdr:row>0</xdr:row>
          <xdr:rowOff>180975</xdr:rowOff>
        </xdr:from>
        <xdr:to>
          <xdr:col>15</xdr:col>
          <xdr:colOff>1666875</xdr:colOff>
          <xdr:row>1</xdr:row>
          <xdr:rowOff>228600</xdr:rowOff>
        </xdr:to>
        <xdr:sp macro="" textlink="">
          <xdr:nvSpPr>
            <xdr:cNvPr id="44020" name="Button 1012" hidden="1">
              <a:extLst>
                <a:ext uri="{63B3BB69-23CF-44E3-9099-C40C66FF867C}">
                  <a14:compatExt spid="_x0000_s44020"/>
                </a:ext>
                <a:ext uri="{FF2B5EF4-FFF2-40B4-BE49-F238E27FC236}">
                  <a16:creationId xmlns:a16="http://schemas.microsoft.com/office/drawing/2014/main" id="{00000000-0008-0000-0100-0000F4AB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uk-UA" sz="1100" b="0" i="0" u="none" strike="noStrike" baseline="0">
                  <a:solidFill>
                    <a:srgbClr val="000000"/>
                  </a:solidFill>
                  <a:latin typeface="Calibri"/>
                </a:rPr>
                <a:t>Панель инструментов</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125185</xdr:colOff>
          <xdr:row>0</xdr:row>
          <xdr:rowOff>170089</xdr:rowOff>
        </xdr:from>
        <xdr:to>
          <xdr:col>16</xdr:col>
          <xdr:colOff>1238250</xdr:colOff>
          <xdr:row>1</xdr:row>
          <xdr:rowOff>217714</xdr:rowOff>
        </xdr:to>
        <xdr:sp macro="" textlink="">
          <xdr:nvSpPr>
            <xdr:cNvPr id="44033" name="Button 1025" hidden="1">
              <a:extLst>
                <a:ext uri="{63B3BB69-23CF-44E3-9099-C40C66FF867C}">
                  <a14:compatExt spid="_x0000_s44033"/>
                </a:ext>
                <a:ext uri="{FF2B5EF4-FFF2-40B4-BE49-F238E27FC236}">
                  <a16:creationId xmlns:a16="http://schemas.microsoft.com/office/drawing/2014/main" id="{BAE0F632-D37C-4CAB-B253-FA6B9220DE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uk-UA" sz="1100" b="0" i="0" u="none" strike="noStrike" baseline="0">
                  <a:solidFill>
                    <a:srgbClr val="000000"/>
                  </a:solidFill>
                  <a:latin typeface="Calibri"/>
                </a:rPr>
                <a:t>Ended</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14</xdr:col>
          <xdr:colOff>0</xdr:colOff>
          <xdr:row>0</xdr:row>
          <xdr:rowOff>180975</xdr:rowOff>
        </xdr:from>
        <xdr:to>
          <xdr:col>15</xdr:col>
          <xdr:colOff>1666875</xdr:colOff>
          <xdr:row>1</xdr:row>
          <xdr:rowOff>228600</xdr:rowOff>
        </xdr:to>
        <xdr:sp macro="" textlink="">
          <xdr:nvSpPr>
            <xdr:cNvPr id="51201" name="Button 1" hidden="1">
              <a:extLst>
                <a:ext uri="{63B3BB69-23CF-44E3-9099-C40C66FF867C}">
                  <a14:compatExt spid="_x0000_s51201"/>
                </a:ext>
                <a:ext uri="{FF2B5EF4-FFF2-40B4-BE49-F238E27FC236}">
                  <a16:creationId xmlns:a16="http://schemas.microsoft.com/office/drawing/2014/main" id="{92673700-A7A3-46D5-A2DF-41A5271F2FCF}"/>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uk-UA" sz="1100" b="0" i="0" u="none" strike="noStrike" baseline="0">
                  <a:solidFill>
                    <a:srgbClr val="000000"/>
                  </a:solidFill>
                  <a:latin typeface="Calibri"/>
                </a:rPr>
                <a:t>Панель инструментов</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125185</xdr:colOff>
          <xdr:row>0</xdr:row>
          <xdr:rowOff>170089</xdr:rowOff>
        </xdr:from>
        <xdr:to>
          <xdr:col>16</xdr:col>
          <xdr:colOff>1238250</xdr:colOff>
          <xdr:row>1</xdr:row>
          <xdr:rowOff>217714</xdr:rowOff>
        </xdr:to>
        <xdr:sp macro="" textlink="">
          <xdr:nvSpPr>
            <xdr:cNvPr id="51202" name="Button 2" hidden="1">
              <a:extLst>
                <a:ext uri="{63B3BB69-23CF-44E3-9099-C40C66FF867C}">
                  <a14:compatExt spid="_x0000_s51202"/>
                </a:ext>
                <a:ext uri="{FF2B5EF4-FFF2-40B4-BE49-F238E27FC236}">
                  <a16:creationId xmlns:a16="http://schemas.microsoft.com/office/drawing/2014/main" id="{A4D327FB-5E8D-461F-BDCF-A2F2F4F96CF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uk-UA" sz="1100" b="0" i="0" u="none" strike="noStrike" baseline="0">
                  <a:solidFill>
                    <a:srgbClr val="000000"/>
                  </a:solidFill>
                  <a:latin typeface="Calibri"/>
                </a:rPr>
                <a:t>Ended</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Стандартная">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2.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mments" Target="../comments3.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533832-2D9D-4554-840F-EF180AB81780}">
  <sheetPr codeName="Лист1"/>
  <dimension ref="A1:AI249"/>
  <sheetViews>
    <sheetView topLeftCell="A34" workbookViewId="0">
      <selection activeCell="A52" sqref="A52:XFD63"/>
    </sheetView>
  </sheetViews>
  <sheetFormatPr defaultRowHeight="15" x14ac:dyDescent="0.25"/>
  <cols>
    <col min="1" max="1" width="50.85546875" customWidth="1"/>
    <col min="2" max="2" width="52" customWidth="1"/>
  </cols>
  <sheetData>
    <row r="1" spans="1:29" s="27" customFormat="1" x14ac:dyDescent="0.25">
      <c r="A1" s="30" t="s">
        <v>42</v>
      </c>
      <c r="B1" s="30"/>
      <c r="C1" s="30"/>
      <c r="D1" s="30"/>
      <c r="E1" s="30"/>
      <c r="F1" s="30"/>
      <c r="G1" s="30"/>
      <c r="H1" s="30"/>
      <c r="I1" s="30"/>
      <c r="J1" s="30"/>
      <c r="K1" s="30"/>
      <c r="L1" s="30"/>
      <c r="M1" s="30"/>
      <c r="N1" s="30"/>
      <c r="O1" s="30"/>
      <c r="P1" s="30"/>
      <c r="Q1" s="30"/>
      <c r="R1" s="30"/>
      <c r="S1" s="30"/>
      <c r="T1" s="30"/>
      <c r="U1" s="30"/>
      <c r="V1" s="30"/>
      <c r="W1" s="30"/>
      <c r="X1" s="30"/>
      <c r="Y1" s="30"/>
      <c r="Z1" s="30"/>
      <c r="AA1" s="30"/>
      <c r="AB1" s="30"/>
      <c r="AC1" s="30"/>
    </row>
    <row r="2" spans="1:29" ht="18.75" x14ac:dyDescent="0.3">
      <c r="A2" s="1" t="s">
        <v>61</v>
      </c>
      <c r="B2" s="30"/>
      <c r="C2" s="30"/>
      <c r="D2" s="30"/>
      <c r="E2" s="30"/>
      <c r="F2" s="30"/>
      <c r="G2" s="30"/>
      <c r="H2" s="30"/>
      <c r="I2" s="30"/>
      <c r="J2" s="30"/>
      <c r="K2" s="30"/>
      <c r="L2" s="30"/>
      <c r="M2" s="30"/>
      <c r="N2" s="30"/>
      <c r="O2" s="30"/>
      <c r="P2" s="30"/>
      <c r="Q2" s="30"/>
      <c r="R2" s="30"/>
      <c r="S2" s="30"/>
      <c r="T2" s="30"/>
      <c r="U2" s="30"/>
      <c r="V2" s="30"/>
      <c r="W2" s="30"/>
      <c r="X2" s="30"/>
      <c r="Y2" s="30"/>
      <c r="Z2" s="30"/>
      <c r="AA2" s="30"/>
      <c r="AB2" s="30"/>
      <c r="AC2" s="30"/>
    </row>
    <row r="3" spans="1:29" x14ac:dyDescent="0.25">
      <c r="A3" s="30"/>
      <c r="B3" s="30"/>
      <c r="C3" s="30"/>
      <c r="D3" s="30"/>
      <c r="E3" s="30"/>
      <c r="F3" s="30"/>
      <c r="G3" s="30"/>
      <c r="H3" s="30"/>
      <c r="I3" s="30"/>
      <c r="J3" s="30"/>
      <c r="K3" s="30"/>
      <c r="L3" s="30"/>
      <c r="M3" s="30"/>
      <c r="N3" s="30"/>
      <c r="O3" s="30"/>
      <c r="P3" s="30"/>
      <c r="Q3" s="30"/>
      <c r="R3" s="30"/>
      <c r="S3" s="30"/>
      <c r="T3" s="30"/>
      <c r="U3" s="30"/>
      <c r="V3" s="30"/>
      <c r="W3" s="30"/>
      <c r="X3" s="30"/>
      <c r="Y3" s="30"/>
      <c r="Z3" s="30"/>
      <c r="AA3" s="30"/>
      <c r="AB3" s="30"/>
      <c r="AC3" s="30"/>
    </row>
    <row r="4" spans="1:29" x14ac:dyDescent="0.25">
      <c r="A4" s="2" t="s">
        <v>38</v>
      </c>
      <c r="B4" s="30"/>
      <c r="C4" s="30"/>
      <c r="D4" s="30"/>
      <c r="E4" s="30"/>
      <c r="F4" s="30"/>
      <c r="G4" s="30"/>
      <c r="H4" s="30"/>
      <c r="I4" s="30"/>
      <c r="J4" s="30"/>
      <c r="K4" s="30"/>
      <c r="L4" s="30"/>
      <c r="M4" s="30"/>
      <c r="N4" s="30"/>
      <c r="O4" s="30"/>
      <c r="P4" s="30"/>
      <c r="Q4" s="30"/>
      <c r="R4" s="30"/>
      <c r="S4" s="30"/>
      <c r="T4" s="30"/>
      <c r="U4" s="30"/>
      <c r="V4" s="30"/>
      <c r="W4" s="30"/>
      <c r="X4" s="30"/>
      <c r="Y4" s="30"/>
      <c r="Z4" s="30"/>
      <c r="AA4" s="30"/>
      <c r="AB4" s="30"/>
      <c r="AC4" s="30"/>
    </row>
    <row r="5" spans="1:29" x14ac:dyDescent="0.25">
      <c r="A5" s="9" t="str">
        <f>CONCATENATE(O5,".",LEFT(J5))</f>
        <v>.0</v>
      </c>
      <c r="B5" s="32" t="str">
        <f>CONCATENATE(IF(OR(Y5="Не определена",Y5,ISBLANK(Y5)),"↕",),IF(Y5="Не обязательна","±",),Q5,".",P5)</f>
        <v>↕.</v>
      </c>
      <c r="C5" s="47"/>
      <c r="D5" s="47"/>
      <c r="E5" s="48">
        <f>IF(M5="скрутка",T5+$Q$1,IF(M5="склейка",T5+$Q$1,IF(M5="запил торца",ROUND(T5+$P$1,0),IF(M5="запил торцов",ROUND(T5+$P$1*2,0),T5))))+IF(G5=$O$1,$P$1,)+IF(H5=$O$1,$P$1,)</f>
        <v>0</v>
      </c>
      <c r="F5" s="48">
        <f>IF(M5="скрутка",U5+$Q$1,IF(M5="склейка",U5+$Q$1,IF(M5="запил торца",ROUND(U5+$P$1,0),IF(M5="запил торцов",ROUND(U5+$P$1*2,0),U5))))+IF(C5=$O$1,$P$1,)+IF(D5=$O$1,$P$1,)</f>
        <v>0</v>
      </c>
      <c r="G5" s="47"/>
      <c r="H5" s="47"/>
      <c r="I5" s="49">
        <f>IF(OR(M5="скрутка",M5="склейка"),Z5*2,Z5)</f>
        <v>0</v>
      </c>
      <c r="J5" s="51">
        <f>X5</f>
        <v>0</v>
      </c>
      <c r="K5" s="52" t="str">
        <f t="shared" ref="K5:L5" si="0">IF(ISBLANK(AB5),"",AB5)</f>
        <v/>
      </c>
      <c r="L5" s="52" t="str">
        <f t="shared" si="0"/>
        <v/>
      </c>
      <c r="M5" s="51" t="str">
        <f>IF(AA5="","",AA5)</f>
        <v/>
      </c>
      <c r="N5" s="30" t="str">
        <f>CONCATENATE(IF(E5&lt;&gt;T5,"НеРавны",),IF(AND(NOT(ISBLANK(R5)),R5&lt;&gt;T5),"Д",),IF(AND(NOT(ISBLANK(S5)),S5&lt;&gt;U5),"Ш",))</f>
        <v/>
      </c>
      <c r="O5" s="22"/>
      <c r="P5" s="18"/>
      <c r="Q5" s="18"/>
      <c r="R5" s="18"/>
      <c r="S5" s="18"/>
      <c r="T5" s="3"/>
      <c r="U5" s="3"/>
      <c r="V5" s="23"/>
      <c r="W5" s="23"/>
      <c r="X5" s="18"/>
      <c r="Y5" s="18"/>
      <c r="Z5" s="18"/>
      <c r="AA5" s="18"/>
      <c r="AB5" s="18"/>
      <c r="AC5" s="18"/>
    </row>
    <row r="6" spans="1:29" x14ac:dyDescent="0.25">
      <c r="A6" s="30"/>
      <c r="B6" s="30"/>
      <c r="C6" s="30"/>
      <c r="D6" s="30"/>
      <c r="E6" s="30"/>
      <c r="F6" s="30"/>
      <c r="G6" s="30"/>
      <c r="H6" s="30"/>
      <c r="I6" s="30"/>
      <c r="J6" s="30"/>
      <c r="K6" s="30"/>
      <c r="L6" s="30"/>
      <c r="M6" s="30"/>
      <c r="N6" s="30"/>
      <c r="O6" s="30"/>
      <c r="P6" s="30"/>
      <c r="Q6" s="30"/>
      <c r="R6" s="30"/>
      <c r="S6" s="30"/>
      <c r="T6" s="30"/>
      <c r="U6" s="30"/>
      <c r="V6" s="30"/>
      <c r="W6" s="30"/>
      <c r="X6" s="30"/>
      <c r="Y6" s="30"/>
      <c r="Z6" s="30"/>
      <c r="AA6" s="30"/>
      <c r="AB6" s="30"/>
      <c r="AC6" s="30"/>
    </row>
    <row r="7" spans="1:29" x14ac:dyDescent="0.25">
      <c r="A7" s="30"/>
      <c r="B7" s="30"/>
      <c r="C7" s="30"/>
      <c r="D7" s="30"/>
      <c r="E7" s="30"/>
      <c r="F7" s="30"/>
      <c r="G7" s="30"/>
      <c r="H7" s="30"/>
      <c r="I7" s="30"/>
      <c r="J7" s="30"/>
      <c r="K7" s="30"/>
      <c r="L7" s="30"/>
      <c r="M7" s="30"/>
      <c r="N7" s="30"/>
      <c r="O7" s="30"/>
      <c r="P7" s="30"/>
      <c r="Q7" s="30"/>
      <c r="R7" s="30"/>
      <c r="S7" s="30"/>
      <c r="T7" s="30"/>
      <c r="U7" s="30"/>
      <c r="V7" s="30"/>
      <c r="W7" s="30"/>
      <c r="X7" s="30"/>
      <c r="Y7" s="30"/>
      <c r="Z7" s="30"/>
      <c r="AA7" s="30"/>
      <c r="AB7" s="30"/>
      <c r="AC7" s="30"/>
    </row>
    <row r="8" spans="1:29" x14ac:dyDescent="0.25">
      <c r="A8" s="30"/>
      <c r="B8" s="30"/>
      <c r="C8" s="30"/>
      <c r="D8" s="30"/>
      <c r="E8" s="30"/>
      <c r="F8" s="30"/>
      <c r="G8" s="30"/>
      <c r="H8" s="30"/>
      <c r="I8" s="30"/>
      <c r="J8" s="30"/>
      <c r="K8" s="30"/>
      <c r="L8" s="30"/>
      <c r="M8" s="30"/>
      <c r="N8" s="30"/>
      <c r="O8" s="30"/>
      <c r="P8" s="30"/>
      <c r="Q8" s="30"/>
      <c r="R8" s="30"/>
      <c r="S8" s="30"/>
      <c r="T8" s="30"/>
      <c r="U8" s="30"/>
      <c r="V8" s="30"/>
      <c r="W8" s="30"/>
      <c r="X8" s="30"/>
      <c r="Y8" s="30"/>
      <c r="Z8" s="30"/>
      <c r="AA8" s="30"/>
      <c r="AB8" s="30"/>
      <c r="AC8" s="30"/>
    </row>
    <row r="9" spans="1:29" x14ac:dyDescent="0.25">
      <c r="A9" s="2" t="s">
        <v>41</v>
      </c>
      <c r="B9" s="30"/>
      <c r="C9" s="30"/>
      <c r="D9" s="30"/>
      <c r="E9" s="30"/>
      <c r="F9" s="30"/>
      <c r="G9" s="30"/>
      <c r="H9" s="30"/>
      <c r="I9" s="30"/>
      <c r="J9" s="30"/>
      <c r="K9" s="30"/>
      <c r="L9" s="30"/>
      <c r="M9" s="30"/>
      <c r="N9" s="30"/>
      <c r="O9" s="30"/>
      <c r="P9" s="30"/>
      <c r="Q9" s="30"/>
      <c r="R9" s="30"/>
      <c r="S9" s="30"/>
      <c r="T9" s="30"/>
      <c r="U9" s="30"/>
      <c r="V9" s="30"/>
      <c r="W9" s="30"/>
      <c r="X9" s="30"/>
      <c r="Y9" s="30"/>
      <c r="Z9" s="30"/>
      <c r="AA9" s="30"/>
      <c r="AB9" s="30"/>
      <c r="AC9" s="30"/>
    </row>
    <row r="10" spans="1:29" x14ac:dyDescent="0.25">
      <c r="A10" s="3"/>
      <c r="B10" s="4"/>
      <c r="C10" s="46"/>
      <c r="D10" s="62"/>
      <c r="E10" s="63"/>
      <c r="F10" s="5"/>
      <c r="G10" s="43"/>
      <c r="H10" s="59"/>
      <c r="I10" s="18"/>
      <c r="J10" s="3"/>
      <c r="K10" s="3"/>
      <c r="L10" s="55"/>
      <c r="M10" s="56"/>
      <c r="N10" s="30"/>
      <c r="O10" s="30"/>
      <c r="P10" s="30"/>
      <c r="Q10" s="30"/>
      <c r="R10" s="30"/>
      <c r="S10" s="30"/>
      <c r="T10" s="30"/>
      <c r="U10" s="30"/>
      <c r="V10" s="30"/>
      <c r="W10" s="30"/>
      <c r="X10" s="30"/>
      <c r="Y10" s="30"/>
      <c r="Z10" s="30"/>
      <c r="AA10" s="30"/>
      <c r="AB10" s="30"/>
      <c r="AC10" s="30"/>
    </row>
    <row r="11" spans="1:29" x14ac:dyDescent="0.25">
      <c r="A11" s="30"/>
      <c r="B11" s="30"/>
      <c r="C11" s="30"/>
      <c r="D11" s="30"/>
      <c r="E11" s="30"/>
      <c r="F11" s="30"/>
      <c r="G11" s="30"/>
      <c r="H11" s="30"/>
      <c r="I11" s="30"/>
      <c r="J11" s="30"/>
      <c r="K11" s="30"/>
      <c r="L11" s="30"/>
      <c r="M11" s="30"/>
      <c r="N11" s="30"/>
      <c r="O11" s="30"/>
      <c r="P11" s="30"/>
      <c r="Q11" s="30"/>
      <c r="R11" s="30"/>
      <c r="S11" s="30"/>
      <c r="T11" s="30"/>
      <c r="U11" s="30"/>
      <c r="V11" s="30"/>
      <c r="W11" s="30"/>
      <c r="X11" s="30"/>
      <c r="Y11" s="30"/>
      <c r="Z11" s="30"/>
      <c r="AA11" s="30"/>
      <c r="AB11" s="30"/>
      <c r="AC11" s="30"/>
    </row>
    <row r="12" spans="1:29" x14ac:dyDescent="0.25">
      <c r="A12" s="30"/>
      <c r="B12" s="30"/>
      <c r="C12" s="30"/>
      <c r="D12" s="30"/>
      <c r="E12" s="30"/>
      <c r="F12" s="30"/>
      <c r="G12" s="30"/>
      <c r="H12" s="30"/>
      <c r="I12" s="30"/>
      <c r="J12" s="30"/>
      <c r="K12" s="30"/>
      <c r="L12" s="30"/>
      <c r="M12" s="30"/>
      <c r="N12" s="30"/>
      <c r="O12" s="30"/>
      <c r="P12" s="30"/>
      <c r="Q12" s="30"/>
      <c r="R12" s="30"/>
      <c r="S12" s="30"/>
      <c r="T12" s="30"/>
      <c r="U12" s="30"/>
      <c r="V12" s="30"/>
      <c r="W12" s="30"/>
      <c r="X12" s="30"/>
      <c r="Y12" s="30"/>
      <c r="Z12" s="30"/>
      <c r="AA12" s="30"/>
      <c r="AB12" s="30"/>
      <c r="AC12" s="30"/>
    </row>
    <row r="13" spans="1:29" x14ac:dyDescent="0.25">
      <c r="A13" s="30"/>
      <c r="B13" s="30"/>
      <c r="C13" s="30"/>
      <c r="D13" s="30"/>
      <c r="E13" s="30"/>
      <c r="F13" s="30"/>
      <c r="G13" s="30"/>
      <c r="H13" s="30"/>
      <c r="I13" s="30"/>
      <c r="J13" s="30"/>
      <c r="K13" s="30"/>
      <c r="L13" s="30"/>
      <c r="M13" s="30"/>
      <c r="N13" s="30"/>
      <c r="O13" s="30"/>
      <c r="P13" s="30"/>
      <c r="Q13" s="30"/>
      <c r="R13" s="30"/>
      <c r="S13" s="30"/>
      <c r="T13" s="30"/>
      <c r="U13" s="30"/>
      <c r="V13" s="30"/>
      <c r="W13" s="30"/>
      <c r="X13" s="30"/>
      <c r="Y13" s="30"/>
      <c r="Z13" s="30"/>
      <c r="AA13" s="30"/>
      <c r="AB13" s="30"/>
      <c r="AC13" s="30"/>
    </row>
    <row r="14" spans="1:29" x14ac:dyDescent="0.25">
      <c r="A14" s="2" t="s">
        <v>39</v>
      </c>
      <c r="B14" s="30"/>
      <c r="C14" s="30"/>
      <c r="D14" s="30"/>
      <c r="E14" s="30"/>
      <c r="F14" s="30"/>
      <c r="G14" s="30"/>
      <c r="H14" s="30"/>
      <c r="I14" s="30"/>
      <c r="J14" s="30"/>
      <c r="K14" s="30"/>
      <c r="L14" s="30"/>
      <c r="M14" s="30"/>
      <c r="N14" s="30"/>
      <c r="O14" s="30"/>
      <c r="P14" s="30"/>
      <c r="Q14" s="30"/>
      <c r="R14" s="30"/>
      <c r="S14" s="30"/>
      <c r="T14" s="30"/>
      <c r="U14" s="30"/>
      <c r="V14" s="30"/>
      <c r="W14" s="30"/>
      <c r="X14" s="30"/>
      <c r="Y14" s="30"/>
      <c r="Z14" s="30"/>
      <c r="AA14" s="30"/>
      <c r="AB14" s="30"/>
      <c r="AC14" s="30"/>
    </row>
    <row r="15" spans="1:29" x14ac:dyDescent="0.25">
      <c r="A15" s="9" t="str">
        <f>CONCATENATE(O15,".",LEFT(J15))</f>
        <v>.0</v>
      </c>
      <c r="B15" s="9"/>
      <c r="C15" s="9"/>
      <c r="D15" s="14">
        <f>IF(M15="скрутка",T15+$Q$1,IF(M15="склейка",T15+$Q$1,IF(M15="запил торца",ROUND(T15+$P$1,0),IF(M15="запил торцов",ROUND(T15+$P$1*2,0),T15))))+IF(F15=$O$1,$P$1,)+IF(G15=$O$1,$P$1,)</f>
        <v>0</v>
      </c>
      <c r="E15" s="14">
        <f>IF(M15="скрутка",U15+$Q$1,IF(M15="склейка",U15+$Q$1,IF(M15="запил торца",ROUND(U15+$P$1,0),IF(M15="запил торцов",ROUND(U15+$P$1*2,0),U15))))+IF(B15=$O$1,$P$1,)+IF(C15=$O$1,$P$1,)</f>
        <v>0</v>
      </c>
      <c r="F15" s="9"/>
      <c r="G15" s="9"/>
      <c r="H15" s="10">
        <f>IF(OR(M15="скрутка",M15="склейка"),Z15*2,Z15)</f>
        <v>0</v>
      </c>
      <c r="I15" s="32" t="str">
        <f>CONCATENATE(IF(OR(Y15="Не определена",Y15,ISBLANK(Y15)),"↕",),IF(Y15="Не обязательна","±",),P15,"_",Q15)</f>
        <v>↕_</v>
      </c>
      <c r="J15" s="11">
        <f>X15</f>
        <v>0</v>
      </c>
      <c r="K15" s="32"/>
      <c r="L15" s="32"/>
      <c r="M15" s="28" t="str">
        <f>IF(AA15="","",AA15)</f>
        <v/>
      </c>
      <c r="N15" s="30" t="str">
        <f>CONCATENATE(IF(D15&lt;&gt;T15,"НеРавны",),IF(AND(NOT(ISBLANK(R15)),R15&lt;&gt;T15),"Д",),IF(AND(NOT(ISBLANK(S15)),S15&lt;&gt;U15),"Ш",))</f>
        <v/>
      </c>
      <c r="O15" s="22"/>
      <c r="P15" s="18"/>
      <c r="Q15" s="18"/>
      <c r="R15" s="18"/>
      <c r="S15" s="18"/>
      <c r="T15" s="3"/>
      <c r="U15" s="3"/>
      <c r="V15" s="23"/>
      <c r="W15" s="23"/>
      <c r="X15" s="18"/>
      <c r="Y15" s="18"/>
      <c r="Z15" s="18"/>
      <c r="AA15" s="18"/>
      <c r="AB15" s="30"/>
      <c r="AC15" s="30"/>
    </row>
    <row r="17" spans="1:6" ht="18.75" x14ac:dyDescent="0.3">
      <c r="A17" s="1" t="s">
        <v>62</v>
      </c>
      <c r="B17" s="2" t="s">
        <v>43</v>
      </c>
    </row>
    <row r="18" spans="1:6" ht="15.75" x14ac:dyDescent="0.25">
      <c r="B18" s="31" t="s">
        <v>45</v>
      </c>
    </row>
    <row r="19" spans="1:6" x14ac:dyDescent="0.25">
      <c r="B19" t="s">
        <v>46</v>
      </c>
    </row>
    <row r="20" spans="1:6" ht="15.75" x14ac:dyDescent="0.25">
      <c r="B20" s="31" t="s">
        <v>44</v>
      </c>
    </row>
    <row r="21" spans="1:6" x14ac:dyDescent="0.25">
      <c r="B21" t="s">
        <v>47</v>
      </c>
    </row>
    <row r="22" spans="1:6" x14ac:dyDescent="0.25">
      <c r="B22" s="2" t="s">
        <v>55</v>
      </c>
    </row>
    <row r="23" spans="1:6" x14ac:dyDescent="0.25">
      <c r="B23" s="30" t="s">
        <v>58</v>
      </c>
    </row>
    <row r="24" spans="1:6" x14ac:dyDescent="0.25">
      <c r="B24" t="s">
        <v>60</v>
      </c>
    </row>
    <row r="26" spans="1:6" s="30" customFormat="1" ht="21" x14ac:dyDescent="0.35">
      <c r="A26" s="79" t="s">
        <v>85</v>
      </c>
    </row>
    <row r="27" spans="1:6" s="30" customFormat="1" x14ac:dyDescent="0.25"/>
    <row r="28" spans="1:6" s="30" customFormat="1" ht="15.75" x14ac:dyDescent="0.25">
      <c r="A28" s="2" t="s">
        <v>63</v>
      </c>
      <c r="F28" s="31" t="s">
        <v>64</v>
      </c>
    </row>
    <row r="29" spans="1:6" s="30" customFormat="1" x14ac:dyDescent="0.25">
      <c r="A29" s="72" t="s">
        <v>3</v>
      </c>
      <c r="B29" s="72" t="s">
        <v>65</v>
      </c>
      <c r="C29" s="72" t="s">
        <v>66</v>
      </c>
      <c r="F29" s="73" t="s">
        <v>67</v>
      </c>
    </row>
    <row r="30" spans="1:6" s="30" customFormat="1" x14ac:dyDescent="0.25">
      <c r="F30" s="30" t="s">
        <v>68</v>
      </c>
    </row>
    <row r="31" spans="1:6" s="30" customFormat="1" x14ac:dyDescent="0.25">
      <c r="A31" s="74" t="s">
        <v>69</v>
      </c>
      <c r="C31" s="75"/>
      <c r="F31" s="30" t="s">
        <v>70</v>
      </c>
    </row>
    <row r="32" spans="1:6" s="30" customFormat="1" x14ac:dyDescent="0.25">
      <c r="A32" s="72" t="s">
        <v>3</v>
      </c>
      <c r="B32" s="72" t="s">
        <v>65</v>
      </c>
      <c r="C32" s="72" t="s">
        <v>66</v>
      </c>
    </row>
    <row r="33" spans="1:6" s="30" customFormat="1" x14ac:dyDescent="0.25">
      <c r="F33" s="30" t="s">
        <v>87</v>
      </c>
    </row>
    <row r="34" spans="1:6" s="30" customFormat="1" x14ac:dyDescent="0.25">
      <c r="A34" s="2" t="s">
        <v>71</v>
      </c>
      <c r="B34" s="2"/>
      <c r="C34" s="76"/>
    </row>
    <row r="35" spans="1:6" s="30" customFormat="1" x14ac:dyDescent="0.25">
      <c r="A35" s="72" t="s">
        <v>3</v>
      </c>
      <c r="B35" s="72" t="s">
        <v>72</v>
      </c>
      <c r="C35" s="77">
        <v>1.2</v>
      </c>
    </row>
    <row r="36" spans="1:6" s="30" customFormat="1" x14ac:dyDescent="0.25"/>
    <row r="37" spans="1:6" s="30" customFormat="1" x14ac:dyDescent="0.25">
      <c r="A37" s="2" t="s">
        <v>74</v>
      </c>
      <c r="C37" s="75"/>
    </row>
    <row r="38" spans="1:6" s="30" customFormat="1" x14ac:dyDescent="0.25">
      <c r="A38" s="72" t="s">
        <v>75</v>
      </c>
      <c r="B38" s="72" t="s">
        <v>76</v>
      </c>
      <c r="C38" s="72" t="s">
        <v>77</v>
      </c>
    </row>
    <row r="39" spans="1:6" s="30" customFormat="1" x14ac:dyDescent="0.25"/>
    <row r="40" spans="1:6" s="30" customFormat="1" x14ac:dyDescent="0.25">
      <c r="A40" s="74" t="s">
        <v>78</v>
      </c>
      <c r="B40" s="78"/>
      <c r="C40" s="78"/>
    </row>
    <row r="41" spans="1:6" s="30" customFormat="1" x14ac:dyDescent="0.25">
      <c r="A41" s="72" t="s">
        <v>75</v>
      </c>
      <c r="B41" s="72" t="s">
        <v>79</v>
      </c>
      <c r="C41" s="72" t="s">
        <v>77</v>
      </c>
    </row>
    <row r="42" spans="1:6" s="30" customFormat="1" x14ac:dyDescent="0.25"/>
    <row r="43" spans="1:6" s="30" customFormat="1" ht="18.75" x14ac:dyDescent="0.3">
      <c r="A43" s="1" t="s">
        <v>80</v>
      </c>
    </row>
    <row r="44" spans="1:6" s="30" customFormat="1" x14ac:dyDescent="0.25"/>
    <row r="45" spans="1:6" x14ac:dyDescent="0.25">
      <c r="A45" s="30"/>
      <c r="B45" s="30"/>
      <c r="C45" s="30"/>
      <c r="D45" s="30"/>
      <c r="E45" s="30"/>
      <c r="F45" s="30"/>
    </row>
    <row r="46" spans="1:6" x14ac:dyDescent="0.25">
      <c r="A46" s="2" t="s">
        <v>81</v>
      </c>
      <c r="B46" s="30"/>
      <c r="C46" s="30"/>
      <c r="D46" s="30"/>
      <c r="E46" s="30"/>
      <c r="F46" s="30"/>
    </row>
    <row r="47" spans="1:6" s="30" customFormat="1" x14ac:dyDescent="0.25">
      <c r="A47" s="30" t="s">
        <v>82</v>
      </c>
    </row>
    <row r="48" spans="1:6" s="30" customFormat="1" x14ac:dyDescent="0.25">
      <c r="A48" s="30" t="s">
        <v>83</v>
      </c>
    </row>
    <row r="49" spans="1:6" s="30" customFormat="1" x14ac:dyDescent="0.25">
      <c r="A49" s="2" t="s">
        <v>84</v>
      </c>
    </row>
    <row r="50" spans="1:6" s="30" customFormat="1" x14ac:dyDescent="0.25"/>
    <row r="51" spans="1:6" s="30" customFormat="1" ht="21" x14ac:dyDescent="0.35">
      <c r="A51" s="79" t="s">
        <v>86</v>
      </c>
      <c r="F51" s="31" t="s">
        <v>64</v>
      </c>
    </row>
    <row r="52" spans="1:6" s="30" customFormat="1" x14ac:dyDescent="0.25">
      <c r="F52" s="30" t="s">
        <v>73</v>
      </c>
    </row>
    <row r="53" spans="1:6" x14ac:dyDescent="0.25">
      <c r="F53" t="s">
        <v>90</v>
      </c>
    </row>
    <row r="54" spans="1:6" ht="18.75" x14ac:dyDescent="0.3">
      <c r="A54" s="1" t="s">
        <v>55</v>
      </c>
      <c r="B54" t="s">
        <v>92</v>
      </c>
      <c r="F54" t="s">
        <v>91</v>
      </c>
    </row>
    <row r="55" spans="1:6" x14ac:dyDescent="0.25">
      <c r="A55" s="64" t="s">
        <v>56</v>
      </c>
      <c r="B55" s="64" t="s">
        <v>57</v>
      </c>
    </row>
    <row r="56" spans="1:6" s="30" customFormat="1" x14ac:dyDescent="0.25">
      <c r="A56" s="83" t="s">
        <v>94</v>
      </c>
      <c r="B56" s="83" t="s">
        <v>94</v>
      </c>
    </row>
    <row r="57" spans="1:6" s="30" customFormat="1" x14ac:dyDescent="0.25">
      <c r="A57" s="83" t="s">
        <v>88</v>
      </c>
      <c r="B57" s="83" t="s">
        <v>88</v>
      </c>
    </row>
    <row r="58" spans="1:6" s="30" customFormat="1" x14ac:dyDescent="0.25">
      <c r="A58" s="83" t="s">
        <v>89</v>
      </c>
      <c r="B58" s="83" t="s">
        <v>89</v>
      </c>
    </row>
    <row r="59" spans="1:6" s="30" customFormat="1" x14ac:dyDescent="0.25">
      <c r="A59" s="83" t="s">
        <v>96</v>
      </c>
      <c r="B59" s="83" t="s">
        <v>96</v>
      </c>
    </row>
    <row r="60" spans="1:6" s="30" customFormat="1" x14ac:dyDescent="0.25">
      <c r="A60" s="83" t="s">
        <v>93</v>
      </c>
      <c r="B60" s="83" t="s">
        <v>93</v>
      </c>
    </row>
    <row r="61" spans="1:6" s="30" customFormat="1" x14ac:dyDescent="0.25">
      <c r="A61" s="83" t="s">
        <v>95</v>
      </c>
      <c r="B61" s="83" t="s">
        <v>95</v>
      </c>
    </row>
    <row r="62" spans="1:6" s="30" customFormat="1" x14ac:dyDescent="0.25">
      <c r="A62" s="83" t="s">
        <v>122</v>
      </c>
      <c r="B62" s="83" t="s">
        <v>122</v>
      </c>
    </row>
    <row r="63" spans="1:6" s="30" customFormat="1" x14ac:dyDescent="0.25">
      <c r="A63" s="83" t="s">
        <v>123</v>
      </c>
      <c r="B63" s="83" t="s">
        <v>123</v>
      </c>
    </row>
    <row r="64" spans="1:6" s="30" customFormat="1" x14ac:dyDescent="0.25">
      <c r="A64" s="83" t="s">
        <v>112</v>
      </c>
      <c r="B64" s="83" t="s">
        <v>112</v>
      </c>
    </row>
    <row r="65" spans="1:2" s="30" customFormat="1" x14ac:dyDescent="0.25">
      <c r="A65" s="83" t="s">
        <v>124</v>
      </c>
      <c r="B65" s="83" t="s">
        <v>124</v>
      </c>
    </row>
    <row r="66" spans="1:2" s="30" customFormat="1" x14ac:dyDescent="0.25">
      <c r="A66" s="83" t="s">
        <v>125</v>
      </c>
      <c r="B66" s="83" t="s">
        <v>125</v>
      </c>
    </row>
    <row r="67" spans="1:2" s="30" customFormat="1" x14ac:dyDescent="0.25">
      <c r="A67" s="83" t="s">
        <v>121</v>
      </c>
      <c r="B67" s="83" t="s">
        <v>121</v>
      </c>
    </row>
    <row r="68" spans="1:2" s="30" customFormat="1" x14ac:dyDescent="0.25">
      <c r="A68" s="83" t="s">
        <v>126</v>
      </c>
      <c r="B68" s="83" t="s">
        <v>126</v>
      </c>
    </row>
    <row r="69" spans="1:2" s="30" customFormat="1" x14ac:dyDescent="0.25">
      <c r="A69" s="83" t="s">
        <v>127</v>
      </c>
      <c r="B69" s="83" t="s">
        <v>127</v>
      </c>
    </row>
    <row r="70" spans="1:2" s="30" customFormat="1" x14ac:dyDescent="0.25">
      <c r="A70" s="83" t="s">
        <v>128</v>
      </c>
      <c r="B70" s="83" t="s">
        <v>128</v>
      </c>
    </row>
    <row r="71" spans="1:2" s="30" customFormat="1" x14ac:dyDescent="0.25">
      <c r="A71" s="83" t="s">
        <v>129</v>
      </c>
      <c r="B71" s="83" t="s">
        <v>129</v>
      </c>
    </row>
    <row r="72" spans="1:2" s="30" customFormat="1" x14ac:dyDescent="0.25">
      <c r="A72" s="83" t="s">
        <v>130</v>
      </c>
      <c r="B72" s="83" t="s">
        <v>130</v>
      </c>
    </row>
    <row r="73" spans="1:2" s="30" customFormat="1" x14ac:dyDescent="0.25">
      <c r="A73" s="83" t="s">
        <v>131</v>
      </c>
      <c r="B73" s="83" t="s">
        <v>131</v>
      </c>
    </row>
    <row r="74" spans="1:2" s="30" customFormat="1" x14ac:dyDescent="0.25">
      <c r="A74" s="83" t="s">
        <v>132</v>
      </c>
      <c r="B74" s="83" t="s">
        <v>132</v>
      </c>
    </row>
    <row r="75" spans="1:2" s="30" customFormat="1" x14ac:dyDescent="0.25">
      <c r="A75" s="83" t="s">
        <v>133</v>
      </c>
      <c r="B75" s="83" t="s">
        <v>133</v>
      </c>
    </row>
    <row r="76" spans="1:2" s="30" customFormat="1" x14ac:dyDescent="0.25">
      <c r="A76" s="83" t="s">
        <v>134</v>
      </c>
      <c r="B76" s="83" t="s">
        <v>134</v>
      </c>
    </row>
    <row r="77" spans="1:2" s="30" customFormat="1" x14ac:dyDescent="0.25">
      <c r="A77" s="83" t="s">
        <v>135</v>
      </c>
      <c r="B77" s="83" t="s">
        <v>135</v>
      </c>
    </row>
    <row r="78" spans="1:2" s="30" customFormat="1" x14ac:dyDescent="0.25">
      <c r="A78" s="83" t="s">
        <v>136</v>
      </c>
      <c r="B78" s="83" t="s">
        <v>136</v>
      </c>
    </row>
    <row r="79" spans="1:2" s="30" customFormat="1" x14ac:dyDescent="0.25">
      <c r="A79" s="83" t="s">
        <v>137</v>
      </c>
      <c r="B79" s="83" t="s">
        <v>137</v>
      </c>
    </row>
    <row r="80" spans="1:2" s="30" customFormat="1" x14ac:dyDescent="0.25">
      <c r="A80" s="83" t="s">
        <v>138</v>
      </c>
      <c r="B80" s="83" t="s">
        <v>138</v>
      </c>
    </row>
    <row r="81" spans="1:2" s="30" customFormat="1" x14ac:dyDescent="0.25">
      <c r="A81" s="83" t="s">
        <v>139</v>
      </c>
      <c r="B81" s="83" t="s">
        <v>139</v>
      </c>
    </row>
    <row r="82" spans="1:2" s="30" customFormat="1" x14ac:dyDescent="0.25">
      <c r="A82" s="83" t="s">
        <v>140</v>
      </c>
      <c r="B82" s="83" t="s">
        <v>140</v>
      </c>
    </row>
    <row r="83" spans="1:2" s="30" customFormat="1" x14ac:dyDescent="0.25">
      <c r="A83" s="83" t="s">
        <v>141</v>
      </c>
      <c r="B83" s="83" t="s">
        <v>141</v>
      </c>
    </row>
    <row r="84" spans="1:2" s="30" customFormat="1" x14ac:dyDescent="0.25">
      <c r="A84" s="83" t="s">
        <v>142</v>
      </c>
      <c r="B84" s="83" t="s">
        <v>142</v>
      </c>
    </row>
    <row r="85" spans="1:2" s="30" customFormat="1" x14ac:dyDescent="0.25">
      <c r="A85" s="83" t="s">
        <v>143</v>
      </c>
      <c r="B85" s="83" t="s">
        <v>143</v>
      </c>
    </row>
    <row r="86" spans="1:2" s="30" customFormat="1" x14ac:dyDescent="0.25">
      <c r="A86" s="83" t="s">
        <v>144</v>
      </c>
      <c r="B86" s="83" t="s">
        <v>144</v>
      </c>
    </row>
    <row r="87" spans="1:2" s="30" customFormat="1" x14ac:dyDescent="0.25">
      <c r="A87" s="83" t="s">
        <v>145</v>
      </c>
      <c r="B87" s="83" t="s">
        <v>145</v>
      </c>
    </row>
    <row r="88" spans="1:2" s="30" customFormat="1" x14ac:dyDescent="0.25">
      <c r="A88" s="83" t="s">
        <v>146</v>
      </c>
      <c r="B88" s="83" t="s">
        <v>146</v>
      </c>
    </row>
    <row r="89" spans="1:2" s="30" customFormat="1" x14ac:dyDescent="0.25">
      <c r="A89" s="83" t="s">
        <v>147</v>
      </c>
      <c r="B89" s="83" t="s">
        <v>147</v>
      </c>
    </row>
    <row r="90" spans="1:2" s="30" customFormat="1" x14ac:dyDescent="0.25">
      <c r="A90" s="83" t="s">
        <v>148</v>
      </c>
      <c r="B90" s="83" t="s">
        <v>148</v>
      </c>
    </row>
    <row r="91" spans="1:2" s="30" customFormat="1" x14ac:dyDescent="0.25">
      <c r="A91" s="83" t="s">
        <v>149</v>
      </c>
      <c r="B91" s="83" t="s">
        <v>149</v>
      </c>
    </row>
    <row r="92" spans="1:2" s="30" customFormat="1" x14ac:dyDescent="0.25">
      <c r="A92" s="83" t="s">
        <v>150</v>
      </c>
      <c r="B92" s="83" t="s">
        <v>150</v>
      </c>
    </row>
    <row r="93" spans="1:2" s="30" customFormat="1" x14ac:dyDescent="0.25">
      <c r="A93" s="83" t="s">
        <v>151</v>
      </c>
      <c r="B93" s="83" t="s">
        <v>151</v>
      </c>
    </row>
    <row r="94" spans="1:2" s="30" customFormat="1" x14ac:dyDescent="0.25">
      <c r="A94" s="83" t="s">
        <v>152</v>
      </c>
      <c r="B94" s="83" t="s">
        <v>152</v>
      </c>
    </row>
    <row r="95" spans="1:2" s="30" customFormat="1" x14ac:dyDescent="0.25">
      <c r="A95" s="83" t="s">
        <v>153</v>
      </c>
      <c r="B95" s="83" t="s">
        <v>153</v>
      </c>
    </row>
    <row r="96" spans="1:2" s="30" customFormat="1" x14ac:dyDescent="0.25">
      <c r="A96" s="83" t="s">
        <v>154</v>
      </c>
      <c r="B96" s="83" t="s">
        <v>154</v>
      </c>
    </row>
    <row r="97" spans="1:2" s="30" customFormat="1" x14ac:dyDescent="0.25">
      <c r="A97" s="83" t="s">
        <v>117</v>
      </c>
      <c r="B97" s="83" t="s">
        <v>117</v>
      </c>
    </row>
    <row r="98" spans="1:2" s="30" customFormat="1" x14ac:dyDescent="0.25">
      <c r="A98" s="83" t="s">
        <v>118</v>
      </c>
      <c r="B98" s="83" t="s">
        <v>118</v>
      </c>
    </row>
    <row r="99" spans="1:2" s="30" customFormat="1" x14ac:dyDescent="0.25">
      <c r="A99" s="83" t="s">
        <v>120</v>
      </c>
      <c r="B99" s="83" t="s">
        <v>120</v>
      </c>
    </row>
    <row r="100" spans="1:2" s="30" customFormat="1" x14ac:dyDescent="0.25">
      <c r="A100" s="83" t="s">
        <v>119</v>
      </c>
      <c r="B100" s="83" t="s">
        <v>119</v>
      </c>
    </row>
    <row r="101" spans="1:2" s="30" customFormat="1" x14ac:dyDescent="0.25">
      <c r="A101" s="83" t="s">
        <v>113</v>
      </c>
      <c r="B101" s="83" t="s">
        <v>113</v>
      </c>
    </row>
    <row r="102" spans="1:2" s="30" customFormat="1" x14ac:dyDescent="0.25">
      <c r="A102" s="83" t="s">
        <v>106</v>
      </c>
      <c r="B102" s="83" t="s">
        <v>106</v>
      </c>
    </row>
    <row r="103" spans="1:2" s="30" customFormat="1" x14ac:dyDescent="0.25">
      <c r="A103" s="83" t="s">
        <v>114</v>
      </c>
      <c r="B103" s="83" t="s">
        <v>114</v>
      </c>
    </row>
    <row r="104" spans="1:2" s="30" customFormat="1" x14ac:dyDescent="0.25">
      <c r="A104" s="83" t="s">
        <v>107</v>
      </c>
      <c r="B104" s="83" t="s">
        <v>107</v>
      </c>
    </row>
    <row r="105" spans="1:2" s="30" customFormat="1" x14ac:dyDescent="0.25">
      <c r="A105" s="83" t="s">
        <v>115</v>
      </c>
      <c r="B105" s="83" t="s">
        <v>115</v>
      </c>
    </row>
    <row r="106" spans="1:2" s="30" customFormat="1" x14ac:dyDescent="0.25">
      <c r="A106" s="83" t="s">
        <v>108</v>
      </c>
      <c r="B106" s="83" t="s">
        <v>108</v>
      </c>
    </row>
    <row r="107" spans="1:2" s="30" customFormat="1" x14ac:dyDescent="0.25">
      <c r="A107" s="83" t="s">
        <v>111</v>
      </c>
      <c r="B107" s="83" t="s">
        <v>111</v>
      </c>
    </row>
    <row r="108" spans="1:2" s="30" customFormat="1" x14ac:dyDescent="0.25">
      <c r="A108" s="83" t="s">
        <v>109</v>
      </c>
      <c r="B108" s="83" t="s">
        <v>109</v>
      </c>
    </row>
    <row r="109" spans="1:2" s="30" customFormat="1" x14ac:dyDescent="0.25">
      <c r="A109" s="83" t="s">
        <v>110</v>
      </c>
      <c r="B109" s="83" t="s">
        <v>110</v>
      </c>
    </row>
    <row r="110" spans="1:2" s="30" customFormat="1" x14ac:dyDescent="0.25">
      <c r="A110" s="18"/>
      <c r="B110" s="18"/>
    </row>
    <row r="111" spans="1:2" s="30" customFormat="1" x14ac:dyDescent="0.25">
      <c r="A111" s="18"/>
      <c r="B111" s="18"/>
    </row>
    <row r="112" spans="1:2" s="30" customFormat="1" x14ac:dyDescent="0.25">
      <c r="A112" s="18"/>
      <c r="B112" s="18"/>
    </row>
    <row r="113" spans="1:2" x14ac:dyDescent="0.25">
      <c r="A113" s="18"/>
      <c r="B113" s="18"/>
    </row>
    <row r="114" spans="1:2" x14ac:dyDescent="0.25">
      <c r="A114" s="18"/>
      <c r="B114" s="18"/>
    </row>
    <row r="115" spans="1:2" x14ac:dyDescent="0.25">
      <c r="A115" s="18"/>
      <c r="B115" s="18"/>
    </row>
    <row r="116" spans="1:2" x14ac:dyDescent="0.25">
      <c r="A116" s="18"/>
      <c r="B116" s="18"/>
    </row>
    <row r="117" spans="1:2" x14ac:dyDescent="0.25">
      <c r="A117" s="18"/>
      <c r="B117" s="18"/>
    </row>
    <row r="118" spans="1:2" x14ac:dyDescent="0.25">
      <c r="A118" s="18"/>
      <c r="B118" s="18"/>
    </row>
    <row r="119" spans="1:2" x14ac:dyDescent="0.25">
      <c r="A119" s="18"/>
      <c r="B119" s="18"/>
    </row>
    <row r="120" spans="1:2" x14ac:dyDescent="0.25">
      <c r="A120" s="18"/>
      <c r="B120" s="18"/>
    </row>
    <row r="121" spans="1:2" x14ac:dyDescent="0.25">
      <c r="A121" s="18"/>
      <c r="B121" s="18"/>
    </row>
    <row r="122" spans="1:2" x14ac:dyDescent="0.25">
      <c r="A122" s="18"/>
      <c r="B122" s="18"/>
    </row>
    <row r="123" spans="1:2" x14ac:dyDescent="0.25">
      <c r="A123" s="18"/>
      <c r="B123" s="18"/>
    </row>
    <row r="124" spans="1:2" x14ac:dyDescent="0.25">
      <c r="A124" s="18"/>
      <c r="B124" s="18"/>
    </row>
    <row r="125" spans="1:2" x14ac:dyDescent="0.25">
      <c r="A125" s="18"/>
      <c r="B125" s="18"/>
    </row>
    <row r="126" spans="1:2" x14ac:dyDescent="0.25">
      <c r="A126" s="18"/>
      <c r="B126" s="18"/>
    </row>
    <row r="127" spans="1:2" x14ac:dyDescent="0.25">
      <c r="A127" s="18"/>
      <c r="B127" s="18"/>
    </row>
    <row r="128" spans="1:2" x14ac:dyDescent="0.25">
      <c r="A128" s="18"/>
      <c r="B128" s="18"/>
    </row>
    <row r="129" spans="1:2" x14ac:dyDescent="0.25">
      <c r="A129" s="18"/>
      <c r="B129" s="18"/>
    </row>
    <row r="130" spans="1:2" x14ac:dyDescent="0.25">
      <c r="A130" s="18"/>
      <c r="B130" s="18"/>
    </row>
    <row r="131" spans="1:2" x14ac:dyDescent="0.25">
      <c r="A131" s="18"/>
      <c r="B131" s="18"/>
    </row>
    <row r="132" spans="1:2" x14ac:dyDescent="0.25">
      <c r="A132" s="18"/>
      <c r="B132" s="18"/>
    </row>
    <row r="133" spans="1:2" x14ac:dyDescent="0.25">
      <c r="A133" s="18"/>
      <c r="B133" s="18"/>
    </row>
    <row r="134" spans="1:2" x14ac:dyDescent="0.25">
      <c r="A134" s="18"/>
      <c r="B134" s="18"/>
    </row>
    <row r="135" spans="1:2" x14ac:dyDescent="0.25">
      <c r="A135" s="18"/>
      <c r="B135" s="18"/>
    </row>
    <row r="136" spans="1:2" x14ac:dyDescent="0.25">
      <c r="A136" s="18"/>
      <c r="B136" s="18"/>
    </row>
    <row r="137" spans="1:2" x14ac:dyDescent="0.25">
      <c r="A137" s="18"/>
      <c r="B137" s="18"/>
    </row>
    <row r="138" spans="1:2" x14ac:dyDescent="0.25">
      <c r="A138" s="18"/>
      <c r="B138" s="18"/>
    </row>
    <row r="139" spans="1:2" x14ac:dyDescent="0.25">
      <c r="A139" s="18"/>
      <c r="B139" s="18"/>
    </row>
    <row r="140" spans="1:2" x14ac:dyDescent="0.25">
      <c r="A140" s="18"/>
      <c r="B140" s="18"/>
    </row>
    <row r="141" spans="1:2" x14ac:dyDescent="0.25">
      <c r="A141" s="18"/>
      <c r="B141" s="18"/>
    </row>
    <row r="142" spans="1:2" x14ac:dyDescent="0.25">
      <c r="A142" s="18"/>
      <c r="B142" s="18"/>
    </row>
    <row r="143" spans="1:2" x14ac:dyDescent="0.25">
      <c r="A143" s="18"/>
      <c r="B143" s="18"/>
    </row>
    <row r="144" spans="1:2" x14ac:dyDescent="0.25">
      <c r="A144" s="18"/>
      <c r="B144" s="18"/>
    </row>
    <row r="145" spans="1:2" x14ac:dyDescent="0.25">
      <c r="A145" s="18"/>
      <c r="B145" s="18"/>
    </row>
    <row r="146" spans="1:2" x14ac:dyDescent="0.25">
      <c r="A146" s="18"/>
      <c r="B146" s="18"/>
    </row>
    <row r="147" spans="1:2" x14ac:dyDescent="0.25">
      <c r="A147" s="18"/>
      <c r="B147" s="18"/>
    </row>
    <row r="148" spans="1:2" x14ac:dyDescent="0.25">
      <c r="A148" s="18"/>
      <c r="B148" s="18"/>
    </row>
    <row r="149" spans="1:2" x14ac:dyDescent="0.25">
      <c r="A149" s="18"/>
      <c r="B149" s="18"/>
    </row>
    <row r="150" spans="1:2" x14ac:dyDescent="0.25">
      <c r="A150" s="18"/>
      <c r="B150" s="18"/>
    </row>
    <row r="151" spans="1:2" x14ac:dyDescent="0.25">
      <c r="A151" s="18"/>
      <c r="B151" s="18"/>
    </row>
    <row r="152" spans="1:2" x14ac:dyDescent="0.25">
      <c r="A152" s="18"/>
      <c r="B152" s="18"/>
    </row>
    <row r="153" spans="1:2" x14ac:dyDescent="0.25">
      <c r="A153" s="18"/>
      <c r="B153" s="18"/>
    </row>
    <row r="154" spans="1:2" x14ac:dyDescent="0.25">
      <c r="A154" s="18"/>
      <c r="B154" s="18"/>
    </row>
    <row r="155" spans="1:2" x14ac:dyDescent="0.25">
      <c r="A155" s="18"/>
      <c r="B155" s="18"/>
    </row>
    <row r="156" spans="1:2" x14ac:dyDescent="0.25">
      <c r="A156" s="18"/>
      <c r="B156" s="18"/>
    </row>
    <row r="157" spans="1:2" x14ac:dyDescent="0.25">
      <c r="A157" s="18"/>
      <c r="B157" s="18"/>
    </row>
    <row r="158" spans="1:2" x14ac:dyDescent="0.25">
      <c r="A158" s="18"/>
      <c r="B158" s="18"/>
    </row>
    <row r="159" spans="1:2" x14ac:dyDescent="0.25">
      <c r="A159" s="18"/>
      <c r="B159" s="18"/>
    </row>
    <row r="160" spans="1:2" x14ac:dyDescent="0.25">
      <c r="A160" s="18"/>
      <c r="B160" s="18"/>
    </row>
    <row r="161" spans="1:2" x14ac:dyDescent="0.25">
      <c r="A161" s="18"/>
      <c r="B161" s="18"/>
    </row>
    <row r="162" spans="1:2" x14ac:dyDescent="0.25">
      <c r="A162" s="18"/>
      <c r="B162" s="18"/>
    </row>
    <row r="163" spans="1:2" x14ac:dyDescent="0.25">
      <c r="A163" s="18"/>
      <c r="B163" s="18"/>
    </row>
    <row r="164" spans="1:2" x14ac:dyDescent="0.25">
      <c r="A164" s="18"/>
      <c r="B164" s="18"/>
    </row>
    <row r="165" spans="1:2" x14ac:dyDescent="0.25">
      <c r="A165" s="18"/>
      <c r="B165" s="18"/>
    </row>
    <row r="166" spans="1:2" x14ac:dyDescent="0.25">
      <c r="A166" s="18"/>
      <c r="B166" s="18"/>
    </row>
    <row r="167" spans="1:2" x14ac:dyDescent="0.25">
      <c r="A167" s="18"/>
      <c r="B167" s="18"/>
    </row>
    <row r="168" spans="1:2" x14ac:dyDescent="0.25">
      <c r="A168" s="18"/>
      <c r="B168" s="18"/>
    </row>
    <row r="169" spans="1:2" x14ac:dyDescent="0.25">
      <c r="A169" s="18"/>
      <c r="B169" s="18"/>
    </row>
    <row r="249" spans="35:35" x14ac:dyDescent="0.25">
      <c r="AI249" t="s">
        <v>59</v>
      </c>
    </row>
  </sheetData>
  <conditionalFormatting sqref="D15">
    <cfRule type="expression" dxfId="1463" priority="19">
      <formula>AND(AND(NOT(ISBLANK(C15)),NOT(C15=$O$1)),AND(NOT(ISBLANK(B15)),NOT(B15=$O$1)))</formula>
    </cfRule>
    <cfRule type="expression" dxfId="1462" priority="20">
      <formula>OR(AND(NOT(ISBLANK(C15)),NOT(C15=$O$1)),AND(NOT(ISBLANK(B15)),NOT(B15=$O$1)))</formula>
    </cfRule>
  </conditionalFormatting>
  <conditionalFormatting sqref="E15">
    <cfRule type="expression" dxfId="1461" priority="17">
      <formula>AND(AND(NOT(ISBLANK(F15)),NOT(F15=$O$1)),AND(NOT(ISBLANK(G15)),NOT(G15=$O$1)))</formula>
    </cfRule>
    <cfRule type="expression" dxfId="1460" priority="18">
      <formula>OR(AND(NOT(ISBLANK(F15)),NOT(F15=$O$1)),AND(NOT(ISBLANK(G15)),NOT(G15=$O$1)))</formula>
    </cfRule>
  </conditionalFormatting>
  <conditionalFormatting sqref="B15">
    <cfRule type="expression" dxfId="1459" priority="16" stopIfTrue="1">
      <formula>AND(NOT(ISBLANK(B15)),NOT(_xlfn.ISFORMULA(B15)))</formula>
    </cfRule>
  </conditionalFormatting>
  <conditionalFormatting sqref="C15">
    <cfRule type="expression" dxfId="1458" priority="15" stopIfTrue="1">
      <formula>AND(NOT(ISBLANK(C15)),NOT(_xlfn.ISFORMULA(C15)))</formula>
    </cfRule>
  </conditionalFormatting>
  <conditionalFormatting sqref="F15">
    <cfRule type="expression" dxfId="1457" priority="14" stopIfTrue="1">
      <formula>AND(NOT(ISBLANK(F15)),NOT(_xlfn.ISFORMULA(F15)))</formula>
    </cfRule>
  </conditionalFormatting>
  <conditionalFormatting sqref="G15">
    <cfRule type="expression" dxfId="1456" priority="13" stopIfTrue="1">
      <formula>AND(NOT(ISBLANK(G15)),NOT(_xlfn.ISFORMULA(G15)))</formula>
    </cfRule>
  </conditionalFormatting>
  <conditionalFormatting sqref="E5">
    <cfRule type="expression" dxfId="1455" priority="3">
      <formula>AND(AND(NOT(ISBLANK(D5)),NOT(D5=$O$1)),AND(NOT(ISBLANK(C5)),NOT(C5=$O$1)))</formula>
    </cfRule>
    <cfRule type="expression" dxfId="1454" priority="4">
      <formula>OR(AND(NOT(ISBLANK(D5)),NOT(D5=$O$1)),AND(NOT(ISBLANK(C5)),NOT(C5=$O$1)))</formula>
    </cfRule>
  </conditionalFormatting>
  <conditionalFormatting sqref="F5">
    <cfRule type="expression" dxfId="1453" priority="1">
      <formula>AND(AND(NOT(ISBLANK(G5)),NOT(G5=$O$1)),AND(NOT(ISBLANK(H5)),NOT(H5=$O$1)))</formula>
    </cfRule>
    <cfRule type="expression" dxfId="1452" priority="2">
      <formula>OR(AND(NOT(ISBLANK(G5)),NOT(G5=$O$1)),AND(NOT(ISBLANK(H5)),NOT(H5=$O$1)))</formula>
    </cfRule>
  </conditionalFormatting>
  <dataValidations count="2">
    <dataValidation type="custom" allowBlank="1" showInputMessage="1" showErrorMessage="1" sqref="D15:E15 A15 H15:L15 E5:F5 I5:J5 A5:B5" xr:uid="{9D2231FA-1DA0-454C-913A-FB34B5BF4976}">
      <formula1>_xlfn.ISFORMULA(A5)</formula1>
    </dataValidation>
    <dataValidation type="custom" allowBlank="1" showInputMessage="1" showErrorMessage="1" errorTitle="Знак &quot;*&quot; недопустим" error="Знак &quot;*&quot; зарезервирован для обозначения отсутствия кромки и не может быть здесь использован" sqref="E10" xr:uid="{AA1356BE-4B79-41E1-B983-E7E751C3947B}">
      <formula1>E10&lt;&gt;"*"</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Кнопка1_Щелчок">
                <anchor moveWithCells="1" sizeWithCells="1">
                  <from>
                    <xdr:col>2</xdr:col>
                    <xdr:colOff>38100</xdr:colOff>
                    <xdr:row>52</xdr:row>
                    <xdr:rowOff>152400</xdr:rowOff>
                  </from>
                  <to>
                    <xdr:col>4</xdr:col>
                    <xdr:colOff>419100</xdr:colOff>
                    <xdr:row>54</xdr:row>
                    <xdr:rowOff>161925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E69583-29DC-4F4F-A6A9-3D2EE5A72FFC}">
  <sheetPr codeName="Лист17"/>
  <dimension ref="A1:CC437"/>
  <sheetViews>
    <sheetView view="pageBreakPreview" zoomScale="70" zoomScaleNormal="100" zoomScaleSheetLayoutView="70" workbookViewId="0">
      <selection activeCell="J8" sqref="J8"/>
    </sheetView>
  </sheetViews>
  <sheetFormatPr defaultRowHeight="15" x14ac:dyDescent="0.25"/>
  <cols>
    <col min="1" max="1" width="4.5703125" style="30" customWidth="1"/>
    <col min="2" max="2" width="29.5703125" style="30" customWidth="1"/>
    <col min="3" max="4" width="4.42578125" style="38" bestFit="1" customWidth="1"/>
    <col min="5" max="5" width="9.140625" style="30" customWidth="1"/>
    <col min="6" max="6" width="8.5703125" style="30" customWidth="1"/>
    <col min="7" max="7" width="4.42578125" style="38" bestFit="1" customWidth="1"/>
    <col min="8" max="8" width="5.28515625" style="38" bestFit="1" customWidth="1"/>
    <col min="9" max="9" width="4.42578125" style="30" customWidth="1"/>
    <col min="10" max="10" width="16" style="30" customWidth="1"/>
    <col min="11" max="11" width="11.7109375" style="30" customWidth="1"/>
    <col min="12" max="12" width="30.5703125" style="30" customWidth="1"/>
    <col min="13" max="13" width="22.140625" style="2" customWidth="1"/>
    <col min="14" max="14" width="7.28515625" style="30" customWidth="1"/>
    <col min="15" max="15" width="3.28515625" style="30" customWidth="1"/>
    <col min="16" max="16" width="25.28515625" style="30" customWidth="1"/>
    <col min="17" max="17" width="26" style="30" customWidth="1"/>
    <col min="18" max="18" width="4.7109375" style="30" customWidth="1"/>
    <col min="19" max="19" width="5.42578125" style="30" customWidth="1"/>
    <col min="20" max="20" width="8.42578125" style="2" customWidth="1"/>
    <col min="21" max="21" width="8.140625" style="2" customWidth="1"/>
    <col min="22" max="22" width="9" style="30" customWidth="1"/>
    <col min="23" max="23" width="7.5703125" style="30" customWidth="1"/>
    <col min="24" max="24" width="17.140625" style="30" customWidth="1"/>
    <col min="25" max="25" width="9.28515625" style="30" customWidth="1"/>
    <col min="26" max="26" width="9.140625" style="30"/>
    <col min="27" max="27" width="16.28515625" style="30" customWidth="1"/>
    <col min="28" max="28" width="20" style="30" customWidth="1"/>
    <col min="29" max="29" width="21.42578125" style="30" customWidth="1"/>
    <col min="30" max="34" width="9.140625" style="30" customWidth="1"/>
    <col min="35" max="35" width="22.85546875" style="30" customWidth="1"/>
    <col min="36" max="36" width="9.140625" style="30" customWidth="1"/>
    <col min="37" max="37" width="17" style="30" customWidth="1"/>
    <col min="38" max="39" width="9.140625" style="30" customWidth="1"/>
    <col min="40" max="16384" width="9.140625" style="30"/>
  </cols>
  <sheetData>
    <row r="1" spans="1:56" x14ac:dyDescent="0.25">
      <c r="A1" s="29" t="s">
        <v>234</v>
      </c>
      <c r="C1" s="38">
        <v>1</v>
      </c>
      <c r="J1" s="19"/>
      <c r="O1" s="20" t="s">
        <v>27</v>
      </c>
      <c r="P1" s="30">
        <v>10</v>
      </c>
      <c r="Q1" s="30">
        <v>20</v>
      </c>
      <c r="S1" s="30" t="s">
        <v>51</v>
      </c>
      <c r="X1" s="30" t="s">
        <v>54</v>
      </c>
      <c r="AA1"/>
      <c r="AB1"/>
      <c r="AC1"/>
      <c r="AD1"/>
      <c r="AE1"/>
      <c r="AG1" s="30" t="s">
        <v>36</v>
      </c>
    </row>
    <row r="2" spans="1:56" ht="18.75" x14ac:dyDescent="0.3">
      <c r="A2" s="1" t="str">
        <f>A1</f>
        <v>bCad-teh1</v>
      </c>
      <c r="AA2"/>
      <c r="AB2"/>
      <c r="AC2"/>
      <c r="AD2"/>
      <c r="AE2"/>
    </row>
    <row r="3" spans="1:56" x14ac:dyDescent="0.25">
      <c r="A3" s="65" t="s">
        <v>6</v>
      </c>
      <c r="B3" s="66" t="str">
        <f>"Наименование"</f>
        <v>Наименование</v>
      </c>
      <c r="C3" s="67" t="s">
        <v>9</v>
      </c>
      <c r="D3" s="68" t="s">
        <v>11</v>
      </c>
      <c r="E3" s="69" t="s">
        <v>1</v>
      </c>
      <c r="F3" s="66" t="s">
        <v>0</v>
      </c>
      <c r="G3" s="68" t="s">
        <v>10</v>
      </c>
      <c r="H3" s="70" t="s">
        <v>12</v>
      </c>
      <c r="I3" s="71" t="s">
        <v>2</v>
      </c>
      <c r="J3" s="65" t="s">
        <v>48</v>
      </c>
      <c r="K3" s="66" t="s">
        <v>49</v>
      </c>
      <c r="L3" s="66" t="s">
        <v>50</v>
      </c>
      <c r="M3" s="65" t="s">
        <v>4</v>
      </c>
      <c r="N3" s="2" t="s">
        <v>26</v>
      </c>
      <c r="O3" s="21" t="s">
        <v>7</v>
      </c>
      <c r="P3" s="21"/>
      <c r="Q3" s="21" t="s">
        <v>22</v>
      </c>
      <c r="R3" s="21" t="s">
        <v>17</v>
      </c>
      <c r="S3" s="21" t="s">
        <v>18</v>
      </c>
      <c r="T3" s="21" t="s">
        <v>19</v>
      </c>
      <c r="U3" s="21" t="s">
        <v>20</v>
      </c>
      <c r="V3" s="21" t="s">
        <v>21</v>
      </c>
      <c r="W3" s="21" t="s">
        <v>23</v>
      </c>
      <c r="X3" s="21" t="s">
        <v>24</v>
      </c>
      <c r="Y3" s="21" t="s">
        <v>25</v>
      </c>
      <c r="Z3" s="21" t="s">
        <v>2</v>
      </c>
      <c r="AA3" s="3" t="s">
        <v>34</v>
      </c>
      <c r="AB3" s="3" t="s">
        <v>52</v>
      </c>
      <c r="AC3" s="3" t="s">
        <v>53</v>
      </c>
      <c r="AD3" s="3" t="s">
        <v>97</v>
      </c>
      <c r="AK3" s="18"/>
      <c r="AL3" s="18"/>
    </row>
    <row r="4" spans="1:56" x14ac:dyDescent="0.25">
      <c r="A4" s="9" t="str">
        <f t="shared" ref="A4:A13" si="0">CONCATENATE(O4,".",LEFT(J4))</f>
        <v>.0</v>
      </c>
      <c r="B4" s="32" t="str">
        <f t="shared" ref="B4:B13" si="1">CONCATENATE(IF(OR(Y4="Не определена",Y4,ISBLANK(Y4)),"↕",),IF(Y4="Не обязательна","±",),Q4,".",P4)</f>
        <v>↕.</v>
      </c>
      <c r="C4" s="54"/>
      <c r="D4" s="54"/>
      <c r="E4" s="48">
        <f t="shared" ref="E4:E13" si="2">IF(M4="скрутка",T4+$Q$1,IF(M4="склейка",T4+$Q$1,IF(M4="запил торца",ROUND(T4+$P$1,0),IF(M4="запил торцов",ROUND(T4+$P$1*2,0),T4))))+IF(G4=$O$1,$P$1,)+IF(H4=$O$1,$P$1,)</f>
        <v>0</v>
      </c>
      <c r="F4" s="48">
        <f t="shared" ref="F4:F13" si="3">IF(M4="скрутка",U4+$Q$1,IF(M4="склейка",U4+$Q$1,IF(M4="запил торца",ROUND(U4+$P$1,0),IF(M4="запил торцов",ROUND(U4+$P$1*2,0),U4))))+IF(C4=$O$1,$P$1,)+IF(D4=$O$1,$P$1,)</f>
        <v>0</v>
      </c>
      <c r="G4" s="54"/>
      <c r="H4" s="54"/>
      <c r="I4" s="49">
        <f t="shared" ref="I4:I13" si="4">IF(OR(M4="скрутка",M4="склейка"),Z4*2,Z4)</f>
        <v>0</v>
      </c>
      <c r="J4" s="53">
        <f t="shared" ref="J4:J13" si="5">X4</f>
        <v>0</v>
      </c>
      <c r="K4" s="52" t="str">
        <f t="shared" ref="K4:K13" si="6">IF(ISBLANK(AB4),"",AB4)</f>
        <v/>
      </c>
      <c r="L4" s="52" t="str">
        <f t="shared" ref="L4:L13" si="7">IF(ISBLANK(AC4),"",AC4)</f>
        <v/>
      </c>
      <c r="M4" s="51" t="str">
        <f t="shared" ref="M4:M13" si="8">IF(AA4="","",AA4)</f>
        <v/>
      </c>
      <c r="N4" s="30" t="str">
        <f t="shared" ref="N4:N13" si="9">CONCATENATE(IF(E4&lt;&gt;T4,"НеРавны",),IF(AND(NOT(ISBLANK(R4)),R4&lt;&gt;T4),"Д",),IF(AND(NOT(ISBLANK(S4)),S4&lt;&gt;U4),"Ш",))</f>
        <v/>
      </c>
      <c r="O4" s="22"/>
      <c r="P4" s="18"/>
      <c r="Q4" s="18"/>
      <c r="R4" s="18"/>
      <c r="S4" s="18"/>
      <c r="T4" s="3"/>
      <c r="U4" s="3"/>
      <c r="V4" s="23"/>
      <c r="W4" s="23"/>
      <c r="X4" s="26"/>
      <c r="Y4" s="18"/>
      <c r="Z4" s="18"/>
      <c r="AA4" s="18"/>
      <c r="AB4" s="18"/>
      <c r="AC4" s="18"/>
      <c r="AD4" s="18"/>
      <c r="BB4" s="30" t="s">
        <v>88</v>
      </c>
      <c r="BC4" s="30">
        <v>1</v>
      </c>
      <c r="BD4" s="30">
        <v>145</v>
      </c>
    </row>
    <row r="5" spans="1:56" x14ac:dyDescent="0.25">
      <c r="A5" s="9" t="str">
        <f t="shared" si="0"/>
        <v>.0</v>
      </c>
      <c r="B5" s="32" t="str">
        <f t="shared" si="1"/>
        <v>↕.</v>
      </c>
      <c r="C5" s="54"/>
      <c r="D5" s="54"/>
      <c r="E5" s="48">
        <f t="shared" si="2"/>
        <v>0</v>
      </c>
      <c r="F5" s="48">
        <f t="shared" si="3"/>
        <v>0</v>
      </c>
      <c r="G5" s="54"/>
      <c r="H5" s="54"/>
      <c r="I5" s="49">
        <f t="shared" si="4"/>
        <v>0</v>
      </c>
      <c r="J5" s="53">
        <f t="shared" si="5"/>
        <v>0</v>
      </c>
      <c r="K5" s="52" t="str">
        <f t="shared" si="6"/>
        <v/>
      </c>
      <c r="L5" s="52" t="str">
        <f t="shared" si="7"/>
        <v/>
      </c>
      <c r="M5" s="51" t="str">
        <f t="shared" si="8"/>
        <v/>
      </c>
      <c r="N5" s="30" t="str">
        <f t="shared" si="9"/>
        <v/>
      </c>
      <c r="O5" s="22"/>
      <c r="P5" s="18"/>
      <c r="Q5" s="18"/>
      <c r="R5" s="18"/>
      <c r="S5" s="18"/>
      <c r="T5" s="3"/>
      <c r="U5" s="3"/>
      <c r="V5" s="23"/>
      <c r="W5" s="23"/>
      <c r="X5" s="26"/>
      <c r="Y5" s="18"/>
      <c r="Z5" s="18"/>
      <c r="AA5" s="18"/>
      <c r="AB5" s="18"/>
      <c r="AC5" s="18"/>
      <c r="AD5" s="18"/>
      <c r="BB5" s="30" t="s">
        <v>94</v>
      </c>
      <c r="BC5" s="30">
        <v>1</v>
      </c>
      <c r="BD5" s="30">
        <v>156</v>
      </c>
    </row>
    <row r="6" spans="1:56" x14ac:dyDescent="0.25">
      <c r="A6" s="9" t="str">
        <f t="shared" si="0"/>
        <v>.0</v>
      </c>
      <c r="B6" s="32" t="str">
        <f t="shared" si="1"/>
        <v>↕.</v>
      </c>
      <c r="C6" s="54"/>
      <c r="D6" s="54"/>
      <c r="E6" s="48">
        <f t="shared" si="2"/>
        <v>0</v>
      </c>
      <c r="F6" s="48">
        <f t="shared" si="3"/>
        <v>0</v>
      </c>
      <c r="G6" s="54"/>
      <c r="H6" s="54"/>
      <c r="I6" s="49">
        <f t="shared" si="4"/>
        <v>0</v>
      </c>
      <c r="J6" s="53">
        <f t="shared" si="5"/>
        <v>0</v>
      </c>
      <c r="K6" s="52" t="str">
        <f t="shared" si="6"/>
        <v/>
      </c>
      <c r="L6" s="52" t="str">
        <f t="shared" si="7"/>
        <v/>
      </c>
      <c r="M6" s="51" t="str">
        <f t="shared" si="8"/>
        <v/>
      </c>
      <c r="N6" s="30" t="str">
        <f t="shared" si="9"/>
        <v/>
      </c>
      <c r="O6" s="22"/>
      <c r="P6" s="18"/>
      <c r="Q6" s="18"/>
      <c r="R6" s="18"/>
      <c r="S6" s="18"/>
      <c r="T6" s="3"/>
      <c r="U6" s="3"/>
      <c r="V6" s="23"/>
      <c r="W6" s="23"/>
      <c r="X6" s="18"/>
      <c r="Y6" s="18"/>
      <c r="Z6" s="18"/>
      <c r="AA6" s="18"/>
      <c r="AB6" s="18"/>
      <c r="AC6" s="18"/>
      <c r="AD6" s="18"/>
      <c r="BB6" s="30" t="s">
        <v>89</v>
      </c>
      <c r="BC6" s="30">
        <v>1</v>
      </c>
      <c r="BD6" s="30">
        <v>121</v>
      </c>
    </row>
    <row r="7" spans="1:56" x14ac:dyDescent="0.25">
      <c r="A7" s="9" t="str">
        <f t="shared" si="0"/>
        <v>.0</v>
      </c>
      <c r="B7" s="32" t="str">
        <f t="shared" si="1"/>
        <v>↕.</v>
      </c>
      <c r="C7" s="54"/>
      <c r="D7" s="54"/>
      <c r="E7" s="48">
        <f t="shared" si="2"/>
        <v>0</v>
      </c>
      <c r="F7" s="48">
        <f t="shared" si="3"/>
        <v>0</v>
      </c>
      <c r="G7" s="54"/>
      <c r="H7" s="54"/>
      <c r="I7" s="49">
        <f t="shared" si="4"/>
        <v>0</v>
      </c>
      <c r="J7" s="53">
        <f t="shared" si="5"/>
        <v>0</v>
      </c>
      <c r="K7" s="52" t="str">
        <f t="shared" si="6"/>
        <v/>
      </c>
      <c r="L7" s="52" t="str">
        <f t="shared" si="7"/>
        <v/>
      </c>
      <c r="M7" s="51" t="str">
        <f t="shared" si="8"/>
        <v/>
      </c>
      <c r="N7" s="30" t="str">
        <f t="shared" si="9"/>
        <v/>
      </c>
      <c r="O7" s="22"/>
      <c r="P7" s="18"/>
      <c r="Q7" s="18"/>
      <c r="R7" s="18"/>
      <c r="S7" s="18"/>
      <c r="T7" s="3"/>
      <c r="U7" s="3"/>
      <c r="V7" s="23"/>
      <c r="W7" s="23"/>
      <c r="X7" s="26"/>
      <c r="Y7" s="18"/>
      <c r="Z7" s="18"/>
      <c r="AA7" s="18"/>
      <c r="AB7" s="18"/>
      <c r="AC7" s="18"/>
      <c r="AD7" s="18"/>
      <c r="BB7" s="30" t="s">
        <v>95</v>
      </c>
      <c r="BC7" s="30">
        <v>1</v>
      </c>
      <c r="BD7" s="30">
        <v>75</v>
      </c>
    </row>
    <row r="8" spans="1:56" x14ac:dyDescent="0.25">
      <c r="A8" s="9" t="str">
        <f t="shared" si="0"/>
        <v>.0</v>
      </c>
      <c r="B8" s="32" t="str">
        <f t="shared" si="1"/>
        <v>↕.</v>
      </c>
      <c r="C8" s="54"/>
      <c r="D8" s="54"/>
      <c r="E8" s="48">
        <f t="shared" si="2"/>
        <v>0</v>
      </c>
      <c r="F8" s="48">
        <f t="shared" si="3"/>
        <v>0</v>
      </c>
      <c r="G8" s="54"/>
      <c r="H8" s="54"/>
      <c r="I8" s="49">
        <f t="shared" si="4"/>
        <v>0</v>
      </c>
      <c r="J8" s="53">
        <f t="shared" si="5"/>
        <v>0</v>
      </c>
      <c r="K8" s="52" t="str">
        <f t="shared" si="6"/>
        <v/>
      </c>
      <c r="L8" s="52" t="str">
        <f t="shared" si="7"/>
        <v/>
      </c>
      <c r="M8" s="51" t="str">
        <f t="shared" si="8"/>
        <v/>
      </c>
      <c r="N8" s="30" t="str">
        <f t="shared" si="9"/>
        <v/>
      </c>
      <c r="O8" s="22"/>
      <c r="P8" s="18"/>
      <c r="Q8" s="18"/>
      <c r="R8" s="18"/>
      <c r="S8" s="18"/>
      <c r="T8" s="3"/>
      <c r="U8" s="3"/>
      <c r="V8" s="23"/>
      <c r="W8" s="23"/>
      <c r="X8" s="18"/>
      <c r="Y8" s="18"/>
      <c r="Z8" s="18"/>
      <c r="AA8" s="18"/>
      <c r="AB8" s="18"/>
      <c r="AC8" s="18"/>
      <c r="AD8" s="18"/>
      <c r="BB8" s="30" t="s">
        <v>96</v>
      </c>
      <c r="BC8" s="30">
        <v>1</v>
      </c>
      <c r="BD8" s="30">
        <v>153</v>
      </c>
    </row>
    <row r="9" spans="1:56" x14ac:dyDescent="0.25">
      <c r="A9" s="9" t="str">
        <f t="shared" si="0"/>
        <v>.0</v>
      </c>
      <c r="B9" s="32" t="str">
        <f t="shared" si="1"/>
        <v>↕.</v>
      </c>
      <c r="C9" s="54"/>
      <c r="D9" s="54"/>
      <c r="E9" s="48">
        <f t="shared" si="2"/>
        <v>0</v>
      </c>
      <c r="F9" s="48">
        <f t="shared" si="3"/>
        <v>0</v>
      </c>
      <c r="G9" s="54"/>
      <c r="H9" s="54"/>
      <c r="I9" s="49">
        <f t="shared" si="4"/>
        <v>0</v>
      </c>
      <c r="J9" s="53">
        <f t="shared" si="5"/>
        <v>0</v>
      </c>
      <c r="K9" s="52" t="str">
        <f t="shared" si="6"/>
        <v/>
      </c>
      <c r="L9" s="52" t="str">
        <f t="shared" si="7"/>
        <v/>
      </c>
      <c r="M9" s="51" t="str">
        <f t="shared" si="8"/>
        <v/>
      </c>
      <c r="N9" s="30" t="str">
        <f t="shared" si="9"/>
        <v/>
      </c>
      <c r="O9" s="22"/>
      <c r="P9" s="18"/>
      <c r="Q9" s="18"/>
      <c r="R9" s="18"/>
      <c r="S9" s="18"/>
      <c r="T9" s="3"/>
      <c r="U9" s="3"/>
      <c r="V9" s="23"/>
      <c r="W9" s="23"/>
      <c r="X9" s="26"/>
      <c r="Y9" s="18"/>
      <c r="Z9" s="18"/>
      <c r="AA9" s="18"/>
      <c r="AB9" s="18"/>
      <c r="AC9" s="18"/>
      <c r="AD9" s="18"/>
      <c r="BB9" s="30" t="s">
        <v>93</v>
      </c>
      <c r="BC9" s="30">
        <v>1</v>
      </c>
      <c r="BD9" s="30">
        <v>149</v>
      </c>
    </row>
    <row r="10" spans="1:56" x14ac:dyDescent="0.25">
      <c r="A10" s="9" t="str">
        <f t="shared" si="0"/>
        <v>.0</v>
      </c>
      <c r="B10" s="32" t="str">
        <f t="shared" si="1"/>
        <v>↕.</v>
      </c>
      <c r="C10" s="54"/>
      <c r="D10" s="54"/>
      <c r="E10" s="48">
        <f t="shared" si="2"/>
        <v>0</v>
      </c>
      <c r="F10" s="48">
        <f t="shared" si="3"/>
        <v>0</v>
      </c>
      <c r="G10" s="54"/>
      <c r="H10" s="54"/>
      <c r="I10" s="49">
        <f t="shared" si="4"/>
        <v>0</v>
      </c>
      <c r="J10" s="53">
        <f t="shared" si="5"/>
        <v>0</v>
      </c>
      <c r="K10" s="52" t="str">
        <f t="shared" si="6"/>
        <v/>
      </c>
      <c r="L10" s="52" t="str">
        <f t="shared" si="7"/>
        <v/>
      </c>
      <c r="M10" s="51" t="str">
        <f t="shared" si="8"/>
        <v/>
      </c>
      <c r="N10" s="30" t="str">
        <f t="shared" si="9"/>
        <v/>
      </c>
      <c r="O10" s="22"/>
      <c r="P10" s="18"/>
      <c r="Q10" s="18"/>
      <c r="R10" s="18"/>
      <c r="S10" s="18"/>
      <c r="T10" s="3"/>
      <c r="U10" s="3"/>
      <c r="V10" s="23"/>
      <c r="W10" s="23"/>
      <c r="X10" s="26"/>
      <c r="Y10" s="18"/>
      <c r="Z10" s="18"/>
      <c r="AA10" s="18"/>
      <c r="AB10" s="18"/>
      <c r="AC10" s="18"/>
      <c r="AD10" s="18"/>
    </row>
    <row r="11" spans="1:56" x14ac:dyDescent="0.25">
      <c r="A11" s="9" t="str">
        <f t="shared" si="0"/>
        <v>.0</v>
      </c>
      <c r="B11" s="32" t="str">
        <f t="shared" si="1"/>
        <v>↕.</v>
      </c>
      <c r="C11" s="54"/>
      <c r="D11" s="54"/>
      <c r="E11" s="48">
        <f t="shared" si="2"/>
        <v>0</v>
      </c>
      <c r="F11" s="48">
        <f t="shared" si="3"/>
        <v>0</v>
      </c>
      <c r="G11" s="54"/>
      <c r="H11" s="54"/>
      <c r="I11" s="49">
        <f t="shared" si="4"/>
        <v>0</v>
      </c>
      <c r="J11" s="53">
        <f t="shared" si="5"/>
        <v>0</v>
      </c>
      <c r="K11" s="52" t="str">
        <f t="shared" si="6"/>
        <v/>
      </c>
      <c r="L11" s="52" t="str">
        <f t="shared" si="7"/>
        <v/>
      </c>
      <c r="M11" s="51" t="str">
        <f t="shared" si="8"/>
        <v/>
      </c>
      <c r="N11" s="30" t="str">
        <f t="shared" si="9"/>
        <v/>
      </c>
      <c r="O11" s="22"/>
      <c r="P11" s="18"/>
      <c r="Q11" s="18"/>
      <c r="R11" s="18"/>
      <c r="S11" s="18"/>
      <c r="T11" s="3"/>
      <c r="U11" s="3"/>
      <c r="V11" s="23"/>
      <c r="W11" s="23"/>
      <c r="X11" s="26"/>
      <c r="Y11" s="18"/>
      <c r="Z11" s="18"/>
      <c r="AA11" s="18"/>
      <c r="AB11" s="18"/>
      <c r="AC11" s="18"/>
      <c r="AD11" s="18"/>
    </row>
    <row r="12" spans="1:56" x14ac:dyDescent="0.25">
      <c r="A12" s="9" t="str">
        <f t="shared" si="0"/>
        <v>.0</v>
      </c>
      <c r="B12" s="32" t="str">
        <f t="shared" si="1"/>
        <v>↕.</v>
      </c>
      <c r="C12" s="54"/>
      <c r="D12" s="54"/>
      <c r="E12" s="48">
        <f t="shared" si="2"/>
        <v>0</v>
      </c>
      <c r="F12" s="48">
        <f t="shared" si="3"/>
        <v>0</v>
      </c>
      <c r="G12" s="54"/>
      <c r="H12" s="54"/>
      <c r="I12" s="49">
        <f t="shared" si="4"/>
        <v>0</v>
      </c>
      <c r="J12" s="53">
        <f t="shared" si="5"/>
        <v>0</v>
      </c>
      <c r="K12" s="52" t="str">
        <f t="shared" si="6"/>
        <v/>
      </c>
      <c r="L12" s="52" t="str">
        <f t="shared" si="7"/>
        <v/>
      </c>
      <c r="M12" s="51" t="str">
        <f t="shared" si="8"/>
        <v/>
      </c>
      <c r="N12" s="30" t="str">
        <f t="shared" si="9"/>
        <v/>
      </c>
      <c r="O12" s="22"/>
      <c r="P12" s="18"/>
      <c r="Q12" s="18"/>
      <c r="R12" s="18"/>
      <c r="S12" s="18"/>
      <c r="T12" s="3"/>
      <c r="U12" s="3"/>
      <c r="V12" s="23"/>
      <c r="W12" s="23"/>
      <c r="X12" s="26"/>
      <c r="Y12" s="18"/>
      <c r="Z12" s="18"/>
      <c r="AA12" s="18"/>
      <c r="AB12" s="18"/>
      <c r="AC12" s="18"/>
      <c r="AD12" s="18"/>
    </row>
    <row r="13" spans="1:56" x14ac:dyDescent="0.25">
      <c r="A13" s="9" t="str">
        <f t="shared" si="0"/>
        <v>.0</v>
      </c>
      <c r="B13" s="32" t="str">
        <f t="shared" si="1"/>
        <v>↕.</v>
      </c>
      <c r="C13" s="54"/>
      <c r="D13" s="54"/>
      <c r="E13" s="48">
        <f t="shared" si="2"/>
        <v>0</v>
      </c>
      <c r="F13" s="48">
        <f t="shared" si="3"/>
        <v>0</v>
      </c>
      <c r="G13" s="54"/>
      <c r="H13" s="54"/>
      <c r="I13" s="49">
        <f t="shared" si="4"/>
        <v>0</v>
      </c>
      <c r="J13" s="53">
        <f t="shared" si="5"/>
        <v>0</v>
      </c>
      <c r="K13" s="52" t="str">
        <f t="shared" si="6"/>
        <v/>
      </c>
      <c r="L13" s="52" t="str">
        <f t="shared" si="7"/>
        <v/>
      </c>
      <c r="M13" s="51" t="str">
        <f t="shared" si="8"/>
        <v/>
      </c>
      <c r="N13" s="30" t="str">
        <f t="shared" si="9"/>
        <v/>
      </c>
      <c r="O13" s="22"/>
      <c r="P13" s="18"/>
      <c r="Q13" s="18"/>
      <c r="R13" s="18"/>
      <c r="S13" s="18"/>
      <c r="T13" s="3"/>
      <c r="U13" s="3"/>
      <c r="V13" s="23"/>
      <c r="W13" s="23"/>
      <c r="X13" s="26"/>
      <c r="Y13" s="18"/>
      <c r="Z13" s="18"/>
      <c r="AA13" s="18"/>
      <c r="AB13" s="18"/>
      <c r="AC13" s="18"/>
      <c r="AD13" s="18"/>
    </row>
    <row r="14" spans="1:56" x14ac:dyDescent="0.25">
      <c r="A14" s="13"/>
      <c r="B14" s="34"/>
      <c r="C14" s="42"/>
      <c r="D14" s="42"/>
      <c r="E14" s="33"/>
      <c r="F14" s="33"/>
      <c r="G14" s="42"/>
      <c r="H14" s="45" t="s">
        <v>15</v>
      </c>
      <c r="I14" s="50">
        <f>SUM(I4:I13)</f>
        <v>0</v>
      </c>
      <c r="J14" s="35"/>
      <c r="K14" s="34"/>
      <c r="L14" s="34"/>
      <c r="M14" s="36"/>
      <c r="O14" s="24"/>
      <c r="V14" s="17"/>
      <c r="W14" s="17"/>
    </row>
    <row r="15" spans="1:56" ht="15" customHeight="1" x14ac:dyDescent="0.25">
      <c r="A15" s="34"/>
      <c r="B15" s="34"/>
      <c r="C15" s="42"/>
      <c r="D15" s="42"/>
      <c r="E15" s="33"/>
      <c r="F15" s="33"/>
      <c r="G15" s="42"/>
      <c r="H15" s="42"/>
      <c r="I15" s="25"/>
      <c r="J15" s="35"/>
      <c r="K15" s="34"/>
      <c r="L15" s="34"/>
      <c r="M15" s="36"/>
      <c r="O15" s="24"/>
      <c r="V15" s="17"/>
      <c r="W15" s="17"/>
    </row>
    <row r="16" spans="1:56" x14ac:dyDescent="0.25">
      <c r="A16" s="2" t="s">
        <v>8</v>
      </c>
      <c r="B16" s="13"/>
      <c r="C16" s="42"/>
      <c r="D16" s="42"/>
      <c r="E16" s="33"/>
      <c r="F16" s="33"/>
      <c r="G16" s="42"/>
      <c r="H16" s="42"/>
      <c r="I16" s="25"/>
      <c r="J16" s="37"/>
      <c r="K16" s="13"/>
      <c r="L16" s="13"/>
      <c r="M16" s="36"/>
      <c r="O16" s="24"/>
      <c r="V16" s="17"/>
      <c r="W16" s="17"/>
    </row>
    <row r="17" spans="1:23" x14ac:dyDescent="0.25">
      <c r="A17" s="30" t="s">
        <v>32</v>
      </c>
      <c r="B17" s="13"/>
      <c r="C17" s="42"/>
      <c r="D17" s="42"/>
      <c r="E17" s="33"/>
      <c r="F17" s="33"/>
      <c r="G17" s="42"/>
      <c r="H17" s="42"/>
      <c r="I17" s="25"/>
      <c r="J17" s="37"/>
      <c r="K17" s="13"/>
      <c r="L17" s="13"/>
      <c r="M17" s="36"/>
      <c r="O17" s="24"/>
      <c r="V17" s="17"/>
      <c r="W17" s="17"/>
    </row>
    <row r="18" spans="1:23" x14ac:dyDescent="0.25">
      <c r="A18" s="13" t="s">
        <v>33</v>
      </c>
    </row>
    <row r="19" spans="1:23" x14ac:dyDescent="0.25">
      <c r="A19" s="13" t="s">
        <v>16</v>
      </c>
    </row>
    <row r="20" spans="1:23" x14ac:dyDescent="0.25">
      <c r="A20" s="13" t="s">
        <v>28</v>
      </c>
    </row>
    <row r="21" spans="1:23" x14ac:dyDescent="0.25">
      <c r="A21" s="13"/>
    </row>
    <row r="22" spans="1:23" ht="18.75" x14ac:dyDescent="0.3">
      <c r="A22" s="1" t="str">
        <f>CONCATENATE(A2, ". Соответствие кромки и ДСП")</f>
        <v>bCad-teh1. Соответствие кромки и ДСП</v>
      </c>
      <c r="N22" s="30" t="s">
        <v>35</v>
      </c>
    </row>
    <row r="23" spans="1:23" x14ac:dyDescent="0.25">
      <c r="A23" s="3" t="s">
        <v>6</v>
      </c>
      <c r="B23" s="4" t="s">
        <v>14</v>
      </c>
      <c r="C23" s="40"/>
      <c r="D23" s="60"/>
      <c r="E23" s="61"/>
      <c r="F23" s="5"/>
      <c r="G23" s="44"/>
      <c r="H23" s="57" t="s">
        <v>31</v>
      </c>
      <c r="I23" s="58" t="s">
        <v>30</v>
      </c>
      <c r="J23" s="3" t="s">
        <v>13</v>
      </c>
      <c r="K23" s="3" t="s">
        <v>52</v>
      </c>
      <c r="L23" s="55"/>
      <c r="M23" s="56"/>
    </row>
    <row r="24" spans="1:23" x14ac:dyDescent="0.25">
      <c r="A24" s="3"/>
      <c r="B24" s="4"/>
      <c r="C24" s="46"/>
      <c r="D24" s="62"/>
      <c r="E24" s="63"/>
      <c r="F24" s="5"/>
      <c r="G24" s="43"/>
      <c r="H24" s="59"/>
      <c r="I24" s="18"/>
      <c r="J24" s="3"/>
      <c r="K24" s="3"/>
      <c r="L24" s="55"/>
      <c r="M24" s="56"/>
    </row>
    <row r="25" spans="1:23" x14ac:dyDescent="0.25">
      <c r="A25" s="3"/>
      <c r="B25" s="4"/>
      <c r="C25" s="46"/>
      <c r="D25" s="62"/>
      <c r="E25" s="63"/>
      <c r="F25" s="5"/>
      <c r="G25" s="43"/>
      <c r="H25" s="59"/>
      <c r="I25" s="18"/>
      <c r="J25" s="80"/>
      <c r="K25" s="3"/>
      <c r="L25" s="55"/>
      <c r="M25" s="56"/>
    </row>
    <row r="26" spans="1:23" x14ac:dyDescent="0.25">
      <c r="A26" s="3"/>
      <c r="B26" s="4"/>
      <c r="C26" s="46"/>
      <c r="D26" s="62"/>
      <c r="E26" s="63"/>
      <c r="F26" s="5"/>
      <c r="G26" s="43"/>
      <c r="H26" s="59"/>
      <c r="I26" s="18"/>
      <c r="J26" s="3"/>
      <c r="K26" s="3"/>
      <c r="L26" s="55"/>
      <c r="M26" s="56"/>
    </row>
    <row r="27" spans="1:23" x14ac:dyDescent="0.25">
      <c r="A27" s="3"/>
      <c r="B27" s="4"/>
      <c r="C27" s="46"/>
      <c r="D27" s="62"/>
      <c r="E27" s="63"/>
      <c r="F27" s="5"/>
      <c r="G27" s="43"/>
      <c r="H27" s="59"/>
      <c r="I27" s="18"/>
      <c r="J27" s="80"/>
      <c r="K27" s="3"/>
      <c r="L27" s="55"/>
      <c r="M27" s="56"/>
    </row>
    <row r="28" spans="1:23" x14ac:dyDescent="0.25">
      <c r="A28" s="3"/>
      <c r="B28" s="4"/>
      <c r="C28" s="46"/>
      <c r="D28" s="62"/>
      <c r="E28" s="63"/>
      <c r="F28" s="5"/>
      <c r="G28" s="43"/>
      <c r="H28" s="59"/>
      <c r="I28" s="18"/>
      <c r="J28" s="80"/>
      <c r="K28" s="3"/>
      <c r="L28" s="55"/>
      <c r="M28" s="56"/>
    </row>
    <row r="29" spans="1:23" x14ac:dyDescent="0.25">
      <c r="A29" s="3"/>
      <c r="B29" s="4"/>
      <c r="C29" s="46"/>
      <c r="D29" s="62"/>
      <c r="E29" s="63"/>
      <c r="F29" s="5"/>
      <c r="G29" s="43"/>
      <c r="H29" s="59"/>
      <c r="I29" s="18"/>
      <c r="J29" s="3"/>
      <c r="K29" s="3"/>
      <c r="L29" s="55"/>
      <c r="M29" s="56"/>
    </row>
    <row r="30" spans="1:23" x14ac:dyDescent="0.25">
      <c r="A30" s="3"/>
      <c r="B30" s="81"/>
      <c r="C30" s="46"/>
      <c r="D30" s="62"/>
      <c r="E30" s="63"/>
      <c r="F30" s="5"/>
      <c r="G30" s="43"/>
      <c r="H30" s="59"/>
      <c r="I30" s="18"/>
      <c r="J30" s="80"/>
      <c r="K30" s="3"/>
      <c r="L30" s="55"/>
      <c r="M30" s="56"/>
    </row>
    <row r="31" spans="1:23" x14ac:dyDescent="0.25">
      <c r="A31" s="3"/>
      <c r="B31" s="81"/>
      <c r="C31" s="46"/>
      <c r="D31" s="62"/>
      <c r="E31" s="63"/>
      <c r="F31" s="5"/>
      <c r="G31" s="43"/>
      <c r="H31" s="59"/>
      <c r="I31" s="18"/>
      <c r="J31" s="80"/>
      <c r="K31" s="3"/>
      <c r="L31" s="55"/>
      <c r="M31" s="56"/>
    </row>
    <row r="32" spans="1:23" x14ac:dyDescent="0.25">
      <c r="A32" s="3"/>
      <c r="B32" s="81"/>
      <c r="C32" s="46"/>
      <c r="D32" s="62"/>
      <c r="E32" s="63"/>
      <c r="F32" s="5"/>
      <c r="G32" s="43"/>
      <c r="H32" s="59"/>
      <c r="I32" s="18"/>
      <c r="J32" s="80"/>
      <c r="K32" s="3"/>
      <c r="L32" s="55"/>
      <c r="M32" s="56"/>
    </row>
    <row r="33" spans="1:29" x14ac:dyDescent="0.25">
      <c r="A33" s="3"/>
      <c r="B33" s="81"/>
      <c r="C33" s="46"/>
      <c r="D33" s="62"/>
      <c r="E33" s="63"/>
      <c r="F33" s="5"/>
      <c r="G33" s="43"/>
      <c r="H33" s="59"/>
      <c r="I33" s="18"/>
      <c r="J33" s="3"/>
      <c r="K33" s="3"/>
      <c r="L33" s="55"/>
      <c r="M33" s="56"/>
    </row>
    <row r="34" spans="1:29" x14ac:dyDescent="0.25">
      <c r="A34" s="3"/>
      <c r="B34" s="81"/>
      <c r="C34" s="46"/>
      <c r="D34" s="62"/>
      <c r="E34" s="63"/>
      <c r="F34" s="5"/>
      <c r="G34" s="43"/>
      <c r="H34" s="59"/>
      <c r="I34" s="18"/>
      <c r="J34" s="80"/>
      <c r="K34" s="3"/>
      <c r="L34" s="55"/>
      <c r="M34" s="56"/>
    </row>
    <row r="35" spans="1:29" x14ac:dyDescent="0.25">
      <c r="A35" s="3"/>
      <c r="B35" s="4"/>
      <c r="C35" s="46"/>
      <c r="D35" s="62"/>
      <c r="E35" s="63"/>
      <c r="F35" s="5"/>
      <c r="G35" s="43"/>
      <c r="H35" s="59"/>
      <c r="I35" s="18"/>
      <c r="J35" s="18"/>
      <c r="K35" s="3"/>
      <c r="L35" s="55"/>
      <c r="M35" s="56"/>
    </row>
    <row r="36" spans="1:29" ht="18.75" x14ac:dyDescent="0.3">
      <c r="A36" s="1" t="str">
        <f>CONCATENATE(A2, ". Стекло")</f>
        <v>bCad-teh1. Стекло</v>
      </c>
    </row>
    <row r="37" spans="1:29" x14ac:dyDescent="0.25">
      <c r="A37" s="3" t="s">
        <v>6</v>
      </c>
      <c r="B37" s="4" t="s">
        <v>5</v>
      </c>
      <c r="C37" s="39" t="s">
        <v>9</v>
      </c>
      <c r="D37" s="40" t="s">
        <v>11</v>
      </c>
      <c r="E37" s="6" t="s">
        <v>1</v>
      </c>
      <c r="F37" s="7" t="s">
        <v>0</v>
      </c>
      <c r="G37" s="40" t="s">
        <v>10</v>
      </c>
      <c r="H37" s="44" t="s">
        <v>12</v>
      </c>
      <c r="I37" s="8" t="s">
        <v>2</v>
      </c>
      <c r="J37" s="3" t="s">
        <v>3</v>
      </c>
      <c r="K37" s="4"/>
      <c r="L37" s="4"/>
      <c r="M37" s="3" t="s">
        <v>4</v>
      </c>
    </row>
    <row r="38" spans="1:29" x14ac:dyDescent="0.25">
      <c r="A38" s="9"/>
      <c r="B38" s="32"/>
      <c r="C38" s="41"/>
      <c r="D38" s="41"/>
      <c r="E38" s="14"/>
      <c r="F38" s="14"/>
      <c r="G38" s="41"/>
      <c r="H38" s="41"/>
      <c r="I38" s="10"/>
      <c r="J38" s="11"/>
      <c r="K38" s="32"/>
      <c r="L38" s="32"/>
      <c r="M38" s="28"/>
      <c r="O38" s="22"/>
      <c r="P38" s="18"/>
      <c r="Q38" s="18"/>
      <c r="R38" s="18"/>
      <c r="S38" s="18"/>
      <c r="T38" s="3"/>
      <c r="U38" s="3"/>
      <c r="V38" s="23"/>
      <c r="W38" s="23"/>
      <c r="X38" s="18"/>
      <c r="Y38" s="18"/>
      <c r="Z38" s="18"/>
      <c r="AA38" s="18"/>
      <c r="AB38" s="18"/>
      <c r="AC38" s="18"/>
    </row>
    <row r="39" spans="1:29" x14ac:dyDescent="0.25">
      <c r="A39" s="9"/>
      <c r="B39" s="32"/>
      <c r="C39" s="41"/>
      <c r="D39" s="41"/>
      <c r="E39" s="14"/>
      <c r="F39" s="14"/>
      <c r="G39" s="41"/>
      <c r="H39" s="41"/>
      <c r="I39" s="10"/>
      <c r="J39" s="11"/>
      <c r="K39" s="32"/>
      <c r="L39" s="32"/>
      <c r="M39" s="28"/>
      <c r="O39" s="22"/>
      <c r="P39" s="18"/>
      <c r="Q39" s="18"/>
      <c r="R39" s="18"/>
      <c r="S39" s="18"/>
      <c r="T39" s="3"/>
      <c r="U39" s="3"/>
      <c r="V39" s="23"/>
      <c r="W39" s="23"/>
      <c r="X39" s="18"/>
      <c r="Y39" s="18"/>
      <c r="Z39" s="18"/>
      <c r="AA39" s="18"/>
      <c r="AB39" s="18"/>
      <c r="AC39" s="18"/>
    </row>
    <row r="40" spans="1:29" x14ac:dyDescent="0.25">
      <c r="A40" s="9"/>
      <c r="B40" s="32"/>
      <c r="C40" s="41"/>
      <c r="D40" s="41"/>
      <c r="E40" s="14"/>
      <c r="F40" s="14"/>
      <c r="G40" s="41"/>
      <c r="H40" s="41"/>
      <c r="I40" s="10"/>
      <c r="J40" s="11"/>
      <c r="K40" s="32"/>
      <c r="L40" s="32"/>
      <c r="M40" s="28"/>
      <c r="O40" s="22"/>
      <c r="P40" s="18"/>
      <c r="Q40" s="18"/>
      <c r="R40" s="18"/>
      <c r="S40" s="18"/>
      <c r="T40" s="3"/>
      <c r="U40" s="3"/>
      <c r="V40" s="23"/>
      <c r="W40" s="23"/>
      <c r="X40" s="18"/>
      <c r="Y40" s="18"/>
      <c r="Z40" s="18"/>
      <c r="AA40" s="18"/>
      <c r="AB40" s="18"/>
      <c r="AC40" s="18"/>
    </row>
    <row r="41" spans="1:29" x14ac:dyDescent="0.25">
      <c r="A41" s="9"/>
      <c r="B41" s="32"/>
      <c r="C41" s="41"/>
      <c r="D41" s="41"/>
      <c r="E41" s="14"/>
      <c r="F41" s="14"/>
      <c r="G41" s="41"/>
      <c r="H41" s="41"/>
      <c r="I41" s="10"/>
      <c r="J41" s="11"/>
      <c r="K41" s="32"/>
      <c r="L41" s="32"/>
      <c r="M41" s="28"/>
      <c r="O41" s="22"/>
      <c r="P41" s="18"/>
      <c r="Q41" s="18"/>
      <c r="R41" s="18"/>
      <c r="S41" s="18"/>
      <c r="T41" s="3"/>
      <c r="U41" s="3"/>
      <c r="V41" s="23"/>
      <c r="W41" s="23"/>
      <c r="X41" s="18"/>
      <c r="Y41" s="18"/>
      <c r="Z41" s="18"/>
      <c r="AA41" s="18"/>
      <c r="AB41" s="18"/>
      <c r="AC41" s="18"/>
    </row>
    <row r="42" spans="1:29" x14ac:dyDescent="0.25">
      <c r="A42" s="9"/>
      <c r="B42" s="32"/>
      <c r="C42" s="41"/>
      <c r="D42" s="41"/>
      <c r="E42" s="14"/>
      <c r="F42" s="14"/>
      <c r="G42" s="41"/>
      <c r="H42" s="41"/>
      <c r="I42" s="10"/>
      <c r="J42" s="11"/>
      <c r="K42" s="32"/>
      <c r="L42" s="32"/>
      <c r="M42" s="28"/>
      <c r="O42" s="22"/>
      <c r="P42" s="18"/>
      <c r="Q42" s="18"/>
      <c r="R42" s="18"/>
      <c r="S42" s="18"/>
      <c r="T42" s="3"/>
      <c r="U42" s="3"/>
      <c r="V42" s="23"/>
      <c r="W42" s="23"/>
      <c r="X42" s="18"/>
      <c r="Y42" s="18"/>
      <c r="Z42" s="18"/>
      <c r="AA42" s="18"/>
      <c r="AB42" s="18"/>
      <c r="AC42" s="18"/>
    </row>
    <row r="43" spans="1:29" x14ac:dyDescent="0.25">
      <c r="A43" s="13"/>
      <c r="B43" s="9"/>
      <c r="C43" s="41"/>
      <c r="D43" s="41"/>
      <c r="E43" s="14"/>
      <c r="F43" s="14"/>
      <c r="G43" s="41"/>
      <c r="H43" s="45" t="s">
        <v>15</v>
      </c>
      <c r="I43" s="25">
        <f>SUM(I38:I42)</f>
        <v>0</v>
      </c>
      <c r="J43" s="11"/>
      <c r="K43" s="9"/>
      <c r="L43" s="9"/>
      <c r="M43" s="12"/>
      <c r="O43" s="24"/>
      <c r="V43" s="17"/>
      <c r="W43" s="17"/>
    </row>
    <row r="44" spans="1:29" x14ac:dyDescent="0.25">
      <c r="A44" s="16" t="s">
        <v>8</v>
      </c>
      <c r="B44" s="9"/>
      <c r="C44" s="41"/>
      <c r="D44" s="41"/>
      <c r="E44" s="14"/>
      <c r="F44" s="14"/>
      <c r="G44" s="41"/>
      <c r="H44" s="41"/>
      <c r="I44" s="10"/>
      <c r="J44" s="15"/>
      <c r="K44" s="9"/>
      <c r="L44" s="9"/>
      <c r="M44" s="12"/>
    </row>
    <row r="45" spans="1:29" x14ac:dyDescent="0.25">
      <c r="A45" s="13" t="s">
        <v>40</v>
      </c>
      <c r="B45" s="9"/>
      <c r="C45" s="41"/>
      <c r="D45" s="41"/>
      <c r="E45" s="14"/>
      <c r="F45" s="14"/>
      <c r="G45" s="41"/>
      <c r="H45" s="41"/>
      <c r="I45" s="10"/>
      <c r="J45" s="15"/>
      <c r="K45" s="9"/>
      <c r="L45" s="9"/>
      <c r="M45" s="12"/>
    </row>
    <row r="47" spans="1:29" ht="18.75" x14ac:dyDescent="0.3">
      <c r="A47" s="1" t="str">
        <f>CONCATENATE(A2, ". Пластик")</f>
        <v>bCad-teh1. Пластик</v>
      </c>
    </row>
    <row r="48" spans="1:29" x14ac:dyDescent="0.25">
      <c r="A48" s="3" t="s">
        <v>6</v>
      </c>
      <c r="B48" s="4" t="s">
        <v>5</v>
      </c>
      <c r="C48" s="39" t="s">
        <v>9</v>
      </c>
      <c r="D48" s="40" t="s">
        <v>11</v>
      </c>
      <c r="E48" s="6" t="s">
        <v>1</v>
      </c>
      <c r="F48" s="7" t="s">
        <v>0</v>
      </c>
      <c r="G48" s="40" t="s">
        <v>10</v>
      </c>
      <c r="H48" s="44" t="s">
        <v>12</v>
      </c>
      <c r="I48" s="8" t="s">
        <v>2</v>
      </c>
      <c r="J48" s="3" t="s">
        <v>3</v>
      </c>
      <c r="K48" s="4"/>
      <c r="L48" s="4"/>
      <c r="M48" s="3" t="s">
        <v>4</v>
      </c>
    </row>
    <row r="49" spans="1:29" x14ac:dyDescent="0.25">
      <c r="A49" s="9"/>
      <c r="B49" s="32"/>
      <c r="C49" s="41"/>
      <c r="D49" s="41"/>
      <c r="E49" s="14"/>
      <c r="F49" s="14"/>
      <c r="G49" s="41"/>
      <c r="H49" s="41"/>
      <c r="I49" s="10"/>
      <c r="J49" s="11"/>
      <c r="K49" s="32"/>
      <c r="L49" s="32"/>
      <c r="M49" s="28"/>
      <c r="O49" s="22"/>
      <c r="P49" s="18"/>
      <c r="Q49" s="18"/>
      <c r="R49" s="18"/>
      <c r="S49" s="18"/>
      <c r="T49" s="3"/>
      <c r="U49" s="3"/>
      <c r="V49" s="23"/>
      <c r="W49" s="23"/>
      <c r="X49" s="18"/>
      <c r="Y49" s="18"/>
      <c r="Z49" s="18"/>
      <c r="AA49" s="18"/>
      <c r="AB49" s="18"/>
      <c r="AC49" s="18"/>
    </row>
    <row r="50" spans="1:29" x14ac:dyDescent="0.25">
      <c r="A50" s="9"/>
      <c r="B50" s="32"/>
      <c r="C50" s="41"/>
      <c r="D50" s="41"/>
      <c r="E50" s="14"/>
      <c r="F50" s="14"/>
      <c r="G50" s="41"/>
      <c r="H50" s="41"/>
      <c r="I50" s="10"/>
      <c r="J50" s="11"/>
      <c r="K50" s="32"/>
      <c r="L50" s="32"/>
      <c r="M50" s="28"/>
      <c r="O50" s="22"/>
      <c r="P50" s="18"/>
      <c r="Q50" s="18"/>
      <c r="R50" s="18"/>
      <c r="S50" s="18"/>
      <c r="T50" s="3"/>
      <c r="U50" s="3"/>
      <c r="V50" s="23"/>
      <c r="W50" s="23"/>
      <c r="X50" s="18"/>
      <c r="Y50" s="18"/>
      <c r="Z50" s="18"/>
      <c r="AA50" s="18"/>
      <c r="AB50" s="18"/>
      <c r="AC50" s="18"/>
    </row>
    <row r="51" spans="1:29" x14ac:dyDescent="0.25">
      <c r="A51" s="9"/>
      <c r="B51" s="32"/>
      <c r="C51" s="41"/>
      <c r="D51" s="41"/>
      <c r="E51" s="14"/>
      <c r="F51" s="14"/>
      <c r="G51" s="41"/>
      <c r="H51" s="41"/>
      <c r="I51" s="10"/>
      <c r="J51" s="11"/>
      <c r="K51" s="15"/>
      <c r="L51" s="15"/>
      <c r="M51" s="11"/>
      <c r="O51" s="22"/>
      <c r="P51" s="18"/>
      <c r="Q51" s="18"/>
      <c r="R51" s="18"/>
      <c r="S51" s="18"/>
      <c r="T51" s="3"/>
      <c r="U51" s="3"/>
      <c r="V51" s="23"/>
      <c r="W51" s="23"/>
      <c r="X51" s="18"/>
      <c r="Y51" s="18"/>
      <c r="Z51" s="18"/>
      <c r="AA51" s="18"/>
      <c r="AB51" s="18"/>
      <c r="AC51" s="18"/>
    </row>
    <row r="52" spans="1:29" x14ac:dyDescent="0.25">
      <c r="A52" s="9"/>
      <c r="B52" s="32"/>
      <c r="C52" s="41"/>
      <c r="D52" s="41"/>
      <c r="E52" s="14"/>
      <c r="F52" s="14"/>
      <c r="G52" s="41"/>
      <c r="H52" s="41"/>
      <c r="I52" s="10"/>
      <c r="J52" s="11"/>
      <c r="K52" s="15"/>
      <c r="L52" s="15"/>
      <c r="M52" s="11"/>
      <c r="O52" s="22"/>
      <c r="P52" s="18"/>
      <c r="Q52" s="18"/>
      <c r="R52" s="18"/>
      <c r="S52" s="18"/>
      <c r="T52" s="3"/>
      <c r="U52" s="3"/>
      <c r="V52" s="23"/>
      <c r="W52" s="23"/>
      <c r="X52" s="18"/>
      <c r="Y52" s="18"/>
      <c r="Z52" s="18"/>
      <c r="AA52" s="18"/>
      <c r="AB52" s="18"/>
      <c r="AC52" s="18"/>
    </row>
    <row r="53" spans="1:29" x14ac:dyDescent="0.25">
      <c r="A53" s="9"/>
      <c r="B53" s="32"/>
      <c r="C53" s="41"/>
      <c r="D53" s="41"/>
      <c r="E53" s="14"/>
      <c r="F53" s="14"/>
      <c r="G53" s="41"/>
      <c r="H53" s="41"/>
      <c r="I53" s="10"/>
      <c r="J53" s="11"/>
      <c r="K53" s="15"/>
      <c r="L53" s="15"/>
      <c r="M53" s="11"/>
      <c r="O53" s="22"/>
      <c r="P53" s="18"/>
      <c r="Q53" s="18"/>
      <c r="R53" s="18"/>
      <c r="S53" s="18"/>
      <c r="T53" s="3"/>
      <c r="U53" s="3"/>
      <c r="V53" s="23"/>
      <c r="W53" s="23"/>
      <c r="X53" s="18"/>
      <c r="Y53" s="18"/>
      <c r="Z53" s="18"/>
      <c r="AA53" s="18"/>
      <c r="AB53" s="18"/>
      <c r="AC53" s="18"/>
    </row>
    <row r="54" spans="1:29" x14ac:dyDescent="0.25">
      <c r="A54" s="9"/>
      <c r="B54" s="32"/>
      <c r="C54" s="41"/>
      <c r="D54" s="41"/>
      <c r="E54" s="14"/>
      <c r="F54" s="14"/>
      <c r="G54" s="41"/>
      <c r="H54" s="41"/>
      <c r="I54" s="10"/>
      <c r="J54" s="11"/>
      <c r="K54" s="15"/>
      <c r="L54" s="15"/>
      <c r="M54" s="11"/>
      <c r="O54" s="22"/>
      <c r="P54" s="18"/>
      <c r="Q54" s="18"/>
      <c r="R54" s="18"/>
      <c r="S54" s="18"/>
      <c r="T54" s="3"/>
      <c r="U54" s="3"/>
      <c r="V54" s="23"/>
      <c r="W54" s="23"/>
      <c r="X54" s="18"/>
      <c r="Y54" s="18"/>
      <c r="Z54" s="18"/>
      <c r="AA54" s="18"/>
      <c r="AB54" s="18"/>
      <c r="AC54" s="18"/>
    </row>
    <row r="55" spans="1:29" x14ac:dyDescent="0.25">
      <c r="A55" s="9"/>
      <c r="B55" s="32"/>
      <c r="C55" s="41"/>
      <c r="D55" s="41"/>
      <c r="E55" s="14"/>
      <c r="F55" s="14"/>
      <c r="G55" s="41"/>
      <c r="H55" s="41"/>
      <c r="I55" s="10"/>
      <c r="J55" s="11"/>
      <c r="K55" s="15"/>
      <c r="L55" s="15"/>
      <c r="M55" s="11"/>
      <c r="O55" s="22"/>
      <c r="P55" s="18"/>
      <c r="Q55" s="18"/>
      <c r="R55" s="18"/>
      <c r="S55" s="18"/>
      <c r="T55" s="3"/>
      <c r="U55" s="3"/>
      <c r="V55" s="23"/>
      <c r="W55" s="23"/>
      <c r="X55" s="18"/>
      <c r="Y55" s="18"/>
      <c r="Z55" s="18"/>
      <c r="AA55" s="18"/>
      <c r="AB55" s="18"/>
      <c r="AC55" s="18"/>
    </row>
    <row r="56" spans="1:29" x14ac:dyDescent="0.25">
      <c r="A56" s="9"/>
      <c r="B56" s="32"/>
      <c r="C56" s="41"/>
      <c r="D56" s="41"/>
      <c r="E56" s="14"/>
      <c r="F56" s="14"/>
      <c r="G56" s="41"/>
      <c r="H56" s="41"/>
      <c r="I56" s="10"/>
      <c r="J56" s="11"/>
      <c r="K56" s="15"/>
      <c r="L56" s="15"/>
      <c r="M56" s="11"/>
      <c r="O56" s="22"/>
      <c r="P56" s="18"/>
      <c r="Q56" s="18"/>
      <c r="R56" s="18"/>
      <c r="S56" s="18"/>
      <c r="T56" s="3"/>
      <c r="U56" s="3"/>
      <c r="V56" s="23"/>
      <c r="W56" s="23"/>
      <c r="X56" s="18"/>
      <c r="Y56" s="18"/>
      <c r="Z56" s="18"/>
      <c r="AA56" s="18"/>
      <c r="AB56" s="18"/>
      <c r="AC56" s="18"/>
    </row>
    <row r="57" spans="1:29" x14ac:dyDescent="0.25">
      <c r="A57" s="9"/>
      <c r="B57" s="32"/>
      <c r="C57" s="41"/>
      <c r="D57" s="41"/>
      <c r="E57" s="14"/>
      <c r="F57" s="14"/>
      <c r="G57" s="41"/>
      <c r="H57" s="41"/>
      <c r="I57" s="10"/>
      <c r="J57" s="11"/>
      <c r="K57" s="15"/>
      <c r="L57" s="15"/>
      <c r="M57" s="11"/>
      <c r="O57" s="22"/>
      <c r="P57" s="18"/>
      <c r="Q57" s="18"/>
      <c r="R57" s="18"/>
      <c r="S57" s="18"/>
      <c r="T57" s="3"/>
      <c r="U57" s="3"/>
      <c r="V57" s="23"/>
      <c r="W57" s="23"/>
      <c r="X57" s="18"/>
      <c r="Y57" s="18"/>
      <c r="Z57" s="18"/>
      <c r="AA57" s="18"/>
      <c r="AB57" s="18"/>
      <c r="AC57" s="18"/>
    </row>
    <row r="58" spans="1:29" x14ac:dyDescent="0.25">
      <c r="A58" s="9"/>
      <c r="B58" s="32"/>
      <c r="C58" s="41"/>
      <c r="D58" s="41"/>
      <c r="E58" s="14"/>
      <c r="F58" s="14"/>
      <c r="G58" s="41"/>
      <c r="H58" s="41"/>
      <c r="I58" s="10"/>
      <c r="J58" s="11"/>
      <c r="K58" s="15"/>
      <c r="L58" s="15"/>
      <c r="M58" s="11"/>
      <c r="O58" s="22"/>
      <c r="P58" s="18"/>
      <c r="Q58" s="18"/>
      <c r="R58" s="18"/>
      <c r="S58" s="18"/>
      <c r="T58" s="3"/>
      <c r="U58" s="3"/>
      <c r="V58" s="23"/>
      <c r="W58" s="23"/>
      <c r="X58" s="18"/>
      <c r="Y58" s="18"/>
      <c r="Z58" s="18"/>
      <c r="AA58" s="18"/>
      <c r="AB58" s="18"/>
      <c r="AC58" s="18"/>
    </row>
    <row r="59" spans="1:29" x14ac:dyDescent="0.25">
      <c r="A59" s="13"/>
      <c r="B59" s="9"/>
      <c r="C59" s="41"/>
      <c r="D59" s="41"/>
      <c r="E59" s="14"/>
      <c r="F59" s="14"/>
      <c r="G59" s="41"/>
      <c r="H59" s="45" t="s">
        <v>15</v>
      </c>
      <c r="I59" s="25">
        <f>SUM(I49:I58)</f>
        <v>0</v>
      </c>
      <c r="J59" s="11"/>
      <c r="K59" s="9"/>
      <c r="L59" s="9"/>
      <c r="M59" s="12"/>
    </row>
    <row r="60" spans="1:29" x14ac:dyDescent="0.25">
      <c r="A60" s="16" t="s">
        <v>8</v>
      </c>
      <c r="B60" s="9"/>
      <c r="C60" s="41"/>
      <c r="D60" s="41"/>
      <c r="E60" s="14"/>
      <c r="F60" s="14"/>
      <c r="G60" s="41"/>
      <c r="H60" s="41"/>
      <c r="I60" s="10"/>
      <c r="J60" s="15"/>
      <c r="K60" s="9"/>
      <c r="L60" s="9"/>
      <c r="M60" s="12"/>
    </row>
    <row r="61" spans="1:29" x14ac:dyDescent="0.25">
      <c r="A61" s="13" t="s">
        <v>40</v>
      </c>
      <c r="B61" s="9"/>
      <c r="C61" s="41"/>
      <c r="D61" s="41"/>
      <c r="E61" s="14"/>
      <c r="F61" s="14"/>
      <c r="G61" s="41"/>
      <c r="H61" s="41"/>
      <c r="I61" s="10"/>
      <c r="J61" s="15"/>
      <c r="K61" s="9"/>
      <c r="L61" s="9"/>
      <c r="M61" s="12"/>
    </row>
    <row r="66" spans="1:81" ht="18.75" x14ac:dyDescent="0.3">
      <c r="A66" s="1" t="s">
        <v>29</v>
      </c>
    </row>
    <row r="67" spans="1:81" x14ac:dyDescent="0.25">
      <c r="A67" s="30" t="s">
        <v>37</v>
      </c>
    </row>
    <row r="68" spans="1:81" x14ac:dyDescent="0.25">
      <c r="M68" s="30"/>
      <c r="T68" s="30"/>
      <c r="U68" s="30"/>
    </row>
    <row r="69" spans="1:81" x14ac:dyDescent="0.25">
      <c r="M69" s="30"/>
      <c r="T69" s="30"/>
      <c r="U69" s="30"/>
    </row>
    <row r="70" spans="1:81" x14ac:dyDescent="0.25">
      <c r="M70" s="30"/>
      <c r="T70" s="30"/>
      <c r="U70" s="30"/>
    </row>
    <row r="71" spans="1:81" x14ac:dyDescent="0.25">
      <c r="A71"/>
      <c r="B71"/>
      <c r="C71"/>
      <c r="D71"/>
      <c r="E71"/>
      <c r="F71"/>
      <c r="G71"/>
      <c r="H71"/>
      <c r="I71"/>
      <c r="J71"/>
      <c r="K71"/>
      <c r="L71"/>
      <c r="M71"/>
      <c r="N71"/>
      <c r="O71"/>
      <c r="P71"/>
      <c r="Q71"/>
      <c r="R71"/>
      <c r="S71"/>
      <c r="T71"/>
      <c r="U71"/>
      <c r="V71"/>
      <c r="W71"/>
      <c r="X71"/>
      <c r="Y71"/>
      <c r="Z71"/>
      <c r="AA71"/>
      <c r="AB71"/>
      <c r="AC71"/>
      <c r="AD71"/>
      <c r="AE71"/>
      <c r="AF71"/>
      <c r="AG71"/>
      <c r="AH71"/>
      <c r="AI71"/>
      <c r="AJ71"/>
      <c r="AK71"/>
      <c r="AL71"/>
      <c r="AM71"/>
      <c r="AN71"/>
      <c r="AO71"/>
      <c r="AP71"/>
      <c r="AQ71"/>
    </row>
    <row r="73" spans="1:81" x14ac:dyDescent="0.25">
      <c r="A73"/>
      <c r="B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c r="AW73"/>
      <c r="AX73"/>
      <c r="AY73"/>
      <c r="AZ73"/>
      <c r="BA73"/>
      <c r="BB73"/>
      <c r="BC73"/>
      <c r="BD73"/>
      <c r="BE73"/>
    </row>
    <row r="74" spans="1:81" x14ac:dyDescent="0.25">
      <c r="A74"/>
      <c r="B74"/>
      <c r="C74"/>
      <c r="D74"/>
      <c r="E74"/>
      <c r="F74"/>
      <c r="G74"/>
      <c r="H74"/>
      <c r="I74"/>
      <c r="J74"/>
      <c r="K74"/>
      <c r="L74"/>
      <c r="M74"/>
      <c r="N74"/>
      <c r="O74"/>
      <c r="P74"/>
      <c r="Q74"/>
      <c r="R74"/>
      <c r="S74"/>
      <c r="T74"/>
      <c r="U74"/>
      <c r="V74"/>
      <c r="W74"/>
      <c r="X74"/>
      <c r="Y74"/>
      <c r="Z74"/>
      <c r="AA74"/>
      <c r="AB74"/>
      <c r="AC74"/>
      <c r="AD74"/>
      <c r="AE74"/>
      <c r="AF74"/>
      <c r="AG74"/>
      <c r="AH74"/>
      <c r="AI74"/>
      <c r="AJ74"/>
      <c r="AK74"/>
      <c r="AL74"/>
      <c r="AM74"/>
      <c r="AN74"/>
      <c r="AO74"/>
      <c r="AP74"/>
      <c r="AQ74"/>
      <c r="AR74"/>
      <c r="AS74"/>
      <c r="AT74"/>
      <c r="AU74"/>
      <c r="AV74"/>
      <c r="AW74"/>
      <c r="AX74"/>
      <c r="AY74"/>
      <c r="AZ74"/>
      <c r="BA74"/>
      <c r="BB74"/>
      <c r="BC74"/>
      <c r="BD74"/>
      <c r="BE74"/>
    </row>
    <row r="75" spans="1:81" x14ac:dyDescent="0.25">
      <c r="A75"/>
      <c r="B75"/>
      <c r="C75"/>
      <c r="D75"/>
      <c r="E75"/>
      <c r="F75"/>
      <c r="G75"/>
      <c r="H75"/>
      <c r="I75"/>
      <c r="J75"/>
      <c r="K75"/>
      <c r="L75"/>
      <c r="M75"/>
      <c r="N75"/>
      <c r="O75"/>
      <c r="P75"/>
      <c r="Q75"/>
      <c r="R75"/>
      <c r="S75"/>
      <c r="T75"/>
      <c r="U75"/>
      <c r="V75"/>
      <c r="W75"/>
      <c r="X75"/>
      <c r="Y75"/>
      <c r="Z75"/>
      <c r="AA75"/>
      <c r="AB75"/>
      <c r="AC75"/>
      <c r="AD75"/>
      <c r="AE75"/>
      <c r="AF75"/>
      <c r="AG75"/>
      <c r="AH75"/>
      <c r="AI75"/>
      <c r="AJ75"/>
      <c r="AK75"/>
      <c r="AL75"/>
      <c r="AM75"/>
      <c r="AN75"/>
      <c r="AO75"/>
      <c r="AP75"/>
      <c r="AQ75"/>
      <c r="AR75"/>
      <c r="AS75"/>
      <c r="AT75"/>
      <c r="AU75"/>
      <c r="AV75"/>
      <c r="AW75"/>
      <c r="AX75"/>
      <c r="AY75"/>
      <c r="AZ75"/>
      <c r="BA75"/>
      <c r="BB75"/>
      <c r="BC75"/>
      <c r="BD75"/>
      <c r="BE75"/>
    </row>
    <row r="76" spans="1:81" x14ac:dyDescent="0.25">
      <c r="A76"/>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c r="BB76"/>
      <c r="BC76"/>
      <c r="BD76"/>
      <c r="BE76"/>
    </row>
    <row r="77" spans="1:81" x14ac:dyDescent="0.25">
      <c r="A77"/>
      <c r="B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c r="AO77"/>
      <c r="AP77"/>
      <c r="AQ77"/>
      <c r="AR77"/>
      <c r="AS77"/>
      <c r="AT77"/>
      <c r="AU77"/>
      <c r="AV77"/>
      <c r="AW77"/>
      <c r="AX77"/>
      <c r="AY77"/>
      <c r="AZ77"/>
      <c r="BA77"/>
      <c r="BB77"/>
      <c r="BC77"/>
      <c r="BD77"/>
      <c r="BE77"/>
    </row>
    <row r="78" spans="1:81" x14ac:dyDescent="0.25">
      <c r="A78"/>
      <c r="B78"/>
      <c r="C78"/>
      <c r="D78"/>
      <c r="E78"/>
      <c r="F78"/>
      <c r="G78"/>
      <c r="H78"/>
      <c r="I78"/>
      <c r="J78"/>
      <c r="K78"/>
      <c r="L78"/>
      <c r="M78"/>
      <c r="N78"/>
      <c r="O78"/>
      <c r="P78"/>
      <c r="Q78"/>
      <c r="R78"/>
      <c r="S78"/>
      <c r="T78"/>
      <c r="U78"/>
      <c r="V78"/>
      <c r="W78"/>
      <c r="X78"/>
      <c r="Y78"/>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row>
    <row r="79" spans="1:81" x14ac:dyDescent="0.25">
      <c r="A79"/>
      <c r="B79"/>
      <c r="C79"/>
      <c r="D79"/>
      <c r="E79"/>
      <c r="F79"/>
      <c r="G79"/>
      <c r="H79"/>
      <c r="I79"/>
      <c r="J79"/>
      <c r="K79"/>
      <c r="L79"/>
      <c r="M79"/>
      <c r="N79"/>
      <c r="O79"/>
      <c r="P79"/>
      <c r="Q79"/>
      <c r="R79"/>
      <c r="S79"/>
      <c r="T79"/>
      <c r="U79"/>
      <c r="V79"/>
      <c r="W79"/>
      <c r="X79"/>
      <c r="Y79"/>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row>
    <row r="80" spans="1:81" x14ac:dyDescent="0.25">
      <c r="A80"/>
      <c r="B80"/>
      <c r="C80"/>
      <c r="D80"/>
      <c r="E80"/>
      <c r="F80"/>
      <c r="G80"/>
      <c r="H80"/>
      <c r="I80"/>
      <c r="J80"/>
      <c r="K80"/>
      <c r="L80"/>
      <c r="M80"/>
      <c r="N80"/>
      <c r="O80"/>
      <c r="P80"/>
      <c r="Q80"/>
      <c r="R80"/>
      <c r="S80"/>
      <c r="T80"/>
      <c r="U80"/>
      <c r="V80"/>
      <c r="W80"/>
      <c r="X80"/>
      <c r="Y80"/>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c r="CA80"/>
      <c r="CB80"/>
      <c r="CC80"/>
    </row>
    <row r="81" spans="1:81" x14ac:dyDescent="0.25">
      <c r="A81"/>
      <c r="B81"/>
      <c r="C81"/>
      <c r="D81"/>
      <c r="E81"/>
      <c r="F81"/>
      <c r="G81"/>
      <c r="H81"/>
      <c r="I81"/>
      <c r="J81"/>
      <c r="K81"/>
      <c r="L81"/>
      <c r="M81"/>
      <c r="N81"/>
      <c r="O81"/>
      <c r="P81"/>
      <c r="Q81"/>
      <c r="R81"/>
      <c r="S81"/>
      <c r="T81"/>
      <c r="U81"/>
      <c r="V81"/>
      <c r="W81"/>
      <c r="X81"/>
      <c r="Y81"/>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c r="BV81"/>
      <c r="BW81"/>
      <c r="BX81"/>
      <c r="BY81"/>
      <c r="BZ81"/>
      <c r="CA81"/>
      <c r="CB81"/>
      <c r="CC81"/>
    </row>
    <row r="82" spans="1:81" x14ac:dyDescent="0.25">
      <c r="A82"/>
      <c r="B82"/>
      <c r="C82"/>
      <c r="D82"/>
      <c r="E82"/>
      <c r="F82"/>
      <c r="G82"/>
      <c r="H82"/>
      <c r="I82"/>
      <c r="J82"/>
      <c r="K82"/>
      <c r="L82"/>
      <c r="M82"/>
      <c r="N82"/>
      <c r="O82"/>
      <c r="P82"/>
      <c r="Q82"/>
      <c r="R82"/>
      <c r="S82"/>
      <c r="T82"/>
      <c r="U82"/>
      <c r="V82"/>
      <c r="W82"/>
      <c r="X82"/>
      <c r="Y82"/>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c r="CA82"/>
      <c r="CB82"/>
      <c r="CC82"/>
    </row>
    <row r="83" spans="1:81" x14ac:dyDescent="0.25">
      <c r="A83"/>
      <c r="B83"/>
      <c r="C83"/>
      <c r="D83"/>
      <c r="E83"/>
      <c r="F83"/>
      <c r="G83"/>
      <c r="H83"/>
      <c r="I83"/>
      <c r="J83"/>
      <c r="K83"/>
      <c r="L83"/>
      <c r="M83"/>
      <c r="N83"/>
      <c r="O83"/>
      <c r="P83"/>
      <c r="Q83"/>
      <c r="R83"/>
      <c r="S83"/>
      <c r="T83"/>
      <c r="U83"/>
      <c r="V83"/>
      <c r="W83"/>
      <c r="X83"/>
      <c r="Y83"/>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c r="CA83"/>
      <c r="CB83"/>
      <c r="CC83"/>
    </row>
    <row r="84" spans="1:81" x14ac:dyDescent="0.25">
      <c r="A84"/>
      <c r="B84"/>
      <c r="C84"/>
      <c r="D84"/>
      <c r="E84"/>
      <c r="F84"/>
      <c r="G84"/>
      <c r="H84"/>
      <c r="I84"/>
      <c r="J84"/>
      <c r="K84"/>
      <c r="L84"/>
      <c r="M84"/>
      <c r="N84"/>
      <c r="O84"/>
      <c r="P84"/>
      <c r="Q84"/>
      <c r="R84"/>
      <c r="S84"/>
      <c r="T84"/>
      <c r="U84"/>
      <c r="V84"/>
      <c r="W84"/>
      <c r="X84"/>
      <c r="Y84"/>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c r="CA84"/>
      <c r="CB84"/>
      <c r="CC84"/>
    </row>
    <row r="85" spans="1:81" x14ac:dyDescent="0.25">
      <c r="A85"/>
      <c r="B85"/>
      <c r="C85"/>
      <c r="D85"/>
      <c r="E85"/>
      <c r="F85"/>
      <c r="G85"/>
      <c r="H85"/>
      <c r="I85"/>
      <c r="J85"/>
      <c r="K85"/>
      <c r="L85"/>
      <c r="M85"/>
      <c r="N85"/>
      <c r="O85"/>
      <c r="P85"/>
      <c r="Q85"/>
      <c r="R85"/>
      <c r="S85"/>
      <c r="T85"/>
      <c r="U85"/>
      <c r="V85"/>
      <c r="W85"/>
      <c r="X85"/>
      <c r="Y85"/>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c r="CA85"/>
      <c r="CB85"/>
      <c r="CC85"/>
    </row>
    <row r="86" spans="1:81" x14ac:dyDescent="0.25">
      <c r="A86"/>
      <c r="B86"/>
      <c r="C86"/>
      <c r="D86"/>
      <c r="E86"/>
      <c r="F86"/>
      <c r="G86"/>
      <c r="H86"/>
      <c r="I86"/>
      <c r="J86"/>
      <c r="K86"/>
      <c r="L86"/>
      <c r="M86"/>
      <c r="N86"/>
      <c r="O86"/>
      <c r="P86"/>
      <c r="Q86"/>
      <c r="R86"/>
      <c r="S86"/>
      <c r="T86"/>
      <c r="U86"/>
      <c r="V86"/>
      <c r="W86"/>
      <c r="X86"/>
      <c r="Y86"/>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c r="CA86"/>
      <c r="CB86"/>
      <c r="CC86"/>
    </row>
    <row r="87" spans="1:81" x14ac:dyDescent="0.25">
      <c r="A87"/>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row>
    <row r="88" spans="1:81" x14ac:dyDescent="0.25">
      <c r="A88"/>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c r="BZ88"/>
      <c r="CA88"/>
      <c r="CB88"/>
      <c r="CC88"/>
    </row>
    <row r="89" spans="1:81" x14ac:dyDescent="0.25">
      <c r="A89"/>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row>
    <row r="90" spans="1:81" x14ac:dyDescent="0.25">
      <c r="A90"/>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c r="BO90"/>
      <c r="BP90"/>
      <c r="BQ90"/>
      <c r="BR90"/>
      <c r="BS90"/>
      <c r="BT90"/>
      <c r="BU90"/>
      <c r="BV90"/>
      <c r="BW90"/>
      <c r="BX90"/>
      <c r="BY90"/>
      <c r="BZ90"/>
      <c r="CA90"/>
      <c r="CB90"/>
      <c r="CC90"/>
    </row>
    <row r="91" spans="1:81" x14ac:dyDescent="0.25">
      <c r="A9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c r="BJ91"/>
      <c r="BK91"/>
      <c r="BL91"/>
      <c r="BM91"/>
      <c r="BN91"/>
      <c r="BO91"/>
      <c r="BP91"/>
      <c r="BQ91"/>
      <c r="BR91"/>
      <c r="BS91"/>
      <c r="BT91"/>
      <c r="BU91"/>
      <c r="BV91"/>
      <c r="BW91"/>
      <c r="BX91"/>
      <c r="BY91"/>
      <c r="BZ91"/>
      <c r="CA91"/>
      <c r="CB91"/>
      <c r="CC91"/>
    </row>
    <row r="92" spans="1:81" x14ac:dyDescent="0.25">
      <c r="A92"/>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c r="BJ92"/>
      <c r="BK92"/>
      <c r="BL92"/>
      <c r="BM92"/>
      <c r="BN92"/>
      <c r="BO92"/>
      <c r="BP92"/>
      <c r="BQ92"/>
      <c r="BR92"/>
      <c r="BS92"/>
      <c r="BT92"/>
      <c r="BU92"/>
      <c r="BV92"/>
      <c r="BW92"/>
      <c r="BX92"/>
      <c r="BY92"/>
      <c r="BZ92"/>
      <c r="CA92"/>
      <c r="CB92"/>
      <c r="CC92"/>
    </row>
    <row r="93" spans="1:81" x14ac:dyDescent="0.25">
      <c r="A93"/>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c r="BJ93"/>
      <c r="BK93"/>
      <c r="BL93"/>
      <c r="BM93"/>
      <c r="BN93"/>
      <c r="BO93"/>
      <c r="BP93"/>
      <c r="BQ93"/>
      <c r="BR93"/>
      <c r="BS93"/>
      <c r="BT93"/>
      <c r="BU93"/>
      <c r="BV93"/>
      <c r="BW93"/>
      <c r="BX93"/>
      <c r="BY93"/>
      <c r="BZ93"/>
      <c r="CA93"/>
      <c r="CB93"/>
      <c r="CC93"/>
    </row>
    <row r="94" spans="1:81" x14ac:dyDescent="0.25">
      <c r="A94"/>
      <c r="B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c r="BJ94"/>
      <c r="BK94"/>
      <c r="BL94"/>
      <c r="BM94"/>
      <c r="BN94"/>
      <c r="BO94"/>
      <c r="BP94"/>
      <c r="BQ94"/>
      <c r="BR94"/>
      <c r="BS94"/>
      <c r="BT94"/>
      <c r="BU94"/>
      <c r="BV94"/>
      <c r="BW94"/>
      <c r="BX94"/>
      <c r="BY94"/>
      <c r="BZ94"/>
      <c r="CA94"/>
      <c r="CB94"/>
      <c r="CC94"/>
    </row>
    <row r="95" spans="1:81" x14ac:dyDescent="0.25">
      <c r="A95"/>
      <c r="B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c r="BJ95"/>
      <c r="BK95"/>
      <c r="BL95"/>
      <c r="BM95"/>
      <c r="BN95"/>
      <c r="BO95"/>
      <c r="BP95"/>
      <c r="BQ95"/>
      <c r="BR95"/>
      <c r="BS95"/>
      <c r="BT95"/>
      <c r="BU95"/>
      <c r="BV95"/>
      <c r="BW95"/>
      <c r="BX95"/>
      <c r="BY95"/>
      <c r="BZ95"/>
      <c r="CA95"/>
      <c r="CB95"/>
      <c r="CC95"/>
    </row>
    <row r="96" spans="1:81" x14ac:dyDescent="0.25">
      <c r="A96"/>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c r="BJ96"/>
      <c r="BK96"/>
      <c r="BL96"/>
      <c r="BM96"/>
      <c r="BN96"/>
      <c r="BO96"/>
      <c r="BP96"/>
      <c r="BQ96"/>
      <c r="BR96"/>
      <c r="BS96"/>
      <c r="BT96"/>
      <c r="BU96"/>
      <c r="BV96"/>
      <c r="BW96"/>
      <c r="BX96"/>
      <c r="BY96"/>
      <c r="BZ96"/>
      <c r="CA96"/>
      <c r="CB96"/>
      <c r="CC96"/>
    </row>
    <row r="97" spans="1:81" x14ac:dyDescent="0.25">
      <c r="A97"/>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c r="BJ97"/>
      <c r="BK97"/>
      <c r="BL97"/>
      <c r="BM97"/>
      <c r="BN97"/>
      <c r="BO97"/>
      <c r="BP97"/>
      <c r="BQ97"/>
      <c r="BR97"/>
      <c r="BS97"/>
      <c r="BT97"/>
      <c r="BU97"/>
      <c r="BV97"/>
      <c r="BW97"/>
      <c r="BX97"/>
      <c r="BY97"/>
      <c r="BZ97"/>
      <c r="CA97"/>
      <c r="CB97"/>
      <c r="CC97"/>
    </row>
    <row r="98" spans="1:81" x14ac:dyDescent="0.25">
      <c r="A98"/>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c r="BJ98"/>
      <c r="BK98"/>
      <c r="BL98"/>
      <c r="BM98"/>
      <c r="BN98"/>
      <c r="BO98"/>
      <c r="BP98"/>
      <c r="BQ98"/>
      <c r="BR98"/>
      <c r="BS98"/>
      <c r="BT98"/>
      <c r="BU98"/>
      <c r="BV98"/>
      <c r="BW98"/>
      <c r="BX98"/>
      <c r="BY98"/>
      <c r="BZ98"/>
      <c r="CA98"/>
      <c r="CB98"/>
      <c r="CC98"/>
    </row>
    <row r="99" spans="1:81" x14ac:dyDescent="0.25">
      <c r="A99"/>
      <c r="B99"/>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c r="BJ99"/>
      <c r="BK99"/>
      <c r="BL99"/>
      <c r="BM99"/>
      <c r="BN99"/>
      <c r="BO99"/>
      <c r="BP99"/>
      <c r="BQ99"/>
      <c r="BR99"/>
      <c r="BS99"/>
      <c r="BT99"/>
      <c r="BU99"/>
      <c r="BV99"/>
      <c r="BW99"/>
      <c r="BX99"/>
      <c r="BY99"/>
      <c r="BZ99"/>
      <c r="CA99"/>
      <c r="CB99"/>
      <c r="CC99"/>
    </row>
    <row r="100" spans="1:81" x14ac:dyDescent="0.25">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c r="BJ100"/>
      <c r="BK100"/>
      <c r="BL100"/>
      <c r="BM100"/>
      <c r="BN100"/>
      <c r="BO100"/>
      <c r="BP100"/>
      <c r="BQ100"/>
      <c r="BR100"/>
      <c r="BS100"/>
      <c r="BT100"/>
      <c r="BU100"/>
      <c r="BV100"/>
      <c r="BW100"/>
      <c r="BX100"/>
      <c r="BY100"/>
      <c r="BZ100"/>
      <c r="CA100"/>
      <c r="CB100"/>
      <c r="CC100"/>
    </row>
    <row r="101" spans="1:81" x14ac:dyDescent="0.25">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c r="BJ101"/>
      <c r="BK101"/>
      <c r="BL101"/>
      <c r="BM101"/>
      <c r="BN101"/>
      <c r="BO101"/>
      <c r="BP101"/>
      <c r="BQ101"/>
      <c r="BR101"/>
      <c r="BS101"/>
      <c r="BT101"/>
      <c r="BU101"/>
      <c r="BV101"/>
      <c r="BW101"/>
      <c r="BX101"/>
      <c r="BY101"/>
      <c r="BZ101"/>
      <c r="CA101"/>
      <c r="CB101"/>
      <c r="CC101"/>
    </row>
    <row r="102" spans="1:81" x14ac:dyDescent="0.25">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c r="BJ102"/>
      <c r="BK102"/>
      <c r="BL102"/>
      <c r="BM102"/>
      <c r="BN102"/>
      <c r="BO102"/>
      <c r="BP102"/>
      <c r="BQ102"/>
      <c r="BR102"/>
      <c r="BS102"/>
      <c r="BT102"/>
      <c r="BU102"/>
      <c r="BV102"/>
      <c r="BW102"/>
      <c r="BX102"/>
      <c r="BY102"/>
      <c r="BZ102"/>
      <c r="CA102"/>
      <c r="CB102"/>
      <c r="CC102"/>
    </row>
    <row r="103" spans="1:81" x14ac:dyDescent="0.25">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row>
    <row r="104" spans="1:81" x14ac:dyDescent="0.25">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c r="BY104"/>
      <c r="BZ104"/>
      <c r="CA104"/>
      <c r="CB104"/>
      <c r="CC104"/>
    </row>
    <row r="105" spans="1:81" x14ac:dyDescent="0.25">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c r="BV105"/>
      <c r="BW105"/>
      <c r="BX105"/>
      <c r="BY105"/>
      <c r="BZ105"/>
      <c r="CA105"/>
      <c r="CB105"/>
      <c r="CC105"/>
    </row>
    <row r="106" spans="1:81" x14ac:dyDescent="0.25">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c r="BV106"/>
      <c r="BW106"/>
      <c r="BX106"/>
      <c r="BY106"/>
      <c r="BZ106"/>
      <c r="CA106"/>
      <c r="CB106"/>
      <c r="CC106"/>
    </row>
    <row r="107" spans="1:81" x14ac:dyDescent="0.25">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c r="BY107"/>
      <c r="BZ107"/>
      <c r="CA107"/>
      <c r="CB107"/>
      <c r="CC107"/>
    </row>
    <row r="108" spans="1:81" x14ac:dyDescent="0.25">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c r="BP108"/>
      <c r="BQ108"/>
      <c r="BR108"/>
      <c r="BS108"/>
      <c r="BT108"/>
      <c r="BU108"/>
      <c r="BV108"/>
      <c r="BW108"/>
      <c r="BX108"/>
      <c r="BY108"/>
      <c r="BZ108"/>
      <c r="CA108"/>
      <c r="CB108"/>
      <c r="CC108"/>
    </row>
    <row r="109" spans="1:81" x14ac:dyDescent="0.25">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c r="BW109"/>
      <c r="BX109"/>
      <c r="BY109"/>
      <c r="BZ109"/>
      <c r="CA109"/>
      <c r="CB109"/>
      <c r="CC109"/>
    </row>
    <row r="110" spans="1:81" x14ac:dyDescent="0.25">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c r="BJ110"/>
      <c r="BK110"/>
      <c r="BL110"/>
      <c r="BM110"/>
      <c r="BN110"/>
      <c r="BO110"/>
      <c r="BP110"/>
      <c r="BQ110"/>
      <c r="BR110"/>
      <c r="BS110"/>
      <c r="BT110"/>
      <c r="BU110"/>
      <c r="BV110"/>
      <c r="BW110"/>
      <c r="BX110"/>
      <c r="BY110"/>
      <c r="BZ110"/>
      <c r="CA110"/>
      <c r="CB110"/>
      <c r="CC110"/>
    </row>
    <row r="111" spans="1:81" x14ac:dyDescent="0.25">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c r="BJ111"/>
      <c r="BK111"/>
      <c r="BL111"/>
      <c r="BM111"/>
      <c r="BN111"/>
      <c r="BO111"/>
      <c r="BP111"/>
      <c r="BQ111"/>
      <c r="BR111"/>
      <c r="BS111"/>
      <c r="BT111"/>
      <c r="BU111"/>
      <c r="BV111"/>
      <c r="BW111"/>
      <c r="BX111"/>
      <c r="BY111"/>
      <c r="BZ111"/>
      <c r="CA111"/>
      <c r="CB111"/>
      <c r="CC111"/>
    </row>
    <row r="112" spans="1:81" x14ac:dyDescent="0.25">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c r="BJ112"/>
      <c r="BK112"/>
      <c r="BL112"/>
      <c r="BM112"/>
      <c r="BN112"/>
      <c r="BO112"/>
      <c r="BP112"/>
      <c r="BQ112"/>
      <c r="BR112"/>
      <c r="BS112"/>
      <c r="BT112"/>
      <c r="BU112"/>
      <c r="BV112"/>
      <c r="BW112"/>
      <c r="BX112"/>
      <c r="BY112"/>
      <c r="BZ112"/>
      <c r="CA112"/>
      <c r="CB112"/>
      <c r="CC112"/>
    </row>
    <row r="113" spans="1:81" x14ac:dyDescent="0.25">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c r="BJ113"/>
      <c r="BK113"/>
      <c r="BL113"/>
      <c r="BM113"/>
      <c r="BN113"/>
      <c r="BO113"/>
      <c r="BP113"/>
      <c r="BQ113"/>
      <c r="BR113"/>
      <c r="BS113"/>
      <c r="BT113"/>
      <c r="BU113"/>
      <c r="BV113"/>
      <c r="BW113"/>
      <c r="BX113"/>
      <c r="BY113"/>
      <c r="BZ113"/>
      <c r="CA113"/>
      <c r="CB113"/>
      <c r="CC113"/>
    </row>
    <row r="114" spans="1:81" x14ac:dyDescent="0.25">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c r="BJ114"/>
      <c r="BK114"/>
      <c r="BL114"/>
      <c r="BM114"/>
      <c r="BN114"/>
      <c r="BO114"/>
      <c r="BP114"/>
      <c r="BQ114"/>
      <c r="BR114"/>
      <c r="BS114"/>
      <c r="BT114"/>
      <c r="BU114"/>
      <c r="BV114"/>
      <c r="BW114"/>
      <c r="BX114"/>
      <c r="BY114"/>
      <c r="BZ114"/>
      <c r="CA114"/>
      <c r="CB114"/>
      <c r="CC114"/>
    </row>
    <row r="115" spans="1:81" x14ac:dyDescent="0.25">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c r="BJ115"/>
      <c r="BK115"/>
      <c r="BL115"/>
      <c r="BM115"/>
      <c r="BN115"/>
      <c r="BO115"/>
      <c r="BP115"/>
      <c r="BQ115"/>
      <c r="BR115"/>
      <c r="BS115"/>
      <c r="BT115"/>
      <c r="BU115"/>
      <c r="BV115"/>
      <c r="BW115"/>
      <c r="BX115"/>
      <c r="BY115"/>
      <c r="BZ115"/>
      <c r="CA115"/>
      <c r="CB115"/>
      <c r="CC115"/>
    </row>
    <row r="116" spans="1:81" x14ac:dyDescent="0.25">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c r="BJ116"/>
      <c r="BK116"/>
      <c r="BL116"/>
      <c r="BM116"/>
      <c r="BN116"/>
      <c r="BO116"/>
      <c r="BP116"/>
      <c r="BQ116"/>
      <c r="BR116"/>
      <c r="BS116"/>
      <c r="BT116"/>
      <c r="BU116"/>
      <c r="BV116"/>
      <c r="BW116"/>
      <c r="BX116"/>
      <c r="BY116"/>
      <c r="BZ116"/>
      <c r="CA116"/>
      <c r="CB116"/>
      <c r="CC116"/>
    </row>
    <row r="117" spans="1:81" x14ac:dyDescent="0.25">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row>
    <row r="118" spans="1:81" x14ac:dyDescent="0.25">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c r="BJ118"/>
      <c r="BK118"/>
      <c r="BL118"/>
      <c r="BM118"/>
      <c r="BN118"/>
      <c r="BO118"/>
      <c r="BP118"/>
      <c r="BQ118"/>
      <c r="BR118"/>
      <c r="BS118"/>
      <c r="BT118"/>
      <c r="BU118"/>
      <c r="BV118"/>
      <c r="BW118"/>
      <c r="BX118"/>
      <c r="BY118"/>
      <c r="BZ118"/>
      <c r="CA118"/>
      <c r="CB118"/>
      <c r="CC118"/>
    </row>
    <row r="119" spans="1:81" x14ac:dyDescent="0.25">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c r="BJ119"/>
      <c r="BK119"/>
      <c r="BL119"/>
      <c r="BM119"/>
      <c r="BN119"/>
      <c r="BO119"/>
      <c r="BP119"/>
      <c r="BQ119"/>
      <c r="BR119"/>
      <c r="BS119"/>
      <c r="BT119"/>
      <c r="BU119"/>
      <c r="BV119"/>
      <c r="BW119"/>
      <c r="BX119"/>
      <c r="BY119"/>
      <c r="BZ119"/>
      <c r="CA119"/>
      <c r="CB119"/>
      <c r="CC119"/>
    </row>
    <row r="120" spans="1:81" x14ac:dyDescent="0.25">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c r="BJ120"/>
      <c r="BK120"/>
      <c r="BL120"/>
      <c r="BM120"/>
      <c r="BN120"/>
      <c r="BO120"/>
      <c r="BP120"/>
      <c r="BQ120"/>
      <c r="BR120"/>
      <c r="BS120"/>
      <c r="BT120"/>
      <c r="BU120"/>
      <c r="BV120"/>
      <c r="BW120"/>
      <c r="BX120"/>
      <c r="BY120"/>
      <c r="BZ120"/>
      <c r="CA120"/>
      <c r="CB120"/>
      <c r="CC120"/>
    </row>
    <row r="121" spans="1:81" x14ac:dyDescent="0.25">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c r="BJ121"/>
      <c r="BK121"/>
      <c r="BL121"/>
      <c r="BM121"/>
      <c r="BN121"/>
      <c r="BO121"/>
      <c r="BP121"/>
      <c r="BQ121"/>
      <c r="BR121"/>
      <c r="BS121"/>
      <c r="BT121"/>
      <c r="BU121"/>
      <c r="BV121"/>
      <c r="BW121"/>
      <c r="BX121"/>
      <c r="BY121"/>
      <c r="BZ121"/>
      <c r="CA121"/>
      <c r="CB121"/>
      <c r="CC121"/>
    </row>
    <row r="122" spans="1:81" x14ac:dyDescent="0.25">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c r="BJ122"/>
      <c r="BK122"/>
      <c r="BL122"/>
      <c r="BM122"/>
      <c r="BN122"/>
      <c r="BO122"/>
      <c r="BP122"/>
      <c r="BQ122"/>
      <c r="BR122"/>
      <c r="BS122"/>
      <c r="BT122"/>
      <c r="BU122"/>
      <c r="BV122"/>
      <c r="BW122"/>
      <c r="BX122"/>
      <c r="BY122"/>
      <c r="BZ122"/>
      <c r="CA122"/>
      <c r="CB122"/>
      <c r="CC122"/>
    </row>
    <row r="123" spans="1:81" x14ac:dyDescent="0.25">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c r="BJ123"/>
      <c r="BK123"/>
      <c r="BL123"/>
      <c r="BM123"/>
      <c r="BN123"/>
      <c r="BO123"/>
      <c r="BP123"/>
      <c r="BQ123"/>
      <c r="BR123"/>
      <c r="BS123"/>
      <c r="BT123"/>
      <c r="BU123"/>
      <c r="BV123"/>
      <c r="BW123"/>
      <c r="BX123"/>
      <c r="BY123"/>
      <c r="BZ123"/>
      <c r="CA123"/>
      <c r="CB123"/>
      <c r="CC123"/>
    </row>
    <row r="124" spans="1:81" x14ac:dyDescent="0.25">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c r="BJ124"/>
      <c r="BK124"/>
      <c r="BL124"/>
      <c r="BM124"/>
      <c r="BN124"/>
      <c r="BO124"/>
      <c r="BP124"/>
      <c r="BQ124"/>
      <c r="BR124"/>
      <c r="BS124"/>
      <c r="BT124"/>
      <c r="BU124"/>
      <c r="BV124"/>
      <c r="BW124"/>
      <c r="BX124"/>
      <c r="BY124"/>
      <c r="BZ124"/>
      <c r="CA124"/>
      <c r="CB124"/>
      <c r="CC124"/>
    </row>
    <row r="125" spans="1:81" x14ac:dyDescent="0.25">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c r="BJ125"/>
      <c r="BK125"/>
      <c r="BL125"/>
      <c r="BM125"/>
      <c r="BN125"/>
      <c r="BO125"/>
      <c r="BP125"/>
      <c r="BQ125"/>
      <c r="BR125"/>
      <c r="BS125"/>
      <c r="BT125"/>
      <c r="BU125"/>
      <c r="BV125"/>
      <c r="BW125"/>
      <c r="BX125"/>
      <c r="BY125"/>
      <c r="BZ125"/>
      <c r="CA125"/>
      <c r="CB125"/>
      <c r="CC125"/>
    </row>
    <row r="126" spans="1:81" x14ac:dyDescent="0.25">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c r="BJ126"/>
      <c r="BK126"/>
      <c r="BL126"/>
      <c r="BM126"/>
      <c r="BN126"/>
      <c r="BO126"/>
      <c r="BP126"/>
      <c r="BQ126"/>
      <c r="BR126"/>
      <c r="BS126"/>
      <c r="BT126"/>
      <c r="BU126"/>
      <c r="BV126"/>
      <c r="BW126"/>
      <c r="BX126"/>
      <c r="BY126"/>
      <c r="BZ126"/>
      <c r="CA126"/>
      <c r="CB126"/>
      <c r="CC126"/>
    </row>
    <row r="127" spans="1:81" x14ac:dyDescent="0.25">
      <c r="A127"/>
      <c r="B127"/>
      <c r="C127"/>
      <c r="D127"/>
      <c r="E127"/>
      <c r="F127"/>
      <c r="G127"/>
      <c r="H127"/>
      <c r="I127"/>
      <c r="J127"/>
      <c r="K127"/>
      <c r="L127"/>
      <c r="M127"/>
      <c r="N127"/>
      <c r="O127"/>
      <c r="P127"/>
      <c r="Q127"/>
      <c r="R127"/>
      <c r="S127"/>
      <c r="T127"/>
      <c r="U127"/>
      <c r="V127"/>
      <c r="W127"/>
      <c r="X127"/>
      <c r="Y127"/>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c r="BJ127"/>
      <c r="BK127"/>
      <c r="BL127"/>
      <c r="BM127"/>
      <c r="BN127"/>
      <c r="BO127"/>
      <c r="BP127"/>
      <c r="BQ127"/>
      <c r="BR127"/>
      <c r="BS127"/>
      <c r="BT127"/>
      <c r="BU127"/>
      <c r="BV127"/>
      <c r="BW127"/>
      <c r="BX127"/>
      <c r="BY127"/>
      <c r="BZ127"/>
      <c r="CA127"/>
      <c r="CB127"/>
      <c r="CC127"/>
    </row>
    <row r="128" spans="1:81" x14ac:dyDescent="0.25">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c r="BJ128"/>
      <c r="BK128"/>
      <c r="BL128"/>
      <c r="BM128"/>
      <c r="BN128"/>
      <c r="BO128"/>
      <c r="BP128"/>
      <c r="BQ128"/>
      <c r="BR128"/>
      <c r="BS128"/>
      <c r="BT128"/>
      <c r="BU128"/>
      <c r="BV128"/>
      <c r="BW128"/>
      <c r="BX128"/>
      <c r="BY128"/>
      <c r="BZ128"/>
      <c r="CA128"/>
      <c r="CB128"/>
      <c r="CC128"/>
    </row>
    <row r="129" spans="1:81" x14ac:dyDescent="0.25">
      <c r="A129"/>
      <c r="B129"/>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c r="BJ129"/>
      <c r="BK129"/>
      <c r="BL129"/>
      <c r="BM129"/>
      <c r="BN129"/>
      <c r="BO129"/>
      <c r="BP129"/>
      <c r="BQ129"/>
      <c r="BR129"/>
      <c r="BS129"/>
      <c r="BT129"/>
      <c r="BU129"/>
      <c r="BV129"/>
      <c r="BW129"/>
      <c r="BX129"/>
      <c r="BY129"/>
      <c r="BZ129"/>
      <c r="CA129"/>
      <c r="CB129"/>
      <c r="CC129"/>
    </row>
    <row r="130" spans="1:81" x14ac:dyDescent="0.25">
      <c r="A130"/>
      <c r="B130"/>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c r="BJ130"/>
      <c r="BK130"/>
      <c r="BL130"/>
      <c r="BM130"/>
      <c r="BN130"/>
      <c r="BO130"/>
      <c r="BP130"/>
      <c r="BQ130"/>
      <c r="BR130"/>
      <c r="BS130"/>
      <c r="BT130"/>
      <c r="BU130"/>
      <c r="BV130"/>
      <c r="BW130"/>
      <c r="BX130"/>
      <c r="BY130"/>
      <c r="BZ130"/>
      <c r="CA130"/>
      <c r="CB130"/>
      <c r="CC130"/>
    </row>
    <row r="131" spans="1:81" x14ac:dyDescent="0.25">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c r="AM131"/>
      <c r="AN131"/>
      <c r="AO131"/>
      <c r="AP131"/>
      <c r="AQ131"/>
      <c r="AR131"/>
      <c r="AS131"/>
      <c r="AT131"/>
      <c r="AU131"/>
      <c r="AV131"/>
      <c r="AW131"/>
      <c r="AX131"/>
      <c r="AY131"/>
      <c r="AZ131"/>
      <c r="BA131"/>
      <c r="BB131"/>
      <c r="BC131"/>
      <c r="BD131"/>
      <c r="BE131"/>
      <c r="BF131"/>
      <c r="BG131"/>
      <c r="BH131"/>
      <c r="BI131"/>
      <c r="BJ131"/>
      <c r="BK131"/>
      <c r="BL131"/>
      <c r="BM131"/>
      <c r="BN131"/>
      <c r="BO131"/>
      <c r="BP131"/>
      <c r="BQ131"/>
      <c r="BR131"/>
      <c r="BS131"/>
      <c r="BT131"/>
      <c r="BU131"/>
      <c r="BV131"/>
      <c r="BW131"/>
      <c r="BX131"/>
      <c r="BY131"/>
      <c r="BZ131"/>
      <c r="CA131"/>
      <c r="CB131"/>
      <c r="CC131"/>
    </row>
    <row r="132" spans="1:81" x14ac:dyDescent="0.25">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c r="AM132"/>
      <c r="AN132"/>
      <c r="AO132"/>
      <c r="AP132"/>
      <c r="AQ132"/>
      <c r="AR132"/>
      <c r="AS132"/>
      <c r="AT132"/>
      <c r="AU132"/>
      <c r="AV132"/>
      <c r="AW132"/>
      <c r="AX132"/>
      <c r="AY132"/>
      <c r="AZ132"/>
      <c r="BA132"/>
      <c r="BB132"/>
      <c r="BC132"/>
      <c r="BD132"/>
      <c r="BE132"/>
      <c r="BF132"/>
      <c r="BG132"/>
      <c r="BH132"/>
      <c r="BI132"/>
      <c r="BJ132"/>
      <c r="BK132"/>
      <c r="BL132"/>
      <c r="BM132"/>
      <c r="BN132"/>
      <c r="BO132"/>
      <c r="BP132"/>
      <c r="BQ132"/>
      <c r="BR132"/>
      <c r="BS132"/>
      <c r="BT132"/>
      <c r="BU132"/>
      <c r="BV132"/>
      <c r="BW132"/>
      <c r="BX132"/>
      <c r="BY132"/>
      <c r="BZ132"/>
      <c r="CA132"/>
      <c r="CB132"/>
      <c r="CC132"/>
    </row>
    <row r="133" spans="1:81" x14ac:dyDescent="0.25">
      <c r="A133"/>
      <c r="B133"/>
      <c r="C133"/>
      <c r="D133"/>
      <c r="E133"/>
      <c r="F133"/>
      <c r="G133"/>
      <c r="H133"/>
      <c r="I133"/>
      <c r="J133"/>
      <c r="K133"/>
      <c r="L133"/>
      <c r="M133"/>
      <c r="N133"/>
      <c r="O133"/>
      <c r="P133"/>
      <c r="Q133"/>
      <c r="R133"/>
      <c r="S133"/>
      <c r="T133"/>
      <c r="U133"/>
      <c r="V133"/>
      <c r="W133"/>
      <c r="X133"/>
      <c r="Y133"/>
      <c r="Z133"/>
      <c r="AA133"/>
      <c r="AB133"/>
      <c r="AC133"/>
      <c r="AD133"/>
      <c r="AE133"/>
      <c r="AF133"/>
      <c r="AG133"/>
      <c r="AH133"/>
      <c r="AI133"/>
      <c r="AJ133"/>
      <c r="AK133"/>
      <c r="AL133"/>
      <c r="AM133"/>
      <c r="AN133"/>
      <c r="AO133"/>
      <c r="AP133"/>
      <c r="AQ133"/>
      <c r="AR133"/>
      <c r="AS133"/>
      <c r="AT133"/>
      <c r="AU133"/>
      <c r="AV133"/>
      <c r="AW133"/>
      <c r="AX133"/>
      <c r="AY133"/>
      <c r="AZ133"/>
      <c r="BA133"/>
      <c r="BB133"/>
      <c r="BC133"/>
      <c r="BD133"/>
      <c r="BE133"/>
      <c r="BF133"/>
      <c r="BG133"/>
      <c r="BH133"/>
      <c r="BI133"/>
      <c r="BJ133"/>
      <c r="BK133"/>
      <c r="BL133"/>
      <c r="BM133"/>
      <c r="BN133"/>
      <c r="BO133"/>
      <c r="BP133"/>
      <c r="BQ133"/>
      <c r="BR133"/>
      <c r="BS133"/>
      <c r="BT133"/>
      <c r="BU133"/>
      <c r="BV133"/>
      <c r="BW133"/>
      <c r="BX133"/>
      <c r="BY133"/>
      <c r="BZ133"/>
      <c r="CA133"/>
      <c r="CB133"/>
      <c r="CC133"/>
    </row>
    <row r="134" spans="1:81" x14ac:dyDescent="0.25">
      <c r="A134"/>
      <c r="B134"/>
      <c r="C134"/>
      <c r="D134"/>
      <c r="E134"/>
      <c r="F134"/>
      <c r="G134"/>
      <c r="H134"/>
      <c r="I134"/>
      <c r="J134"/>
      <c r="K134"/>
      <c r="L134"/>
      <c r="M134"/>
      <c r="N134"/>
      <c r="O134"/>
      <c r="P134"/>
      <c r="Q134"/>
      <c r="R134"/>
      <c r="S134"/>
      <c r="T134"/>
      <c r="U134"/>
      <c r="V134"/>
      <c r="W134"/>
      <c r="X134"/>
      <c r="Y134"/>
      <c r="Z134"/>
      <c r="AA134"/>
      <c r="AB134"/>
      <c r="AC134"/>
      <c r="AD134"/>
      <c r="AE134"/>
      <c r="AF134"/>
      <c r="AG134"/>
      <c r="AH134"/>
      <c r="AI134"/>
      <c r="AJ134"/>
      <c r="AK134"/>
      <c r="AL134"/>
      <c r="AM134"/>
      <c r="AN134"/>
      <c r="AO134"/>
      <c r="AP134"/>
      <c r="AQ134"/>
      <c r="AR134"/>
      <c r="AS134"/>
      <c r="AT134"/>
      <c r="AU134"/>
      <c r="AV134"/>
      <c r="AW134"/>
      <c r="AX134"/>
      <c r="AY134"/>
      <c r="AZ134"/>
      <c r="BA134"/>
      <c r="BB134"/>
      <c r="BC134"/>
      <c r="BD134"/>
      <c r="BE134"/>
      <c r="BF134"/>
      <c r="BG134"/>
      <c r="BH134"/>
      <c r="BI134"/>
      <c r="BJ134"/>
      <c r="BK134"/>
      <c r="BL134"/>
      <c r="BM134"/>
      <c r="BN134"/>
      <c r="BO134"/>
      <c r="BP134"/>
      <c r="BQ134"/>
      <c r="BR134"/>
      <c r="BS134"/>
      <c r="BT134"/>
      <c r="BU134"/>
      <c r="BV134"/>
      <c r="BW134"/>
      <c r="BX134"/>
      <c r="BY134"/>
      <c r="BZ134"/>
      <c r="CA134"/>
      <c r="CB134"/>
      <c r="CC134"/>
    </row>
    <row r="135" spans="1:81" x14ac:dyDescent="0.25">
      <c r="A135"/>
      <c r="B135"/>
      <c r="C135"/>
      <c r="D135"/>
      <c r="E135"/>
      <c r="F135"/>
      <c r="G135"/>
      <c r="H135"/>
      <c r="I135"/>
      <c r="J135"/>
      <c r="K135"/>
      <c r="L135"/>
      <c r="M135"/>
      <c r="N135"/>
      <c r="O135"/>
      <c r="P135"/>
      <c r="Q135"/>
      <c r="R135"/>
      <c r="S135"/>
      <c r="T135"/>
      <c r="U135"/>
      <c r="V135"/>
      <c r="W135"/>
      <c r="X135"/>
      <c r="Y135"/>
      <c r="Z135"/>
      <c r="AA135"/>
      <c r="AB135"/>
      <c r="AC135"/>
      <c r="AD135"/>
      <c r="AE135"/>
      <c r="AF135"/>
      <c r="AG135"/>
      <c r="AH135"/>
      <c r="AI135"/>
      <c r="AJ135"/>
      <c r="AK135"/>
      <c r="AL135"/>
      <c r="AM135"/>
      <c r="AN135"/>
      <c r="AO135"/>
      <c r="AP135"/>
      <c r="AQ135"/>
      <c r="AR135"/>
      <c r="AS135"/>
      <c r="AT135"/>
      <c r="AU135"/>
      <c r="AV135"/>
      <c r="AW135"/>
      <c r="AX135"/>
      <c r="AY135"/>
      <c r="AZ135"/>
      <c r="BA135"/>
      <c r="BB135"/>
      <c r="BC135"/>
      <c r="BD135"/>
      <c r="BE135"/>
      <c r="BF135"/>
      <c r="BG135"/>
      <c r="BH135"/>
      <c r="BI135"/>
      <c r="BJ135"/>
      <c r="BK135"/>
      <c r="BL135"/>
      <c r="BM135"/>
      <c r="BN135"/>
      <c r="BO135"/>
      <c r="BP135"/>
      <c r="BQ135"/>
      <c r="BR135"/>
      <c r="BS135"/>
      <c r="BT135"/>
      <c r="BU135"/>
      <c r="BV135"/>
      <c r="BW135"/>
      <c r="BX135"/>
      <c r="BY135"/>
      <c r="BZ135"/>
      <c r="CA135"/>
      <c r="CB135"/>
      <c r="CC135"/>
    </row>
    <row r="136" spans="1:81" x14ac:dyDescent="0.25">
      <c r="A136"/>
      <c r="B136"/>
      <c r="C136"/>
      <c r="D136"/>
      <c r="E136"/>
      <c r="F136"/>
      <c r="G136"/>
      <c r="H136"/>
      <c r="I136"/>
      <c r="J136"/>
      <c r="K136"/>
      <c r="L136"/>
      <c r="M136"/>
      <c r="N136"/>
      <c r="O136"/>
      <c r="P136"/>
      <c r="Q136"/>
      <c r="R136"/>
      <c r="S136"/>
      <c r="T136"/>
      <c r="U136"/>
      <c r="V136"/>
      <c r="W136"/>
      <c r="X136"/>
      <c r="Y136"/>
      <c r="Z136"/>
      <c r="AA136"/>
      <c r="AB136"/>
      <c r="AC136"/>
      <c r="AD136"/>
      <c r="AE136"/>
      <c r="AF136"/>
      <c r="AG136"/>
      <c r="AH136"/>
      <c r="AI136"/>
      <c r="AJ136"/>
      <c r="AK136"/>
      <c r="AL136"/>
      <c r="AM136"/>
      <c r="AN136"/>
      <c r="AO136"/>
      <c r="AP136"/>
      <c r="AQ136"/>
      <c r="AR136"/>
      <c r="AS136"/>
      <c r="AT136"/>
      <c r="AU136"/>
      <c r="AV136"/>
      <c r="AW136"/>
      <c r="AX136"/>
      <c r="AY136"/>
      <c r="AZ136"/>
      <c r="BA136"/>
      <c r="BB136"/>
      <c r="BC136"/>
      <c r="BD136"/>
      <c r="BE136"/>
      <c r="BF136"/>
      <c r="BG136"/>
      <c r="BH136"/>
      <c r="BI136"/>
      <c r="BJ136"/>
      <c r="BK136"/>
      <c r="BL136"/>
      <c r="BM136"/>
      <c r="BN136"/>
      <c r="BO136"/>
      <c r="BP136"/>
      <c r="BQ136"/>
      <c r="BR136"/>
      <c r="BS136"/>
      <c r="BT136"/>
      <c r="BU136"/>
      <c r="BV136"/>
      <c r="BW136"/>
      <c r="BX136"/>
      <c r="BY136"/>
      <c r="BZ136"/>
      <c r="CA136"/>
      <c r="CB136"/>
      <c r="CC136"/>
    </row>
    <row r="137" spans="1:81" x14ac:dyDescent="0.25">
      <c r="A137"/>
      <c r="B137"/>
      <c r="C137"/>
      <c r="D137"/>
      <c r="E137"/>
      <c r="F137"/>
      <c r="G137"/>
      <c r="H137"/>
      <c r="I137"/>
      <c r="J137"/>
      <c r="K137"/>
      <c r="L137"/>
      <c r="M137"/>
      <c r="N137"/>
      <c r="O137"/>
      <c r="P137"/>
      <c r="Q137"/>
      <c r="R137"/>
      <c r="S137"/>
      <c r="T137"/>
      <c r="U137"/>
      <c r="V137"/>
      <c r="W137"/>
      <c r="X137"/>
      <c r="Y137"/>
      <c r="Z137"/>
      <c r="AA137"/>
      <c r="AB137"/>
      <c r="AC137"/>
      <c r="AD137"/>
      <c r="AE137"/>
      <c r="AF137"/>
      <c r="AG137"/>
      <c r="AH137"/>
      <c r="AI137"/>
      <c r="AJ137"/>
      <c r="AK137"/>
      <c r="AL137"/>
      <c r="AM137"/>
      <c r="AN137"/>
      <c r="AO137"/>
      <c r="AP137"/>
      <c r="AQ137"/>
      <c r="AR137"/>
      <c r="AS137"/>
      <c r="AT137"/>
      <c r="AU137"/>
      <c r="AV137"/>
      <c r="AW137"/>
      <c r="AX137"/>
      <c r="AY137"/>
      <c r="AZ137"/>
      <c r="BA137"/>
      <c r="BB137"/>
      <c r="BC137"/>
      <c r="BD137"/>
      <c r="BE137"/>
      <c r="BF137"/>
      <c r="BG137"/>
      <c r="BH137"/>
      <c r="BI137"/>
      <c r="BJ137"/>
      <c r="BK137"/>
      <c r="BL137"/>
      <c r="BM137"/>
      <c r="BN137"/>
      <c r="BO137"/>
      <c r="BP137"/>
      <c r="BQ137"/>
      <c r="BR137"/>
      <c r="BS137"/>
      <c r="BT137"/>
      <c r="BU137"/>
      <c r="BV137"/>
      <c r="BW137"/>
      <c r="BX137"/>
      <c r="BY137"/>
      <c r="BZ137"/>
      <c r="CA137"/>
      <c r="CB137"/>
      <c r="CC137"/>
    </row>
    <row r="138" spans="1:81" x14ac:dyDescent="0.25">
      <c r="A138"/>
      <c r="B138"/>
      <c r="C138"/>
      <c r="D138"/>
      <c r="E138"/>
      <c r="F138"/>
      <c r="G138"/>
      <c r="H138"/>
      <c r="I138"/>
      <c r="J138"/>
      <c r="K138"/>
      <c r="L138"/>
      <c r="M138"/>
      <c r="N138"/>
      <c r="O138"/>
      <c r="P138"/>
      <c r="Q138"/>
      <c r="R138"/>
      <c r="S138"/>
      <c r="T138"/>
      <c r="U138"/>
      <c r="V138"/>
      <c r="W138"/>
      <c r="X138"/>
      <c r="Y138"/>
      <c r="Z138"/>
      <c r="AA138"/>
      <c r="AB138"/>
      <c r="AC138"/>
      <c r="AD138"/>
      <c r="AE138"/>
      <c r="AF138"/>
      <c r="AG138"/>
      <c r="AH138"/>
      <c r="AI138"/>
      <c r="AJ138"/>
      <c r="AK138"/>
      <c r="AL138"/>
      <c r="AM138"/>
      <c r="AN138"/>
      <c r="AO138"/>
      <c r="AP138"/>
      <c r="AQ138"/>
      <c r="AR138"/>
      <c r="AS138"/>
      <c r="AT138"/>
      <c r="AU138"/>
      <c r="AV138"/>
      <c r="AW138"/>
      <c r="AX138"/>
      <c r="AY138"/>
      <c r="AZ138"/>
      <c r="BA138"/>
      <c r="BB138"/>
      <c r="BC138"/>
      <c r="BD138"/>
      <c r="BE138"/>
      <c r="BF138"/>
      <c r="BG138"/>
      <c r="BH138"/>
      <c r="BI138"/>
      <c r="BJ138"/>
      <c r="BK138"/>
      <c r="BL138"/>
      <c r="BM138"/>
      <c r="BN138"/>
      <c r="BO138"/>
      <c r="BP138"/>
      <c r="BQ138"/>
      <c r="BR138"/>
      <c r="BS138"/>
      <c r="BT138"/>
      <c r="BU138"/>
      <c r="BV138"/>
      <c r="BW138"/>
      <c r="BX138"/>
      <c r="BY138"/>
      <c r="BZ138"/>
      <c r="CA138"/>
      <c r="CB138"/>
      <c r="CC138"/>
    </row>
    <row r="139" spans="1:81" x14ac:dyDescent="0.25">
      <c r="A139"/>
      <c r="B139"/>
      <c r="C139"/>
      <c r="D139"/>
      <c r="E139"/>
      <c r="F139"/>
      <c r="G139"/>
      <c r="H139"/>
      <c r="I139"/>
      <c r="J139"/>
      <c r="K139"/>
      <c r="L139"/>
      <c r="M139"/>
      <c r="N139"/>
      <c r="O139"/>
      <c r="P139"/>
      <c r="Q139"/>
      <c r="R139"/>
      <c r="S139"/>
      <c r="T139"/>
      <c r="U139"/>
      <c r="V139"/>
      <c r="W139"/>
      <c r="X139"/>
      <c r="Y139"/>
      <c r="Z139"/>
      <c r="AA139"/>
      <c r="AB139"/>
      <c r="AC139"/>
      <c r="AD139"/>
      <c r="AE139"/>
      <c r="AF139"/>
      <c r="AG139"/>
      <c r="AH139"/>
      <c r="AI139"/>
      <c r="AJ139"/>
      <c r="AK139"/>
      <c r="AL139"/>
      <c r="AM139"/>
      <c r="AN139"/>
      <c r="AO139"/>
      <c r="AP139"/>
      <c r="AQ139"/>
      <c r="AR139"/>
      <c r="AS139"/>
      <c r="AT139"/>
      <c r="AU139"/>
      <c r="AV139"/>
      <c r="AW139"/>
      <c r="AX139"/>
      <c r="AY139"/>
      <c r="AZ139"/>
      <c r="BA139"/>
      <c r="BB139"/>
      <c r="BC139"/>
      <c r="BD139"/>
      <c r="BE139"/>
      <c r="BF139"/>
      <c r="BG139"/>
      <c r="BH139"/>
      <c r="BI139"/>
      <c r="BJ139"/>
      <c r="BK139"/>
      <c r="BL139"/>
      <c r="BM139"/>
      <c r="BN139"/>
      <c r="BO139"/>
      <c r="BP139"/>
      <c r="BQ139"/>
      <c r="BR139"/>
      <c r="BS139"/>
      <c r="BT139"/>
      <c r="BU139"/>
      <c r="BV139"/>
      <c r="BW139"/>
      <c r="BX139"/>
      <c r="BY139"/>
      <c r="BZ139"/>
      <c r="CA139"/>
      <c r="CB139"/>
      <c r="CC139"/>
    </row>
    <row r="140" spans="1:81" x14ac:dyDescent="0.25">
      <c r="A140"/>
      <c r="B140"/>
      <c r="C140"/>
      <c r="D140"/>
      <c r="E140"/>
      <c r="F140"/>
      <c r="G140"/>
      <c r="H140"/>
      <c r="I140"/>
      <c r="J140"/>
      <c r="K140"/>
      <c r="L140"/>
      <c r="M140"/>
      <c r="N140"/>
      <c r="O140"/>
      <c r="P140"/>
      <c r="Q140"/>
      <c r="R140"/>
      <c r="S140"/>
      <c r="T140"/>
      <c r="U140"/>
      <c r="V140"/>
      <c r="W140"/>
      <c r="X140"/>
      <c r="Y140"/>
      <c r="Z140"/>
      <c r="AA140"/>
      <c r="AB140"/>
      <c r="AC140"/>
      <c r="AD140"/>
      <c r="AE140"/>
      <c r="AF140"/>
      <c r="AG140"/>
      <c r="AH140"/>
      <c r="AI140"/>
      <c r="AJ140"/>
      <c r="AK140"/>
      <c r="AL140"/>
      <c r="AM140"/>
      <c r="AN140"/>
      <c r="AO140"/>
      <c r="AP140"/>
      <c r="AQ140"/>
      <c r="AR140"/>
      <c r="AS140"/>
      <c r="AT140"/>
      <c r="AU140"/>
      <c r="AV140"/>
      <c r="AW140"/>
      <c r="AX140"/>
      <c r="AY140"/>
      <c r="AZ140"/>
      <c r="BA140"/>
      <c r="BB140"/>
      <c r="BC140"/>
      <c r="BD140"/>
      <c r="BE140"/>
      <c r="BF140"/>
      <c r="BG140"/>
      <c r="BH140"/>
      <c r="BI140"/>
      <c r="BJ140"/>
      <c r="BK140"/>
      <c r="BL140"/>
      <c r="BM140"/>
      <c r="BN140"/>
      <c r="BO140"/>
      <c r="BP140"/>
      <c r="BQ140"/>
      <c r="BR140"/>
      <c r="BS140"/>
      <c r="BT140"/>
      <c r="BU140"/>
      <c r="BV140"/>
      <c r="BW140"/>
      <c r="BX140"/>
      <c r="BY140"/>
      <c r="BZ140"/>
      <c r="CA140"/>
      <c r="CB140"/>
      <c r="CC140"/>
    </row>
    <row r="141" spans="1:81" x14ac:dyDescent="0.25">
      <c r="A141"/>
      <c r="B141"/>
      <c r="C141"/>
      <c r="D141"/>
      <c r="E141"/>
      <c r="F141"/>
      <c r="G141"/>
      <c r="H141"/>
      <c r="I141"/>
      <c r="J141"/>
      <c r="K141"/>
      <c r="L141"/>
      <c r="M141"/>
      <c r="N141"/>
      <c r="O141"/>
      <c r="P141"/>
      <c r="Q141"/>
      <c r="R141"/>
      <c r="S141"/>
      <c r="T141"/>
      <c r="U141"/>
      <c r="V141"/>
      <c r="W141"/>
      <c r="X141"/>
      <c r="Y141"/>
      <c r="Z141"/>
      <c r="AA141"/>
      <c r="AB141"/>
      <c r="AC141"/>
      <c r="AD141"/>
      <c r="AE141"/>
      <c r="AF141"/>
      <c r="AG141"/>
      <c r="AH141"/>
      <c r="AI141"/>
      <c r="AJ141"/>
      <c r="AK141"/>
      <c r="AL141"/>
      <c r="AM141"/>
      <c r="AN141"/>
      <c r="AO141"/>
      <c r="AP141"/>
      <c r="AQ141"/>
      <c r="AR141"/>
      <c r="AS141"/>
      <c r="AT141"/>
      <c r="AU141"/>
      <c r="AV141"/>
      <c r="AW141"/>
      <c r="AX141"/>
      <c r="AY141"/>
      <c r="AZ141"/>
      <c r="BA141"/>
      <c r="BB141"/>
      <c r="BC141"/>
      <c r="BD141"/>
      <c r="BE141"/>
      <c r="BF141"/>
      <c r="BG141"/>
      <c r="BH141"/>
      <c r="BI141"/>
      <c r="BJ141"/>
      <c r="BK141"/>
      <c r="BL141"/>
      <c r="BM141"/>
      <c r="BN141"/>
      <c r="BO141"/>
      <c r="BP141"/>
      <c r="BQ141"/>
      <c r="BR141"/>
      <c r="BS141"/>
      <c r="BT141"/>
      <c r="BU141"/>
      <c r="BV141"/>
      <c r="BW141"/>
      <c r="BX141"/>
      <c r="BY141"/>
      <c r="BZ141"/>
      <c r="CA141"/>
      <c r="CB141"/>
      <c r="CC141"/>
    </row>
    <row r="142" spans="1:81" x14ac:dyDescent="0.25">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c r="AM142"/>
      <c r="AN142"/>
      <c r="AO142"/>
      <c r="AP142"/>
      <c r="AQ142"/>
      <c r="AR142"/>
      <c r="AS142"/>
      <c r="AT142"/>
      <c r="AU142"/>
      <c r="AV142"/>
      <c r="AW142"/>
      <c r="AX142"/>
      <c r="AY142"/>
      <c r="AZ142"/>
      <c r="BA142"/>
      <c r="BB142"/>
      <c r="BC142"/>
      <c r="BD142"/>
      <c r="BE142"/>
      <c r="BF142"/>
      <c r="BG142"/>
      <c r="BH142"/>
      <c r="BI142"/>
      <c r="BJ142"/>
      <c r="BK142"/>
      <c r="BL142"/>
      <c r="BM142"/>
      <c r="BN142"/>
      <c r="BO142"/>
      <c r="BP142"/>
      <c r="BQ142"/>
      <c r="BR142"/>
      <c r="BS142"/>
      <c r="BT142"/>
      <c r="BU142"/>
      <c r="BV142"/>
      <c r="BW142"/>
      <c r="BX142"/>
      <c r="BY142"/>
      <c r="BZ142"/>
      <c r="CA142"/>
      <c r="CB142"/>
      <c r="CC142"/>
    </row>
    <row r="143" spans="1:81" x14ac:dyDescent="0.25">
      <c r="A143"/>
      <c r="B143"/>
      <c r="C143"/>
      <c r="D143"/>
      <c r="E143"/>
      <c r="F143"/>
      <c r="G143"/>
      <c r="H143"/>
      <c r="I143"/>
      <c r="J143"/>
      <c r="K143"/>
      <c r="L143"/>
      <c r="M143"/>
      <c r="N143"/>
      <c r="O143"/>
      <c r="P143"/>
      <c r="Q143"/>
      <c r="R143"/>
      <c r="S143"/>
      <c r="T143"/>
      <c r="U143"/>
      <c r="V143"/>
      <c r="W143"/>
      <c r="X143"/>
      <c r="Y143"/>
      <c r="Z143"/>
      <c r="AA143"/>
      <c r="AB143"/>
      <c r="AC143"/>
      <c r="AD143"/>
      <c r="AE143"/>
      <c r="AF143"/>
      <c r="AG143"/>
      <c r="AH143"/>
      <c r="AI143"/>
      <c r="AJ143"/>
      <c r="AK143"/>
      <c r="AL143"/>
      <c r="AM143"/>
      <c r="AN143"/>
      <c r="AO143"/>
      <c r="AP143"/>
      <c r="AQ143"/>
      <c r="AR143"/>
      <c r="AS143"/>
      <c r="AT143"/>
      <c r="AU143"/>
      <c r="AV143"/>
      <c r="AW143"/>
      <c r="AX143"/>
      <c r="AY143"/>
      <c r="AZ143"/>
      <c r="BA143"/>
      <c r="BB143"/>
      <c r="BC143"/>
      <c r="BD143"/>
      <c r="BE143"/>
      <c r="BF143"/>
      <c r="BG143"/>
      <c r="BH143"/>
      <c r="BI143"/>
      <c r="BJ143"/>
      <c r="BK143"/>
      <c r="BL143"/>
      <c r="BM143"/>
      <c r="BN143"/>
      <c r="BO143"/>
      <c r="BP143"/>
      <c r="BQ143"/>
      <c r="BR143"/>
      <c r="BS143"/>
      <c r="BT143"/>
      <c r="BU143"/>
      <c r="BV143"/>
      <c r="BW143"/>
      <c r="BX143"/>
      <c r="BY143"/>
      <c r="BZ143"/>
      <c r="CA143"/>
      <c r="CB143"/>
      <c r="CC143"/>
    </row>
    <row r="144" spans="1:81" x14ac:dyDescent="0.25">
      <c r="A144"/>
      <c r="B144"/>
      <c r="C144"/>
      <c r="D144"/>
      <c r="E144"/>
      <c r="F144"/>
      <c r="G144"/>
      <c r="H144"/>
      <c r="I144"/>
      <c r="J144"/>
      <c r="K144"/>
      <c r="L144"/>
      <c r="M144"/>
      <c r="N144"/>
      <c r="O144"/>
      <c r="P144"/>
      <c r="Q144"/>
      <c r="R144"/>
      <c r="S144"/>
      <c r="T144"/>
      <c r="U144"/>
      <c r="V144"/>
      <c r="W144"/>
      <c r="X144"/>
      <c r="Y144"/>
      <c r="Z144"/>
      <c r="AA144"/>
      <c r="AB144"/>
      <c r="AC144"/>
      <c r="AD144"/>
      <c r="AE144"/>
      <c r="AF144"/>
      <c r="AG144"/>
      <c r="AH144"/>
      <c r="AI144"/>
      <c r="AJ144"/>
      <c r="AK144"/>
      <c r="AL144"/>
      <c r="AM144"/>
      <c r="AN144"/>
      <c r="AO144"/>
      <c r="AP144"/>
      <c r="AQ144"/>
      <c r="AR144"/>
      <c r="AS144"/>
      <c r="AT144"/>
      <c r="AU144"/>
      <c r="AV144"/>
      <c r="AW144"/>
      <c r="AX144"/>
      <c r="AY144"/>
      <c r="AZ144"/>
      <c r="BA144"/>
      <c r="BB144"/>
      <c r="BC144"/>
      <c r="BD144"/>
      <c r="BE144"/>
      <c r="BF144"/>
      <c r="BG144"/>
      <c r="BH144"/>
      <c r="BI144"/>
      <c r="BJ144"/>
      <c r="BK144"/>
      <c r="BL144"/>
      <c r="BM144"/>
      <c r="BN144"/>
      <c r="BO144"/>
      <c r="BP144"/>
      <c r="BQ144"/>
      <c r="BR144"/>
      <c r="BS144"/>
      <c r="BT144"/>
      <c r="BU144"/>
      <c r="BV144"/>
      <c r="BW144"/>
      <c r="BX144"/>
      <c r="BY144"/>
      <c r="BZ144"/>
      <c r="CA144"/>
      <c r="CB144"/>
      <c r="CC144"/>
    </row>
    <row r="145" spans="1:81" x14ac:dyDescent="0.25">
      <c r="A145"/>
      <c r="B145"/>
      <c r="C145"/>
      <c r="D145"/>
      <c r="E145"/>
      <c r="F145"/>
      <c r="G145"/>
      <c r="H145"/>
      <c r="I145"/>
      <c r="J145"/>
      <c r="K145"/>
      <c r="L145"/>
      <c r="M145"/>
      <c r="N145"/>
      <c r="O145"/>
      <c r="P145"/>
      <c r="Q145"/>
      <c r="R145"/>
      <c r="S145"/>
      <c r="T145"/>
      <c r="U145"/>
      <c r="V145"/>
      <c r="W145"/>
      <c r="X145"/>
      <c r="Y145"/>
      <c r="Z145"/>
      <c r="AA145"/>
      <c r="AB145"/>
      <c r="AC145"/>
      <c r="AD145"/>
      <c r="AE145"/>
      <c r="AF145"/>
      <c r="AG145"/>
      <c r="AH145"/>
      <c r="AI145"/>
      <c r="AJ145"/>
      <c r="AK145"/>
      <c r="AL145"/>
      <c r="AM145"/>
      <c r="AN145"/>
      <c r="AO145"/>
      <c r="AP145"/>
      <c r="AQ145"/>
      <c r="AR145"/>
      <c r="AS145"/>
      <c r="AT145"/>
      <c r="AU145"/>
      <c r="AV145"/>
      <c r="AW145"/>
      <c r="AX145"/>
      <c r="AY145"/>
      <c r="AZ145"/>
      <c r="BA145"/>
      <c r="BB145"/>
      <c r="BC145"/>
      <c r="BD145"/>
      <c r="BE145"/>
      <c r="BF145"/>
      <c r="BG145"/>
      <c r="BH145"/>
      <c r="BI145"/>
      <c r="BJ145"/>
      <c r="BK145"/>
      <c r="BL145"/>
      <c r="BM145"/>
      <c r="BN145"/>
      <c r="BO145"/>
      <c r="BP145"/>
      <c r="BQ145"/>
      <c r="BR145"/>
      <c r="BS145"/>
      <c r="BT145"/>
      <c r="BU145"/>
      <c r="BV145"/>
      <c r="BW145"/>
      <c r="BX145"/>
      <c r="BY145"/>
      <c r="BZ145"/>
      <c r="CA145"/>
      <c r="CB145"/>
      <c r="CC145"/>
    </row>
    <row r="146" spans="1:81" x14ac:dyDescent="0.25">
      <c r="A146"/>
      <c r="B146"/>
      <c r="C146"/>
      <c r="D146"/>
      <c r="E146"/>
      <c r="F146"/>
      <c r="G146"/>
      <c r="H146"/>
      <c r="I146"/>
      <c r="J146"/>
      <c r="K146"/>
      <c r="L146"/>
      <c r="M146"/>
      <c r="N146"/>
      <c r="O146"/>
      <c r="P146"/>
      <c r="Q146"/>
      <c r="R146"/>
      <c r="S146"/>
      <c r="T146"/>
      <c r="U146"/>
      <c r="V146"/>
      <c r="W146"/>
      <c r="X146"/>
      <c r="Y146"/>
      <c r="Z146"/>
      <c r="AA146"/>
      <c r="AB146"/>
      <c r="AC146"/>
      <c r="AD146"/>
      <c r="AE146"/>
      <c r="AF146"/>
      <c r="AG146"/>
      <c r="AH146"/>
      <c r="AI146"/>
      <c r="AJ146"/>
      <c r="AK146"/>
      <c r="AL146"/>
      <c r="AM146"/>
      <c r="AN146"/>
      <c r="AO146"/>
      <c r="AP146"/>
      <c r="AQ146"/>
      <c r="AR146"/>
      <c r="AS146"/>
      <c r="AT146"/>
      <c r="AU146"/>
      <c r="AV146"/>
      <c r="AW146"/>
      <c r="AX146"/>
      <c r="AY146"/>
      <c r="AZ146"/>
      <c r="BA146"/>
      <c r="BB146"/>
      <c r="BC146"/>
      <c r="BD146"/>
      <c r="BE146"/>
      <c r="BF146"/>
      <c r="BG146"/>
      <c r="BH146"/>
      <c r="BI146"/>
      <c r="BJ146"/>
      <c r="BK146"/>
      <c r="BL146"/>
      <c r="BM146"/>
      <c r="BN146"/>
      <c r="BO146"/>
      <c r="BP146"/>
      <c r="BQ146"/>
      <c r="BR146"/>
      <c r="BS146"/>
      <c r="BT146"/>
      <c r="BU146"/>
      <c r="BV146"/>
      <c r="BW146"/>
      <c r="BX146"/>
      <c r="BY146"/>
      <c r="BZ146"/>
      <c r="CA146"/>
      <c r="CB146"/>
      <c r="CC146"/>
    </row>
    <row r="147" spans="1:81" x14ac:dyDescent="0.25">
      <c r="A147"/>
      <c r="B147"/>
      <c r="C147"/>
      <c r="D147"/>
      <c r="E147"/>
      <c r="F147"/>
      <c r="G147"/>
      <c r="H147"/>
      <c r="I147"/>
      <c r="J147"/>
      <c r="K147"/>
      <c r="L147"/>
      <c r="M147"/>
      <c r="N147"/>
      <c r="O147"/>
      <c r="P147"/>
      <c r="Q147"/>
      <c r="R147"/>
      <c r="S147"/>
      <c r="T147"/>
      <c r="U147"/>
      <c r="V147"/>
      <c r="W147"/>
      <c r="X147"/>
      <c r="Y147"/>
      <c r="Z147"/>
      <c r="AA147"/>
      <c r="AB147"/>
      <c r="AC147"/>
      <c r="AD147"/>
      <c r="AE147"/>
      <c r="AF147"/>
      <c r="AG147"/>
      <c r="AH147"/>
      <c r="AI147"/>
      <c r="AJ147"/>
      <c r="AK147"/>
      <c r="AL147"/>
      <c r="AM147"/>
      <c r="AN147"/>
      <c r="AO147"/>
      <c r="AP147"/>
      <c r="AQ147"/>
      <c r="AR147"/>
      <c r="AS147"/>
      <c r="AT147"/>
      <c r="AU147"/>
      <c r="AV147"/>
      <c r="AW147"/>
      <c r="AX147"/>
      <c r="AY147"/>
      <c r="AZ147"/>
      <c r="BA147"/>
      <c r="BB147"/>
      <c r="BC147"/>
      <c r="BD147"/>
      <c r="BE147"/>
      <c r="BF147"/>
      <c r="BG147"/>
      <c r="BH147"/>
      <c r="BI147"/>
      <c r="BJ147"/>
      <c r="BK147"/>
      <c r="BL147"/>
      <c r="BM147"/>
      <c r="BN147"/>
      <c r="BO147"/>
      <c r="BP147"/>
      <c r="BQ147"/>
      <c r="BR147"/>
      <c r="BS147"/>
      <c r="BT147"/>
      <c r="BU147"/>
      <c r="BV147"/>
      <c r="BW147"/>
      <c r="BX147"/>
      <c r="BY147"/>
      <c r="BZ147"/>
      <c r="CA147"/>
      <c r="CB147"/>
      <c r="CC147"/>
    </row>
    <row r="148" spans="1:81" x14ac:dyDescent="0.25">
      <c r="A148"/>
      <c r="B148"/>
      <c r="C148"/>
      <c r="D148"/>
      <c r="E148"/>
      <c r="F148"/>
      <c r="G148"/>
      <c r="H148"/>
      <c r="I148"/>
      <c r="J148"/>
      <c r="K148"/>
      <c r="L148"/>
      <c r="M148"/>
      <c r="N148"/>
      <c r="O148"/>
      <c r="P148"/>
      <c r="Q148"/>
      <c r="R148"/>
      <c r="S148"/>
      <c r="T148"/>
      <c r="U148"/>
      <c r="V148"/>
      <c r="W148"/>
      <c r="X148"/>
      <c r="Y148"/>
      <c r="Z148"/>
      <c r="AA148"/>
      <c r="AB148"/>
      <c r="AC148"/>
      <c r="AD148"/>
      <c r="AE148"/>
      <c r="AF148"/>
      <c r="AG148"/>
      <c r="AH148"/>
      <c r="AI148"/>
      <c r="AJ148"/>
      <c r="AK148"/>
      <c r="AL148"/>
      <c r="AM148"/>
      <c r="AN148"/>
      <c r="AO148"/>
      <c r="AP148"/>
      <c r="AQ148"/>
      <c r="AR148"/>
      <c r="AS148"/>
      <c r="AT148"/>
      <c r="AU148"/>
      <c r="AV148"/>
      <c r="AW148"/>
      <c r="AX148"/>
      <c r="AY148"/>
      <c r="AZ148"/>
      <c r="BA148"/>
      <c r="BB148"/>
      <c r="BC148"/>
      <c r="BD148"/>
      <c r="BE148"/>
      <c r="BF148"/>
      <c r="BG148"/>
      <c r="BH148"/>
      <c r="BI148"/>
      <c r="BJ148"/>
      <c r="BK148"/>
      <c r="BL148"/>
      <c r="BM148"/>
      <c r="BN148"/>
      <c r="BO148"/>
      <c r="BP148"/>
      <c r="BQ148"/>
      <c r="BR148"/>
      <c r="BS148"/>
      <c r="BT148"/>
      <c r="BU148"/>
      <c r="BV148"/>
      <c r="BW148"/>
      <c r="BX148"/>
      <c r="BY148"/>
      <c r="BZ148"/>
      <c r="CA148"/>
      <c r="CB148"/>
      <c r="CC148"/>
    </row>
    <row r="149" spans="1:81" x14ac:dyDescent="0.25">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c r="AM149"/>
      <c r="AN149"/>
      <c r="AO149"/>
      <c r="AP149"/>
      <c r="AQ149"/>
      <c r="AR149"/>
      <c r="AS149"/>
      <c r="AT149"/>
      <c r="AU149"/>
      <c r="AV149"/>
      <c r="AW149"/>
      <c r="AX149"/>
      <c r="AY149"/>
      <c r="AZ149"/>
      <c r="BA149"/>
      <c r="BB149"/>
      <c r="BC149"/>
      <c r="BD149"/>
      <c r="BE149"/>
      <c r="BF149"/>
      <c r="BG149"/>
      <c r="BH149"/>
      <c r="BI149"/>
      <c r="BJ149"/>
      <c r="BK149"/>
      <c r="BL149"/>
      <c r="BM149"/>
      <c r="BN149"/>
      <c r="BO149"/>
      <c r="BP149"/>
      <c r="BQ149"/>
      <c r="BR149"/>
      <c r="BS149"/>
      <c r="BT149"/>
      <c r="BU149"/>
      <c r="BV149"/>
      <c r="BW149"/>
      <c r="BX149"/>
      <c r="BY149"/>
      <c r="BZ149"/>
      <c r="CA149"/>
      <c r="CB149"/>
      <c r="CC149"/>
    </row>
    <row r="150" spans="1:81" x14ac:dyDescent="0.25">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c r="AM150"/>
      <c r="AN150"/>
      <c r="AO150"/>
      <c r="AP150"/>
      <c r="AQ150"/>
      <c r="AR150"/>
      <c r="AS150"/>
      <c r="AT150"/>
      <c r="AU150"/>
      <c r="AV150"/>
      <c r="AW150"/>
      <c r="AX150"/>
      <c r="AY150"/>
      <c r="AZ150"/>
      <c r="BA150"/>
      <c r="BB150"/>
      <c r="BC150"/>
      <c r="BD150"/>
      <c r="BE150"/>
      <c r="BF150"/>
      <c r="BG150"/>
      <c r="BH150"/>
      <c r="BI150"/>
      <c r="BJ150"/>
      <c r="BK150"/>
      <c r="BL150"/>
      <c r="BM150"/>
      <c r="BN150"/>
      <c r="BO150"/>
      <c r="BP150"/>
      <c r="BQ150"/>
      <c r="BR150"/>
      <c r="BS150"/>
      <c r="BT150"/>
      <c r="BU150"/>
      <c r="BV150"/>
      <c r="BW150"/>
      <c r="BX150"/>
      <c r="BY150"/>
      <c r="BZ150"/>
      <c r="CA150"/>
      <c r="CB150"/>
      <c r="CC150"/>
    </row>
    <row r="151" spans="1:81" x14ac:dyDescent="0.25">
      <c r="A151"/>
      <c r="B151"/>
      <c r="C151"/>
      <c r="D151"/>
      <c r="E151"/>
      <c r="F151"/>
      <c r="G151"/>
      <c r="H151"/>
      <c r="I151"/>
      <c r="J151"/>
      <c r="K151"/>
      <c r="L151"/>
      <c r="M151"/>
      <c r="N151"/>
      <c r="O151"/>
      <c r="P151"/>
      <c r="Q151"/>
      <c r="R151"/>
      <c r="S151"/>
      <c r="T151"/>
      <c r="U151"/>
      <c r="V151"/>
      <c r="W151"/>
      <c r="X151"/>
      <c r="Y151"/>
      <c r="Z151"/>
      <c r="AA151"/>
      <c r="AB151"/>
      <c r="AC151"/>
      <c r="AD151"/>
      <c r="AE151"/>
      <c r="AF151"/>
      <c r="AG151"/>
      <c r="AH151"/>
      <c r="AI151"/>
      <c r="AJ151"/>
      <c r="AK151"/>
      <c r="AL151"/>
      <c r="AM151"/>
      <c r="AN151"/>
      <c r="AO151"/>
      <c r="AP151"/>
      <c r="AQ151"/>
      <c r="AR151"/>
      <c r="AS151"/>
      <c r="AT151"/>
      <c r="AU151"/>
      <c r="AV151"/>
      <c r="AW151"/>
      <c r="AX151"/>
      <c r="AY151"/>
      <c r="AZ151"/>
      <c r="BA151"/>
      <c r="BB151"/>
      <c r="BC151"/>
      <c r="BD151"/>
      <c r="BE151"/>
      <c r="BF151"/>
      <c r="BG151"/>
      <c r="BH151"/>
      <c r="BI151"/>
      <c r="BJ151"/>
      <c r="BK151"/>
      <c r="BL151"/>
      <c r="BM151"/>
      <c r="BN151"/>
      <c r="BO151"/>
      <c r="BP151"/>
      <c r="BQ151"/>
      <c r="BR151"/>
      <c r="BS151"/>
      <c r="BT151"/>
      <c r="BU151"/>
      <c r="BV151"/>
      <c r="BW151"/>
      <c r="BX151"/>
      <c r="BY151"/>
      <c r="BZ151"/>
      <c r="CA151"/>
      <c r="CB151"/>
      <c r="CC151"/>
    </row>
    <row r="152" spans="1:81" x14ac:dyDescent="0.25">
      <c r="A152"/>
      <c r="B152"/>
      <c r="C152"/>
      <c r="D152"/>
      <c r="E152"/>
      <c r="F152"/>
      <c r="G152"/>
      <c r="H152"/>
      <c r="I152"/>
      <c r="J152"/>
      <c r="K152"/>
      <c r="L152"/>
      <c r="M152"/>
      <c r="N152"/>
      <c r="O152"/>
      <c r="P152"/>
      <c r="Q152"/>
      <c r="R152"/>
      <c r="S152"/>
      <c r="T152"/>
      <c r="U152"/>
      <c r="V152"/>
      <c r="W152"/>
      <c r="X152"/>
      <c r="Y152"/>
      <c r="Z152"/>
      <c r="AA152"/>
      <c r="AB152"/>
      <c r="AC152"/>
      <c r="AD152"/>
      <c r="AE152"/>
      <c r="AF152"/>
      <c r="AG152"/>
      <c r="AH152"/>
      <c r="AI152"/>
      <c r="AJ152"/>
      <c r="AK152"/>
      <c r="AL152"/>
      <c r="AM152"/>
      <c r="AN152"/>
      <c r="AO152"/>
      <c r="AP152"/>
      <c r="AQ152"/>
      <c r="AR152"/>
      <c r="AS152"/>
      <c r="AT152"/>
      <c r="AU152"/>
      <c r="AV152"/>
      <c r="AW152"/>
      <c r="AX152"/>
      <c r="AY152"/>
      <c r="AZ152"/>
      <c r="BA152"/>
      <c r="BB152"/>
      <c r="BC152"/>
      <c r="BD152"/>
      <c r="BE152"/>
      <c r="BF152"/>
      <c r="BG152"/>
      <c r="BH152"/>
      <c r="BI152"/>
      <c r="BJ152"/>
      <c r="BK152"/>
      <c r="BL152"/>
      <c r="BM152"/>
      <c r="BN152"/>
      <c r="BO152"/>
      <c r="BP152"/>
      <c r="BQ152"/>
      <c r="BR152"/>
      <c r="BS152"/>
      <c r="BT152"/>
      <c r="BU152"/>
      <c r="BV152"/>
      <c r="BW152"/>
      <c r="BX152"/>
      <c r="BY152"/>
      <c r="BZ152"/>
      <c r="CA152"/>
      <c r="CB152"/>
      <c r="CC152"/>
    </row>
    <row r="153" spans="1:81" x14ac:dyDescent="0.25">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c r="AM153"/>
      <c r="AN153"/>
      <c r="AO153"/>
      <c r="AP153"/>
      <c r="AQ153"/>
      <c r="AR153"/>
      <c r="AS153"/>
      <c r="AT153"/>
      <c r="AU153"/>
      <c r="AV153"/>
      <c r="AW153"/>
      <c r="AX153"/>
      <c r="AY153"/>
      <c r="AZ153"/>
      <c r="BA153"/>
      <c r="BB153"/>
      <c r="BC153"/>
      <c r="BD153"/>
      <c r="BE153"/>
      <c r="BF153"/>
      <c r="BG153"/>
      <c r="BH153"/>
      <c r="BI153"/>
      <c r="BJ153"/>
      <c r="BK153"/>
      <c r="BL153"/>
      <c r="BM153"/>
      <c r="BN153"/>
      <c r="BO153"/>
      <c r="BP153"/>
      <c r="BQ153"/>
      <c r="BR153"/>
      <c r="BS153"/>
      <c r="BT153"/>
      <c r="BU153"/>
      <c r="BV153"/>
      <c r="BW153"/>
      <c r="BX153"/>
      <c r="BY153"/>
      <c r="BZ153"/>
      <c r="CA153"/>
      <c r="CB153"/>
      <c r="CC153"/>
    </row>
    <row r="154" spans="1:81" x14ac:dyDescent="0.25">
      <c r="A154"/>
      <c r="B154"/>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c r="BZ154"/>
      <c r="CA154"/>
      <c r="CB154"/>
      <c r="CC154"/>
    </row>
    <row r="155" spans="1:81" x14ac:dyDescent="0.25">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c r="AM155"/>
      <c r="AN155"/>
      <c r="AO155"/>
      <c r="AP155"/>
      <c r="AQ155"/>
      <c r="AR155"/>
      <c r="AS155"/>
      <c r="AT155"/>
      <c r="AU155"/>
      <c r="AV155"/>
      <c r="AW155"/>
      <c r="AX155"/>
      <c r="AY155"/>
      <c r="AZ155"/>
      <c r="BA155"/>
      <c r="BB155"/>
      <c r="BC155"/>
      <c r="BD155"/>
      <c r="BE155"/>
      <c r="BF155"/>
      <c r="BG155"/>
      <c r="BH155"/>
      <c r="BI155"/>
      <c r="BJ155"/>
      <c r="BK155"/>
      <c r="BL155"/>
      <c r="BM155"/>
      <c r="BN155"/>
      <c r="BO155"/>
      <c r="BP155"/>
      <c r="BQ155"/>
      <c r="BR155"/>
      <c r="BS155"/>
      <c r="BT155"/>
      <c r="BU155"/>
      <c r="BV155"/>
      <c r="BW155"/>
      <c r="BX155"/>
      <c r="BY155"/>
      <c r="BZ155"/>
      <c r="CA155"/>
      <c r="CB155"/>
      <c r="CC155"/>
    </row>
    <row r="156" spans="1:81" x14ac:dyDescent="0.25">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c r="BM156"/>
      <c r="BN156"/>
      <c r="BO156"/>
      <c r="BP156"/>
      <c r="BQ156"/>
      <c r="BR156"/>
      <c r="BS156"/>
      <c r="BT156"/>
      <c r="BU156"/>
      <c r="BV156"/>
      <c r="BW156"/>
      <c r="BX156"/>
      <c r="BY156"/>
      <c r="BZ156"/>
      <c r="CA156"/>
      <c r="CB156"/>
      <c r="CC156"/>
    </row>
    <row r="157" spans="1:81" x14ac:dyDescent="0.25">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c r="BM157"/>
      <c r="BN157"/>
      <c r="BO157"/>
      <c r="BP157"/>
      <c r="BQ157"/>
      <c r="BR157"/>
      <c r="BS157"/>
      <c r="BT157"/>
      <c r="BU157"/>
      <c r="BV157"/>
      <c r="BW157"/>
      <c r="BX157"/>
      <c r="BY157"/>
      <c r="BZ157"/>
      <c r="CA157"/>
      <c r="CB157"/>
      <c r="CC157"/>
    </row>
    <row r="158" spans="1:81" x14ac:dyDescent="0.25">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c r="BO158"/>
      <c r="BP158"/>
      <c r="BQ158"/>
      <c r="BR158"/>
      <c r="BS158"/>
      <c r="BT158"/>
      <c r="BU158"/>
      <c r="BV158"/>
      <c r="BW158"/>
      <c r="BX158"/>
      <c r="BY158"/>
      <c r="BZ158"/>
      <c r="CA158"/>
      <c r="CB158"/>
      <c r="CC158"/>
    </row>
    <row r="159" spans="1:81" x14ac:dyDescent="0.25">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c r="BO159"/>
      <c r="BP159"/>
      <c r="BQ159"/>
      <c r="BR159"/>
      <c r="BS159"/>
      <c r="BT159"/>
      <c r="BU159"/>
      <c r="BV159"/>
      <c r="BW159"/>
      <c r="BX159"/>
      <c r="BY159"/>
      <c r="BZ159"/>
      <c r="CA159"/>
      <c r="CB159"/>
      <c r="CC159"/>
    </row>
    <row r="160" spans="1:81" x14ac:dyDescent="0.25">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c r="BO160"/>
      <c r="BP160"/>
      <c r="BQ160"/>
      <c r="BR160"/>
      <c r="BS160"/>
      <c r="BT160"/>
      <c r="BU160"/>
      <c r="BV160"/>
      <c r="BW160"/>
      <c r="BX160"/>
      <c r="BY160"/>
      <c r="BZ160"/>
      <c r="CA160"/>
      <c r="CB160"/>
      <c r="CC160"/>
    </row>
    <row r="161" spans="1:81" x14ac:dyDescent="0.25">
      <c r="A161"/>
      <c r="B161"/>
      <c r="C161"/>
      <c r="D161"/>
      <c r="E161"/>
      <c r="F161"/>
      <c r="G161"/>
      <c r="H161"/>
      <c r="I161"/>
      <c r="J161"/>
      <c r="K161"/>
      <c r="L161"/>
      <c r="M161"/>
      <c r="N161"/>
      <c r="O161"/>
      <c r="P161"/>
      <c r="Q161"/>
      <c r="R161"/>
      <c r="S161"/>
      <c r="T161"/>
      <c r="U161"/>
      <c r="V161"/>
      <c r="W161"/>
      <c r="X161"/>
      <c r="Y161"/>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c r="BX161"/>
      <c r="BY161"/>
      <c r="BZ161"/>
      <c r="CA161"/>
      <c r="CB161"/>
      <c r="CC161"/>
    </row>
    <row r="162" spans="1:81" x14ac:dyDescent="0.25">
      <c r="A162"/>
      <c r="B162"/>
      <c r="C162"/>
      <c r="D162"/>
      <c r="E162"/>
      <c r="F162"/>
      <c r="G162"/>
      <c r="H162"/>
      <c r="I162"/>
      <c r="J162"/>
      <c r="K162"/>
      <c r="L162"/>
      <c r="M162"/>
      <c r="N162"/>
      <c r="O162"/>
      <c r="P162"/>
      <c r="Q162"/>
      <c r="R162"/>
      <c r="S162"/>
      <c r="T162"/>
      <c r="U162"/>
      <c r="V162"/>
      <c r="W162"/>
      <c r="X162"/>
      <c r="Y162"/>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c r="BY162"/>
      <c r="BZ162"/>
      <c r="CA162"/>
      <c r="CB162"/>
      <c r="CC162"/>
    </row>
    <row r="163" spans="1:81" x14ac:dyDescent="0.25">
      <c r="A163"/>
      <c r="B163"/>
      <c r="C163"/>
      <c r="D163"/>
      <c r="E163"/>
      <c r="F163"/>
      <c r="G163"/>
      <c r="H163"/>
      <c r="I163"/>
      <c r="J163"/>
      <c r="K163"/>
      <c r="L163"/>
      <c r="M163"/>
      <c r="N163"/>
      <c r="O163"/>
      <c r="P163"/>
      <c r="Q163"/>
      <c r="R163"/>
      <c r="S163"/>
      <c r="T163"/>
      <c r="U163"/>
      <c r="V163"/>
      <c r="W163"/>
      <c r="X163"/>
      <c r="Y163"/>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c r="BX163"/>
      <c r="BY163"/>
      <c r="BZ163"/>
      <c r="CA163"/>
      <c r="CB163"/>
      <c r="CC163"/>
    </row>
    <row r="164" spans="1:81" x14ac:dyDescent="0.25">
      <c r="A164"/>
      <c r="B164"/>
      <c r="C164"/>
      <c r="D164"/>
      <c r="E164"/>
      <c r="F164"/>
      <c r="G164"/>
      <c r="H164"/>
      <c r="I164"/>
      <c r="J164"/>
      <c r="K164"/>
      <c r="L164"/>
      <c r="M164"/>
      <c r="N164"/>
      <c r="O164"/>
      <c r="P164"/>
      <c r="Q164"/>
      <c r="R164"/>
      <c r="S164"/>
      <c r="T164"/>
      <c r="U164"/>
      <c r="V164"/>
      <c r="W164"/>
      <c r="X164"/>
      <c r="Y164"/>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c r="BY164"/>
      <c r="BZ164"/>
      <c r="CA164"/>
      <c r="CB164"/>
      <c r="CC164"/>
    </row>
    <row r="165" spans="1:81" x14ac:dyDescent="0.25">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c r="BO165"/>
      <c r="BP165"/>
      <c r="BQ165"/>
      <c r="BR165"/>
      <c r="BS165"/>
      <c r="BT165"/>
      <c r="BU165"/>
      <c r="BV165"/>
      <c r="BW165"/>
      <c r="BX165"/>
      <c r="BY165"/>
      <c r="BZ165"/>
      <c r="CA165"/>
      <c r="CB165"/>
      <c r="CC165"/>
    </row>
    <row r="166" spans="1:81" x14ac:dyDescent="0.25">
      <c r="A166"/>
      <c r="B166"/>
      <c r="C166"/>
      <c r="D166"/>
      <c r="E166"/>
      <c r="F166"/>
      <c r="G166"/>
      <c r="H166"/>
      <c r="I166"/>
      <c r="J166"/>
      <c r="K166"/>
      <c r="L166"/>
      <c r="M166"/>
      <c r="N166"/>
      <c r="O166"/>
      <c r="P166"/>
      <c r="Q166"/>
      <c r="R166"/>
      <c r="S166"/>
      <c r="T166"/>
      <c r="U166"/>
      <c r="V166"/>
      <c r="W166"/>
      <c r="X166"/>
      <c r="Y166"/>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c r="BY166"/>
      <c r="BZ166"/>
      <c r="CA166"/>
      <c r="CB166"/>
      <c r="CC166"/>
    </row>
    <row r="167" spans="1:81" x14ac:dyDescent="0.25">
      <c r="A167"/>
      <c r="B167"/>
      <c r="C167"/>
      <c r="D167"/>
      <c r="E167"/>
      <c r="F167"/>
      <c r="G167"/>
      <c r="H167"/>
      <c r="I167"/>
      <c r="J167"/>
      <c r="K167"/>
      <c r="L167"/>
      <c r="M167"/>
      <c r="N167"/>
      <c r="O167"/>
      <c r="P167"/>
      <c r="Q167"/>
      <c r="R167"/>
      <c r="S167"/>
      <c r="T167"/>
      <c r="U167"/>
      <c r="V167"/>
      <c r="W167"/>
      <c r="X167"/>
      <c r="Y167"/>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c r="BN167"/>
      <c r="BO167"/>
      <c r="BP167"/>
      <c r="BQ167"/>
      <c r="BR167"/>
      <c r="BS167"/>
      <c r="BT167"/>
      <c r="BU167"/>
      <c r="BV167"/>
      <c r="BW167"/>
      <c r="BX167"/>
      <c r="BY167"/>
      <c r="BZ167"/>
      <c r="CA167"/>
      <c r="CB167"/>
      <c r="CC167"/>
    </row>
    <row r="168" spans="1:81" x14ac:dyDescent="0.25">
      <c r="A168"/>
      <c r="B168"/>
      <c r="C168"/>
      <c r="D168"/>
      <c r="E168"/>
      <c r="F168"/>
      <c r="G168"/>
      <c r="H168"/>
      <c r="I168"/>
      <c r="J168"/>
      <c r="K168"/>
      <c r="L168"/>
      <c r="M168"/>
      <c r="N168"/>
      <c r="O168"/>
      <c r="P168"/>
      <c r="Q168"/>
      <c r="R168"/>
      <c r="S168"/>
      <c r="T168"/>
      <c r="U168"/>
      <c r="V168"/>
      <c r="W168"/>
      <c r="X168"/>
      <c r="Y168"/>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c r="BY168"/>
      <c r="BZ168"/>
      <c r="CA168"/>
      <c r="CB168"/>
      <c r="CC168"/>
    </row>
    <row r="169" spans="1:81" x14ac:dyDescent="0.25">
      <c r="A169"/>
      <c r="B169"/>
      <c r="C169"/>
      <c r="D169"/>
      <c r="E169"/>
      <c r="F169"/>
      <c r="G169"/>
      <c r="H169"/>
      <c r="I169"/>
      <c r="J169"/>
      <c r="K169"/>
      <c r="L169"/>
      <c r="M169"/>
      <c r="N169"/>
      <c r="O169"/>
      <c r="P169"/>
      <c r="Q169"/>
      <c r="R169"/>
      <c r="S169"/>
      <c r="T169"/>
      <c r="U169"/>
      <c r="V169"/>
      <c r="W169"/>
      <c r="X169"/>
      <c r="Y169"/>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c r="BY169"/>
      <c r="BZ169"/>
      <c r="CA169"/>
      <c r="CB169"/>
      <c r="CC169"/>
    </row>
    <row r="170" spans="1:81" x14ac:dyDescent="0.25">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c r="BJ170"/>
      <c r="BK170"/>
      <c r="BL170"/>
      <c r="BM170"/>
      <c r="BN170"/>
      <c r="BO170"/>
      <c r="BP170"/>
      <c r="BQ170"/>
      <c r="BR170"/>
      <c r="BS170"/>
      <c r="BT170"/>
      <c r="BU170"/>
      <c r="BV170"/>
      <c r="BW170"/>
      <c r="BX170"/>
      <c r="BY170"/>
      <c r="BZ170"/>
      <c r="CA170"/>
      <c r="CB170"/>
      <c r="CC170"/>
    </row>
    <row r="171" spans="1:81" x14ac:dyDescent="0.25">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c r="BY171"/>
      <c r="BZ171"/>
      <c r="CA171"/>
      <c r="CB171"/>
      <c r="CC171"/>
    </row>
    <row r="172" spans="1:81" x14ac:dyDescent="0.25">
      <c r="A172"/>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c r="BY172"/>
      <c r="BZ172"/>
      <c r="CA172"/>
      <c r="CB172"/>
      <c r="CC172"/>
    </row>
    <row r="173" spans="1:81" x14ac:dyDescent="0.25">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c r="AM173"/>
      <c r="AN173"/>
      <c r="AO173"/>
      <c r="AP173"/>
      <c r="AQ173"/>
      <c r="AR173"/>
      <c r="AS173"/>
      <c r="AT173"/>
      <c r="AU173"/>
      <c r="AV173"/>
      <c r="AW173"/>
      <c r="AX173"/>
      <c r="AY173"/>
      <c r="AZ173"/>
      <c r="BA173"/>
      <c r="BB173"/>
      <c r="BC173"/>
      <c r="BD173"/>
      <c r="BE173"/>
      <c r="BF173"/>
      <c r="BG173"/>
      <c r="BH173"/>
      <c r="BI173"/>
      <c r="BJ173"/>
      <c r="BK173"/>
      <c r="BL173"/>
      <c r="BM173"/>
      <c r="BN173"/>
      <c r="BO173"/>
      <c r="BP173"/>
      <c r="BQ173"/>
      <c r="BR173"/>
      <c r="BS173"/>
      <c r="BT173"/>
      <c r="BU173"/>
      <c r="BV173"/>
      <c r="BW173"/>
      <c r="BX173"/>
      <c r="BY173"/>
      <c r="BZ173"/>
      <c r="CA173"/>
      <c r="CB173"/>
      <c r="CC173"/>
    </row>
    <row r="174" spans="1:81" x14ac:dyDescent="0.25">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c r="AM174"/>
      <c r="AN174"/>
      <c r="AO174"/>
      <c r="AP174"/>
      <c r="AQ174"/>
      <c r="AR174"/>
      <c r="AS174"/>
      <c r="AT174"/>
      <c r="AU174"/>
      <c r="AV174"/>
      <c r="AW174"/>
      <c r="AX174"/>
      <c r="AY174"/>
      <c r="AZ174"/>
      <c r="BA174"/>
      <c r="BB174"/>
      <c r="BC174"/>
      <c r="BD174"/>
      <c r="BE174"/>
      <c r="BF174"/>
      <c r="BG174"/>
      <c r="BH174"/>
      <c r="BI174"/>
      <c r="BJ174"/>
      <c r="BK174"/>
      <c r="BL174"/>
      <c r="BM174"/>
      <c r="BN174"/>
      <c r="BO174"/>
      <c r="BP174"/>
      <c r="BQ174"/>
      <c r="BR174"/>
      <c r="BS174"/>
      <c r="BT174"/>
      <c r="BU174"/>
      <c r="BV174"/>
      <c r="BW174"/>
      <c r="BX174"/>
      <c r="BY174"/>
      <c r="BZ174"/>
      <c r="CA174"/>
      <c r="CB174"/>
      <c r="CC174"/>
    </row>
    <row r="175" spans="1:81" x14ac:dyDescent="0.25">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c r="AM175"/>
      <c r="AN175"/>
      <c r="AO175"/>
      <c r="AP175"/>
      <c r="AQ175"/>
      <c r="AR175"/>
      <c r="AS175"/>
      <c r="AT175"/>
      <c r="AU175"/>
      <c r="AV175"/>
      <c r="AW175"/>
      <c r="AX175"/>
      <c r="AY175"/>
      <c r="AZ175"/>
      <c r="BA175"/>
      <c r="BB175"/>
      <c r="BC175"/>
      <c r="BD175"/>
      <c r="BE175"/>
      <c r="BF175"/>
      <c r="BG175"/>
      <c r="BH175"/>
      <c r="BI175"/>
      <c r="BJ175"/>
      <c r="BK175"/>
      <c r="BL175"/>
      <c r="BM175"/>
      <c r="BN175"/>
      <c r="BO175"/>
      <c r="BP175"/>
      <c r="BQ175"/>
      <c r="BR175"/>
      <c r="BS175"/>
      <c r="BT175"/>
      <c r="BU175"/>
      <c r="BV175"/>
      <c r="BW175"/>
      <c r="BX175"/>
      <c r="BY175"/>
      <c r="BZ175"/>
      <c r="CA175"/>
      <c r="CB175"/>
      <c r="CC175"/>
    </row>
    <row r="176" spans="1:81" x14ac:dyDescent="0.25">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c r="AM176"/>
      <c r="AN176"/>
      <c r="AO176"/>
      <c r="AP176"/>
      <c r="AQ176"/>
      <c r="AR176"/>
      <c r="AS176"/>
      <c r="AT176"/>
      <c r="AU176"/>
      <c r="AV176"/>
      <c r="AW176"/>
      <c r="AX176"/>
      <c r="AY176"/>
      <c r="AZ176"/>
      <c r="BA176"/>
      <c r="BB176"/>
      <c r="BC176"/>
      <c r="BD176"/>
      <c r="BE176"/>
      <c r="BF176"/>
      <c r="BG176"/>
      <c r="BH176"/>
      <c r="BI176"/>
      <c r="BJ176"/>
      <c r="BK176"/>
      <c r="BL176"/>
      <c r="BM176"/>
      <c r="BN176"/>
      <c r="BO176"/>
      <c r="BP176"/>
      <c r="BQ176"/>
      <c r="BR176"/>
      <c r="BS176"/>
      <c r="BT176"/>
      <c r="BU176"/>
      <c r="BV176"/>
      <c r="BW176"/>
      <c r="BX176"/>
      <c r="BY176"/>
      <c r="BZ176"/>
      <c r="CA176"/>
      <c r="CB176"/>
      <c r="CC176"/>
    </row>
    <row r="177" spans="1:81" x14ac:dyDescent="0.25">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c r="AM177"/>
      <c r="AN177"/>
      <c r="AO177"/>
      <c r="AP177"/>
      <c r="AQ177"/>
      <c r="AR177"/>
      <c r="AS177"/>
      <c r="AT177"/>
      <c r="AU177"/>
      <c r="AV177"/>
      <c r="AW177"/>
      <c r="AX177"/>
      <c r="AY177"/>
      <c r="AZ177"/>
      <c r="BA177"/>
      <c r="BB177"/>
      <c r="BC177"/>
      <c r="BD177"/>
      <c r="BE177"/>
      <c r="BF177"/>
      <c r="BG177"/>
      <c r="BH177"/>
      <c r="BI177"/>
      <c r="BJ177"/>
      <c r="BK177"/>
      <c r="BL177"/>
      <c r="BM177"/>
      <c r="BN177"/>
      <c r="BO177"/>
      <c r="BP177"/>
      <c r="BQ177"/>
      <c r="BR177"/>
      <c r="BS177"/>
      <c r="BT177"/>
      <c r="BU177"/>
      <c r="BV177"/>
      <c r="BW177"/>
      <c r="BX177"/>
      <c r="BY177"/>
      <c r="BZ177"/>
      <c r="CA177"/>
      <c r="CB177"/>
      <c r="CC177"/>
    </row>
    <row r="178" spans="1:81" x14ac:dyDescent="0.25">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c r="AM178"/>
      <c r="AN178"/>
      <c r="AO178"/>
      <c r="AP178"/>
      <c r="AQ178"/>
      <c r="AR178"/>
      <c r="AS178"/>
      <c r="AT178"/>
      <c r="AU178"/>
      <c r="AV178"/>
      <c r="AW178"/>
      <c r="AX178"/>
      <c r="AY178"/>
      <c r="AZ178"/>
      <c r="BA178"/>
      <c r="BB178"/>
      <c r="BC178"/>
      <c r="BD178"/>
      <c r="BE178"/>
      <c r="BF178"/>
      <c r="BG178"/>
      <c r="BH178"/>
      <c r="BI178"/>
      <c r="BJ178"/>
      <c r="BK178"/>
      <c r="BL178"/>
      <c r="BM178"/>
      <c r="BN178"/>
      <c r="BO178"/>
      <c r="BP178"/>
      <c r="BQ178"/>
      <c r="BR178"/>
      <c r="BS178"/>
      <c r="BT178"/>
      <c r="BU178"/>
      <c r="BV178"/>
      <c r="BW178"/>
      <c r="BX178"/>
      <c r="BY178"/>
      <c r="BZ178"/>
      <c r="CA178"/>
      <c r="CB178"/>
      <c r="CC178"/>
    </row>
    <row r="179" spans="1:81" x14ac:dyDescent="0.25">
      <c r="A179"/>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c r="AJ179"/>
      <c r="AK179"/>
      <c r="AL179"/>
      <c r="AM179"/>
      <c r="AN179"/>
      <c r="AO179"/>
      <c r="AP179"/>
      <c r="AQ179"/>
      <c r="AR179"/>
      <c r="AS179"/>
      <c r="AT179"/>
      <c r="AU179"/>
      <c r="AV179"/>
      <c r="AW179"/>
      <c r="AX179"/>
      <c r="AY179"/>
      <c r="AZ179"/>
      <c r="BA179"/>
      <c r="BB179"/>
      <c r="BC179"/>
      <c r="BD179"/>
      <c r="BE179"/>
      <c r="BF179"/>
      <c r="BG179"/>
      <c r="BH179"/>
      <c r="BI179"/>
      <c r="BJ179"/>
      <c r="BK179"/>
      <c r="BL179"/>
      <c r="BM179"/>
      <c r="BN179"/>
      <c r="BO179"/>
      <c r="BP179"/>
      <c r="BQ179"/>
      <c r="BR179"/>
      <c r="BS179"/>
      <c r="BT179"/>
      <c r="BU179"/>
      <c r="BV179"/>
      <c r="BW179"/>
      <c r="BX179"/>
      <c r="BY179"/>
      <c r="BZ179"/>
      <c r="CA179"/>
      <c r="CB179"/>
      <c r="CC179"/>
    </row>
    <row r="180" spans="1:81" x14ac:dyDescent="0.25">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c r="AM180"/>
      <c r="AN180"/>
      <c r="AO180"/>
      <c r="AP180"/>
      <c r="AQ180"/>
      <c r="AR180"/>
      <c r="AS180"/>
      <c r="AT180"/>
      <c r="AU180"/>
      <c r="AV180"/>
      <c r="AW180"/>
      <c r="AX180"/>
      <c r="AY180"/>
      <c r="AZ180"/>
      <c r="BA180"/>
      <c r="BB180"/>
      <c r="BC180"/>
      <c r="BD180"/>
      <c r="BE180"/>
      <c r="BF180"/>
      <c r="BG180"/>
      <c r="BH180"/>
      <c r="BI180"/>
      <c r="BJ180"/>
      <c r="BK180"/>
      <c r="BL180"/>
      <c r="BM180"/>
      <c r="BN180"/>
      <c r="BO180"/>
      <c r="BP180"/>
      <c r="BQ180"/>
      <c r="BR180"/>
      <c r="BS180"/>
      <c r="BT180"/>
      <c r="BU180"/>
      <c r="BV180"/>
      <c r="BW180"/>
      <c r="BX180"/>
      <c r="BY180"/>
      <c r="BZ180"/>
      <c r="CA180"/>
      <c r="CB180"/>
      <c r="CC180"/>
    </row>
    <row r="181" spans="1:81" x14ac:dyDescent="0.25">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c r="AM181"/>
      <c r="AN181"/>
      <c r="AO181"/>
      <c r="AP181"/>
      <c r="AQ181"/>
      <c r="AR181"/>
      <c r="AS181"/>
      <c r="AT181"/>
      <c r="AU181"/>
      <c r="AV181"/>
      <c r="AW181"/>
      <c r="AX181"/>
      <c r="AY181"/>
      <c r="AZ181"/>
      <c r="BA181"/>
      <c r="BB181"/>
      <c r="BC181"/>
      <c r="BD181"/>
      <c r="BE181"/>
      <c r="BF181"/>
      <c r="BG181"/>
      <c r="BH181"/>
      <c r="BI181"/>
      <c r="BJ181"/>
      <c r="BK181"/>
      <c r="BL181"/>
      <c r="BM181"/>
      <c r="BN181"/>
      <c r="BO181"/>
      <c r="BP181"/>
      <c r="BQ181"/>
      <c r="BR181"/>
      <c r="BS181"/>
      <c r="BT181"/>
      <c r="BU181"/>
      <c r="BV181"/>
      <c r="BW181"/>
      <c r="BX181"/>
      <c r="BY181"/>
      <c r="BZ181"/>
      <c r="CA181"/>
      <c r="CB181"/>
      <c r="CC181"/>
    </row>
    <row r="182" spans="1:81" x14ac:dyDescent="0.25">
      <c r="A182"/>
      <c r="B182"/>
      <c r="C182"/>
      <c r="D182"/>
      <c r="E182"/>
      <c r="F182"/>
      <c r="G182"/>
      <c r="H182"/>
      <c r="I182"/>
      <c r="J182"/>
      <c r="K182"/>
      <c r="L182"/>
      <c r="M182"/>
      <c r="N182"/>
      <c r="O182"/>
      <c r="P182"/>
      <c r="Q182"/>
      <c r="R182"/>
      <c r="S182"/>
      <c r="T182"/>
      <c r="U182"/>
      <c r="V182"/>
      <c r="W182"/>
      <c r="X182"/>
      <c r="Y182"/>
      <c r="Z182"/>
      <c r="AA182"/>
      <c r="AB182"/>
      <c r="AC182"/>
      <c r="AD182"/>
      <c r="AE182"/>
      <c r="AF182"/>
      <c r="AG182"/>
      <c r="AH182"/>
      <c r="AI182"/>
      <c r="AJ182"/>
      <c r="AK182"/>
      <c r="AL182"/>
      <c r="AM182"/>
      <c r="AN182"/>
      <c r="AO182"/>
      <c r="AP182"/>
      <c r="AQ182"/>
      <c r="AR182"/>
      <c r="AS182"/>
      <c r="AT182"/>
      <c r="AU182"/>
      <c r="AV182"/>
      <c r="AW182"/>
      <c r="AX182"/>
      <c r="AY182"/>
      <c r="AZ182"/>
      <c r="BA182"/>
      <c r="BB182"/>
      <c r="BC182"/>
      <c r="BD182"/>
      <c r="BE182"/>
      <c r="BF182"/>
      <c r="BG182"/>
      <c r="BH182"/>
      <c r="BI182"/>
      <c r="BJ182"/>
      <c r="BK182"/>
      <c r="BL182"/>
      <c r="BM182"/>
      <c r="BN182"/>
      <c r="BO182"/>
      <c r="BP182"/>
      <c r="BQ182"/>
      <c r="BR182"/>
      <c r="BS182"/>
      <c r="BT182"/>
      <c r="BU182"/>
      <c r="BV182"/>
      <c r="BW182"/>
      <c r="BX182"/>
      <c r="BY182"/>
      <c r="BZ182"/>
      <c r="CA182"/>
      <c r="CB182"/>
      <c r="CC182"/>
    </row>
    <row r="183" spans="1:81" x14ac:dyDescent="0.25">
      <c r="A183"/>
      <c r="B183"/>
      <c r="C183"/>
      <c r="D183"/>
      <c r="E183"/>
      <c r="F183"/>
      <c r="G183"/>
      <c r="H183"/>
      <c r="I183"/>
      <c r="J183"/>
      <c r="K183"/>
      <c r="L183"/>
      <c r="M183"/>
      <c r="N183"/>
      <c r="O183"/>
      <c r="P183"/>
      <c r="Q183"/>
      <c r="R183"/>
      <c r="S183"/>
      <c r="T183"/>
      <c r="U183"/>
      <c r="V183"/>
      <c r="W183"/>
      <c r="X183"/>
      <c r="Y183"/>
      <c r="Z183"/>
      <c r="AA183"/>
      <c r="AB183"/>
      <c r="AC183"/>
      <c r="AD183"/>
      <c r="AE183"/>
      <c r="AF183"/>
      <c r="AG183"/>
      <c r="AH183"/>
      <c r="AI183"/>
      <c r="AJ183"/>
      <c r="AK183"/>
      <c r="AL183"/>
      <c r="AM183"/>
      <c r="AN183"/>
      <c r="AO183"/>
      <c r="AP183"/>
      <c r="AQ183"/>
      <c r="AR183"/>
      <c r="AS183"/>
      <c r="AT183"/>
      <c r="AU183"/>
      <c r="AV183"/>
      <c r="AW183"/>
      <c r="AX183"/>
      <c r="AY183"/>
      <c r="AZ183"/>
      <c r="BA183"/>
      <c r="BB183"/>
      <c r="BC183"/>
      <c r="BD183"/>
      <c r="BE183"/>
      <c r="BF183"/>
      <c r="BG183"/>
      <c r="BH183"/>
      <c r="BI183"/>
      <c r="BJ183"/>
      <c r="BK183"/>
      <c r="BL183"/>
      <c r="BM183"/>
      <c r="BN183"/>
      <c r="BO183"/>
      <c r="BP183"/>
      <c r="BQ183"/>
      <c r="BR183"/>
      <c r="BS183"/>
      <c r="BT183"/>
      <c r="BU183"/>
      <c r="BV183"/>
      <c r="BW183"/>
      <c r="BX183"/>
      <c r="BY183"/>
      <c r="BZ183"/>
      <c r="CA183"/>
      <c r="CB183"/>
      <c r="CC183"/>
    </row>
    <row r="184" spans="1:81" x14ac:dyDescent="0.25">
      <c r="A184"/>
      <c r="B184"/>
      <c r="C184"/>
      <c r="D184"/>
      <c r="E184"/>
      <c r="F184"/>
      <c r="G184"/>
      <c r="H184"/>
      <c r="I184"/>
      <c r="J184"/>
      <c r="K184"/>
      <c r="L184"/>
      <c r="M184"/>
      <c r="N184"/>
      <c r="O184"/>
      <c r="P184"/>
      <c r="Q184"/>
      <c r="R184"/>
      <c r="S184"/>
      <c r="T184"/>
      <c r="U184"/>
      <c r="V184"/>
      <c r="W184"/>
      <c r="X184"/>
      <c r="Y184"/>
      <c r="Z184"/>
      <c r="AA184"/>
      <c r="AB184"/>
      <c r="AC184"/>
      <c r="AD184"/>
      <c r="AE184"/>
      <c r="AF184"/>
      <c r="AG184"/>
      <c r="AH184"/>
      <c r="AI184"/>
      <c r="AJ184"/>
      <c r="AK184"/>
      <c r="AL184"/>
      <c r="AM184"/>
      <c r="AN184"/>
      <c r="AO184"/>
      <c r="AP184"/>
      <c r="AQ184"/>
      <c r="AR184"/>
      <c r="AS184"/>
      <c r="AT184"/>
      <c r="AU184"/>
      <c r="AV184"/>
      <c r="AW184"/>
      <c r="AX184"/>
      <c r="AY184"/>
      <c r="AZ184"/>
      <c r="BA184"/>
      <c r="BB184"/>
      <c r="BC184"/>
      <c r="BD184"/>
      <c r="BE184"/>
      <c r="BF184"/>
      <c r="BG184"/>
      <c r="BH184"/>
      <c r="BI184"/>
      <c r="BJ184"/>
      <c r="BK184"/>
      <c r="BL184"/>
      <c r="BM184"/>
      <c r="BN184"/>
      <c r="BO184"/>
      <c r="BP184"/>
      <c r="BQ184"/>
      <c r="BR184"/>
      <c r="BS184"/>
      <c r="BT184"/>
      <c r="BU184"/>
      <c r="BV184"/>
      <c r="BW184"/>
      <c r="BX184"/>
      <c r="BY184"/>
      <c r="BZ184"/>
      <c r="CA184"/>
      <c r="CB184"/>
      <c r="CC184"/>
    </row>
    <row r="185" spans="1:81" x14ac:dyDescent="0.25">
      <c r="A185"/>
      <c r="B185"/>
      <c r="C185"/>
      <c r="D185"/>
      <c r="E185"/>
      <c r="F185"/>
      <c r="G185"/>
      <c r="H185"/>
      <c r="I185"/>
      <c r="J185"/>
      <c r="K185"/>
      <c r="L185"/>
      <c r="M185"/>
      <c r="N185"/>
      <c r="O185"/>
      <c r="P185"/>
      <c r="Q185"/>
      <c r="R185"/>
      <c r="S185"/>
      <c r="T185"/>
      <c r="U185"/>
      <c r="V185"/>
      <c r="W185"/>
      <c r="X185"/>
      <c r="Y185"/>
      <c r="Z185"/>
      <c r="AA185"/>
      <c r="AB185"/>
      <c r="AC185"/>
      <c r="AD185"/>
      <c r="AE185"/>
      <c r="AF185"/>
      <c r="AG185"/>
      <c r="AH185"/>
      <c r="AI185"/>
      <c r="AJ185"/>
      <c r="AK185"/>
      <c r="AL185"/>
      <c r="AM185"/>
      <c r="AN185"/>
      <c r="AO185"/>
      <c r="AP185"/>
      <c r="AQ185"/>
      <c r="AR185"/>
      <c r="AS185"/>
      <c r="AT185"/>
      <c r="AU185"/>
      <c r="AV185"/>
      <c r="AW185"/>
      <c r="AX185"/>
      <c r="AY185"/>
      <c r="AZ185"/>
      <c r="BA185"/>
      <c r="BB185"/>
      <c r="BC185"/>
      <c r="BD185"/>
      <c r="BE185"/>
      <c r="BF185"/>
      <c r="BG185"/>
      <c r="BH185"/>
      <c r="BI185"/>
      <c r="BJ185"/>
      <c r="BK185"/>
      <c r="BL185"/>
      <c r="BM185"/>
      <c r="BN185"/>
      <c r="BO185"/>
      <c r="BP185"/>
      <c r="BQ185"/>
      <c r="BR185"/>
      <c r="BS185"/>
      <c r="BT185"/>
      <c r="BU185"/>
      <c r="BV185"/>
      <c r="BW185"/>
      <c r="BX185"/>
      <c r="BY185"/>
      <c r="BZ185"/>
      <c r="CA185"/>
      <c r="CB185"/>
      <c r="CC185"/>
    </row>
    <row r="186" spans="1:81" x14ac:dyDescent="0.25">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c r="AM186"/>
      <c r="AN186"/>
      <c r="AO186"/>
      <c r="AP186"/>
      <c r="AQ186"/>
      <c r="AR186"/>
      <c r="AS186"/>
      <c r="AT186"/>
      <c r="AU186"/>
      <c r="AV186"/>
      <c r="AW186"/>
      <c r="AX186"/>
      <c r="AY186"/>
      <c r="AZ186"/>
      <c r="BA186"/>
      <c r="BB186"/>
      <c r="BC186"/>
      <c r="BD186"/>
      <c r="BE186"/>
      <c r="BF186"/>
      <c r="BG186"/>
      <c r="BH186"/>
      <c r="BI186"/>
      <c r="BJ186"/>
      <c r="BK186"/>
      <c r="BL186"/>
      <c r="BM186"/>
      <c r="BN186"/>
      <c r="BO186"/>
      <c r="BP186"/>
      <c r="BQ186"/>
      <c r="BR186"/>
      <c r="BS186"/>
      <c r="BT186"/>
      <c r="BU186"/>
      <c r="BV186"/>
      <c r="BW186"/>
      <c r="BX186"/>
      <c r="BY186"/>
      <c r="BZ186"/>
      <c r="CA186"/>
      <c r="CB186"/>
      <c r="CC186"/>
    </row>
    <row r="187" spans="1:81" x14ac:dyDescent="0.25">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c r="AM187"/>
      <c r="AN187"/>
      <c r="AO187"/>
      <c r="AP187"/>
      <c r="AQ187"/>
      <c r="AR187"/>
      <c r="AS187"/>
      <c r="AT187"/>
      <c r="AU187"/>
      <c r="AV187"/>
      <c r="AW187"/>
      <c r="AX187"/>
      <c r="AY187"/>
      <c r="AZ187"/>
      <c r="BA187"/>
      <c r="BB187"/>
      <c r="BC187"/>
      <c r="BD187"/>
      <c r="BE187"/>
      <c r="BF187"/>
      <c r="BG187"/>
      <c r="BH187"/>
      <c r="BI187"/>
      <c r="BJ187"/>
      <c r="BK187"/>
      <c r="BL187"/>
      <c r="BM187"/>
      <c r="BN187"/>
      <c r="BO187"/>
      <c r="BP187"/>
      <c r="BQ187"/>
      <c r="BR187"/>
      <c r="BS187"/>
      <c r="BT187"/>
      <c r="BU187"/>
      <c r="BV187"/>
      <c r="BW187"/>
      <c r="BX187"/>
      <c r="BY187"/>
      <c r="BZ187"/>
      <c r="CA187"/>
      <c r="CB187"/>
      <c r="CC187"/>
    </row>
    <row r="188" spans="1:81" x14ac:dyDescent="0.25">
      <c r="A188"/>
      <c r="B188"/>
      <c r="C188"/>
      <c r="D188"/>
      <c r="E188"/>
      <c r="F188"/>
      <c r="G188"/>
      <c r="H188"/>
      <c r="I188"/>
      <c r="J188"/>
      <c r="K188"/>
      <c r="L188"/>
      <c r="M188"/>
      <c r="N188"/>
      <c r="O188"/>
      <c r="P188"/>
      <c r="Q188"/>
      <c r="R188"/>
      <c r="S188"/>
      <c r="T188"/>
      <c r="U188"/>
      <c r="V188"/>
      <c r="W188"/>
      <c r="X188"/>
      <c r="Y188"/>
      <c r="Z188"/>
      <c r="AA188"/>
      <c r="AB188"/>
      <c r="AC188"/>
      <c r="AD188"/>
      <c r="AE188"/>
      <c r="AF188"/>
      <c r="AG188"/>
      <c r="AH188"/>
      <c r="AI188"/>
      <c r="AJ188"/>
      <c r="AK188"/>
      <c r="AL188"/>
      <c r="AM188"/>
      <c r="AN188"/>
      <c r="AO188"/>
      <c r="AP188"/>
      <c r="AQ188"/>
      <c r="AR188"/>
      <c r="AS188"/>
      <c r="AT188"/>
      <c r="AU188"/>
      <c r="AV188"/>
      <c r="AW188"/>
      <c r="AX188"/>
      <c r="AY188"/>
      <c r="AZ188"/>
      <c r="BA188"/>
      <c r="BB188"/>
      <c r="BC188"/>
      <c r="BD188"/>
      <c r="BE188"/>
      <c r="BF188"/>
      <c r="BG188"/>
      <c r="BH188"/>
      <c r="BI188"/>
      <c r="BJ188"/>
      <c r="BK188"/>
      <c r="BL188"/>
      <c r="BM188"/>
      <c r="BN188"/>
      <c r="BO188"/>
      <c r="BP188"/>
      <c r="BQ188"/>
      <c r="BR188"/>
      <c r="BS188"/>
      <c r="BT188"/>
      <c r="BU188"/>
      <c r="BV188"/>
      <c r="BW188"/>
      <c r="BX188"/>
      <c r="BY188"/>
      <c r="BZ188"/>
      <c r="CA188"/>
      <c r="CB188"/>
      <c r="CC188"/>
    </row>
    <row r="189" spans="1:81" x14ac:dyDescent="0.25">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c r="AI189"/>
      <c r="AJ189"/>
      <c r="AK189"/>
      <c r="AL189"/>
      <c r="AM189"/>
      <c r="AN189"/>
      <c r="AO189"/>
      <c r="AP189"/>
      <c r="AQ189"/>
      <c r="AR189"/>
      <c r="AS189"/>
      <c r="AT189"/>
      <c r="AU189"/>
      <c r="AV189"/>
      <c r="AW189"/>
      <c r="AX189"/>
      <c r="AY189"/>
      <c r="AZ189"/>
      <c r="BA189"/>
      <c r="BB189"/>
      <c r="BC189"/>
      <c r="BD189"/>
      <c r="BE189"/>
      <c r="BF189"/>
      <c r="BG189"/>
      <c r="BH189"/>
      <c r="BI189"/>
      <c r="BJ189"/>
      <c r="BK189"/>
      <c r="BL189"/>
      <c r="BM189"/>
      <c r="BN189"/>
      <c r="BO189"/>
      <c r="BP189"/>
      <c r="BQ189"/>
      <c r="BR189"/>
      <c r="BS189"/>
      <c r="BT189"/>
      <c r="BU189"/>
      <c r="BV189"/>
      <c r="BW189"/>
      <c r="BX189"/>
      <c r="BY189"/>
      <c r="BZ189"/>
      <c r="CA189"/>
      <c r="CB189"/>
      <c r="CC189"/>
    </row>
    <row r="190" spans="1:81" x14ac:dyDescent="0.25">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c r="AI190"/>
      <c r="AJ190"/>
      <c r="AK190"/>
      <c r="AL190"/>
      <c r="AM190"/>
      <c r="AN190"/>
      <c r="AO190"/>
      <c r="AP190"/>
      <c r="AQ190"/>
      <c r="AR190"/>
      <c r="AS190"/>
      <c r="AT190"/>
      <c r="AU190"/>
      <c r="AV190"/>
      <c r="AW190"/>
      <c r="AX190"/>
      <c r="AY190"/>
      <c r="AZ190"/>
      <c r="BA190"/>
      <c r="BB190"/>
      <c r="BC190"/>
      <c r="BD190"/>
      <c r="BE190"/>
      <c r="BF190"/>
      <c r="BG190"/>
      <c r="BH190"/>
      <c r="BI190"/>
      <c r="BJ190"/>
      <c r="BK190"/>
      <c r="BL190"/>
      <c r="BM190"/>
      <c r="BN190"/>
      <c r="BO190"/>
      <c r="BP190"/>
      <c r="BQ190"/>
      <c r="BR190"/>
      <c r="BS190"/>
      <c r="BT190"/>
      <c r="BU190"/>
      <c r="BV190"/>
      <c r="BW190"/>
      <c r="BX190"/>
      <c r="BY190"/>
      <c r="BZ190"/>
      <c r="CA190"/>
      <c r="CB190"/>
      <c r="CC190"/>
    </row>
    <row r="191" spans="1:81" x14ac:dyDescent="0.25">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c r="AI191"/>
      <c r="AJ191"/>
      <c r="AK191"/>
      <c r="AL191"/>
      <c r="AM191"/>
      <c r="AN191"/>
      <c r="AO191"/>
      <c r="AP191"/>
      <c r="AQ191"/>
      <c r="AR191"/>
      <c r="AS191"/>
      <c r="AT191"/>
      <c r="AU191"/>
      <c r="AV191"/>
      <c r="AW191"/>
      <c r="AX191"/>
      <c r="AY191"/>
      <c r="AZ191"/>
      <c r="BA191"/>
      <c r="BB191"/>
      <c r="BC191"/>
      <c r="BD191"/>
      <c r="BE191"/>
      <c r="BF191"/>
      <c r="BG191"/>
      <c r="BH191"/>
      <c r="BI191"/>
      <c r="BJ191"/>
      <c r="BK191"/>
      <c r="BL191"/>
      <c r="BM191"/>
      <c r="BN191"/>
      <c r="BO191"/>
      <c r="BP191"/>
      <c r="BQ191"/>
      <c r="BR191"/>
      <c r="BS191"/>
      <c r="BT191"/>
      <c r="BU191"/>
      <c r="BV191"/>
      <c r="BW191"/>
      <c r="BX191"/>
      <c r="BY191"/>
      <c r="BZ191"/>
      <c r="CA191"/>
      <c r="CB191"/>
      <c r="CC191"/>
    </row>
    <row r="192" spans="1:81" x14ac:dyDescent="0.25">
      <c r="A192"/>
      <c r="B192"/>
      <c r="C192"/>
      <c r="D192"/>
      <c r="E192"/>
      <c r="F192"/>
      <c r="G192"/>
      <c r="H192"/>
      <c r="I192"/>
      <c r="J192"/>
      <c r="K192"/>
      <c r="L192"/>
      <c r="M192"/>
      <c r="N192"/>
      <c r="O192"/>
      <c r="P192"/>
      <c r="Q192"/>
      <c r="R192"/>
      <c r="S192"/>
      <c r="T192"/>
      <c r="U192"/>
      <c r="V192"/>
      <c r="W192"/>
      <c r="X192"/>
      <c r="Y192"/>
      <c r="Z192"/>
      <c r="AA192"/>
      <c r="AB192"/>
      <c r="AC192"/>
      <c r="AD192"/>
      <c r="AE192"/>
      <c r="AF192"/>
      <c r="AG192"/>
      <c r="AH192"/>
      <c r="AI192"/>
      <c r="AJ192"/>
      <c r="AK192"/>
      <c r="AL192"/>
      <c r="AM192"/>
      <c r="AN192"/>
      <c r="AO192"/>
      <c r="AP192"/>
      <c r="AQ192"/>
      <c r="AR192"/>
      <c r="AS192"/>
      <c r="AT192"/>
      <c r="AU192"/>
      <c r="AV192"/>
      <c r="AW192"/>
      <c r="AX192"/>
      <c r="AY192"/>
      <c r="AZ192"/>
      <c r="BA192"/>
      <c r="BB192"/>
      <c r="BC192"/>
      <c r="BD192"/>
      <c r="BE192"/>
      <c r="BF192"/>
      <c r="BG192"/>
      <c r="BH192"/>
      <c r="BI192"/>
      <c r="BJ192"/>
      <c r="BK192"/>
      <c r="BL192"/>
      <c r="BM192"/>
      <c r="BN192"/>
      <c r="BO192"/>
      <c r="BP192"/>
      <c r="BQ192"/>
      <c r="BR192"/>
      <c r="BS192"/>
      <c r="BT192"/>
      <c r="BU192"/>
      <c r="BV192"/>
      <c r="BW192"/>
      <c r="BX192"/>
      <c r="BY192"/>
      <c r="BZ192"/>
      <c r="CA192"/>
      <c r="CB192"/>
      <c r="CC192"/>
    </row>
    <row r="193" spans="1:81" x14ac:dyDescent="0.25">
      <c r="A193"/>
      <c r="B193"/>
      <c r="C193"/>
      <c r="D193"/>
      <c r="E193"/>
      <c r="F193"/>
      <c r="G193"/>
      <c r="H193"/>
      <c r="I193"/>
      <c r="J193"/>
      <c r="K193"/>
      <c r="L193"/>
      <c r="M193"/>
      <c r="N193"/>
      <c r="O193"/>
      <c r="P193"/>
      <c r="Q193"/>
      <c r="R193"/>
      <c r="S193"/>
      <c r="T193"/>
      <c r="U193"/>
      <c r="V193"/>
      <c r="W193"/>
      <c r="X193"/>
      <c r="Y193"/>
      <c r="Z193"/>
      <c r="AA193"/>
      <c r="AB193"/>
      <c r="AC193"/>
      <c r="AD193"/>
      <c r="AE193"/>
      <c r="AF193"/>
      <c r="AG193"/>
      <c r="AH193"/>
      <c r="AI193"/>
      <c r="AJ193"/>
      <c r="AK193"/>
      <c r="AL193"/>
      <c r="AM193"/>
      <c r="AN193"/>
      <c r="AO193"/>
      <c r="AP193"/>
      <c r="AQ193"/>
      <c r="AR193"/>
      <c r="AS193"/>
      <c r="AT193"/>
      <c r="AU193"/>
      <c r="AV193"/>
      <c r="AW193"/>
      <c r="AX193"/>
      <c r="AY193"/>
      <c r="AZ193"/>
      <c r="BA193"/>
      <c r="BB193"/>
      <c r="BC193"/>
      <c r="BD193"/>
      <c r="BE193"/>
      <c r="BF193"/>
      <c r="BG193"/>
      <c r="BH193"/>
      <c r="BI193"/>
      <c r="BJ193"/>
      <c r="BK193"/>
      <c r="BL193"/>
      <c r="BM193"/>
      <c r="BN193"/>
      <c r="BO193"/>
      <c r="BP193"/>
      <c r="BQ193"/>
      <c r="BR193"/>
      <c r="BS193"/>
      <c r="BT193"/>
      <c r="BU193"/>
      <c r="BV193"/>
      <c r="BW193"/>
      <c r="BX193"/>
      <c r="BY193"/>
      <c r="BZ193"/>
      <c r="CA193"/>
      <c r="CB193"/>
      <c r="CC193"/>
    </row>
    <row r="194" spans="1:81" x14ac:dyDescent="0.25">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c r="AI194"/>
      <c r="AJ194"/>
      <c r="AK194"/>
      <c r="AL194"/>
      <c r="AM194"/>
      <c r="AN194"/>
      <c r="AO194"/>
      <c r="AP194"/>
      <c r="AQ194"/>
      <c r="AR194"/>
      <c r="AS194"/>
      <c r="AT194"/>
      <c r="AU194"/>
      <c r="AV194"/>
      <c r="AW194"/>
      <c r="AX194"/>
      <c r="AY194"/>
      <c r="AZ194"/>
      <c r="BA194"/>
      <c r="BB194"/>
      <c r="BC194"/>
      <c r="BD194"/>
      <c r="BE194"/>
      <c r="BF194"/>
      <c r="BG194"/>
      <c r="BH194"/>
      <c r="BI194"/>
      <c r="BJ194"/>
      <c r="BK194"/>
      <c r="BL194"/>
      <c r="BM194"/>
      <c r="BN194"/>
      <c r="BO194"/>
      <c r="BP194"/>
      <c r="BQ194"/>
      <c r="BR194"/>
      <c r="BS194"/>
      <c r="BT194"/>
      <c r="BU194"/>
      <c r="BV194"/>
      <c r="BW194"/>
      <c r="BX194"/>
      <c r="BY194"/>
      <c r="BZ194"/>
      <c r="CA194"/>
      <c r="CB194"/>
      <c r="CC194"/>
    </row>
    <row r="195" spans="1:81" x14ac:dyDescent="0.25">
      <c r="A195"/>
      <c r="B195"/>
      <c r="C195"/>
      <c r="D195"/>
      <c r="E195"/>
      <c r="F195"/>
      <c r="G195"/>
      <c r="H195"/>
      <c r="I195"/>
      <c r="J195"/>
      <c r="K195"/>
      <c r="L195"/>
      <c r="M195"/>
      <c r="N195"/>
      <c r="O195"/>
      <c r="P195"/>
      <c r="Q195"/>
      <c r="R195"/>
      <c r="S195"/>
      <c r="T195"/>
      <c r="U195"/>
      <c r="V195"/>
      <c r="W195"/>
      <c r="X195"/>
      <c r="Y195"/>
      <c r="Z195"/>
      <c r="AA195"/>
      <c r="AB195"/>
      <c r="AC195"/>
      <c r="AD195"/>
      <c r="AE195"/>
      <c r="AF195"/>
      <c r="AG195"/>
      <c r="AH195"/>
      <c r="AI195"/>
      <c r="AJ195"/>
      <c r="AK195"/>
      <c r="AL195"/>
      <c r="AM195"/>
      <c r="AN195"/>
      <c r="AO195"/>
      <c r="AP195"/>
      <c r="AQ195"/>
      <c r="AR195"/>
      <c r="AS195"/>
      <c r="AT195"/>
      <c r="AU195"/>
      <c r="AV195"/>
      <c r="AW195"/>
      <c r="AX195"/>
      <c r="AY195"/>
      <c r="AZ195"/>
      <c r="BA195"/>
      <c r="BB195"/>
      <c r="BC195"/>
      <c r="BD195"/>
      <c r="BE195"/>
      <c r="BF195"/>
      <c r="BG195"/>
      <c r="BH195"/>
      <c r="BI195"/>
      <c r="BJ195"/>
      <c r="BK195"/>
      <c r="BL195"/>
      <c r="BM195"/>
      <c r="BN195"/>
      <c r="BO195"/>
      <c r="BP195"/>
      <c r="BQ195"/>
      <c r="BR195"/>
      <c r="BS195"/>
      <c r="BT195"/>
      <c r="BU195"/>
      <c r="BV195"/>
      <c r="BW195"/>
      <c r="BX195"/>
      <c r="BY195"/>
      <c r="BZ195"/>
      <c r="CA195"/>
      <c r="CB195"/>
      <c r="CC195"/>
    </row>
    <row r="196" spans="1:81" x14ac:dyDescent="0.25">
      <c r="A196"/>
      <c r="B196"/>
      <c r="C196"/>
      <c r="D196"/>
      <c r="E196"/>
      <c r="F196"/>
      <c r="G196"/>
      <c r="H196"/>
      <c r="I196"/>
      <c r="J196"/>
      <c r="K196"/>
      <c r="L196"/>
      <c r="M196"/>
      <c r="N196"/>
      <c r="O196"/>
      <c r="P196"/>
      <c r="Q196"/>
      <c r="R196"/>
      <c r="S196"/>
      <c r="T196"/>
      <c r="U196"/>
      <c r="V196"/>
      <c r="W196"/>
      <c r="X196"/>
      <c r="Y196"/>
      <c r="Z196"/>
      <c r="AA196"/>
      <c r="AB196"/>
      <c r="AC196"/>
      <c r="AD196"/>
      <c r="AE196"/>
      <c r="AF196"/>
      <c r="AG196"/>
      <c r="AH196"/>
      <c r="AI196"/>
      <c r="AJ196"/>
      <c r="AK196"/>
      <c r="AL196"/>
      <c r="AM196"/>
      <c r="AN196"/>
      <c r="AO196"/>
      <c r="AP196"/>
      <c r="AQ196"/>
      <c r="AR196"/>
      <c r="AS196"/>
      <c r="AT196"/>
      <c r="AU196"/>
      <c r="AV196"/>
      <c r="AW196"/>
      <c r="AX196"/>
      <c r="AY196"/>
      <c r="AZ196"/>
      <c r="BA196"/>
      <c r="BB196"/>
      <c r="BC196"/>
      <c r="BD196"/>
      <c r="BE196"/>
      <c r="BF196"/>
      <c r="BG196"/>
      <c r="BH196"/>
      <c r="BI196"/>
      <c r="BJ196"/>
      <c r="BK196"/>
      <c r="BL196"/>
      <c r="BM196"/>
      <c r="BN196"/>
      <c r="BO196"/>
      <c r="BP196"/>
      <c r="BQ196"/>
      <c r="BR196"/>
      <c r="BS196"/>
      <c r="BT196"/>
      <c r="BU196"/>
      <c r="BV196"/>
      <c r="BW196"/>
      <c r="BX196"/>
      <c r="BY196"/>
      <c r="BZ196"/>
      <c r="CA196"/>
      <c r="CB196"/>
      <c r="CC196"/>
    </row>
    <row r="197" spans="1:81" x14ac:dyDescent="0.25">
      <c r="A197"/>
      <c r="B197"/>
      <c r="C197"/>
      <c r="D197"/>
      <c r="E197"/>
      <c r="F197"/>
      <c r="G197"/>
      <c r="H197"/>
      <c r="I197"/>
      <c r="J197"/>
      <c r="K197"/>
      <c r="L197"/>
      <c r="M197"/>
      <c r="N197"/>
      <c r="O197"/>
      <c r="P197"/>
      <c r="Q197"/>
      <c r="R197"/>
      <c r="S197"/>
      <c r="T197"/>
      <c r="U197"/>
      <c r="V197"/>
      <c r="W197"/>
      <c r="X197"/>
      <c r="Y197"/>
      <c r="Z197"/>
      <c r="AA197"/>
      <c r="AB197"/>
      <c r="AC197"/>
      <c r="AD197"/>
      <c r="AE197"/>
      <c r="AF197"/>
      <c r="AG197"/>
      <c r="AH197"/>
      <c r="AI197"/>
      <c r="AJ197"/>
      <c r="AK197"/>
      <c r="AL197"/>
      <c r="AM197"/>
      <c r="AN197"/>
      <c r="AO197"/>
      <c r="AP197"/>
      <c r="AQ197"/>
      <c r="AR197"/>
      <c r="AS197"/>
      <c r="AT197"/>
      <c r="AU197"/>
      <c r="AV197"/>
      <c r="AW197"/>
      <c r="AX197"/>
      <c r="AY197"/>
      <c r="AZ197"/>
      <c r="BA197"/>
      <c r="BB197"/>
      <c r="BC197"/>
      <c r="BD197"/>
      <c r="BE197"/>
      <c r="BF197"/>
      <c r="BG197"/>
      <c r="BH197"/>
      <c r="BI197"/>
      <c r="BJ197"/>
      <c r="BK197"/>
      <c r="BL197"/>
      <c r="BM197"/>
      <c r="BN197"/>
      <c r="BO197"/>
      <c r="BP197"/>
      <c r="BQ197"/>
      <c r="BR197"/>
      <c r="BS197"/>
      <c r="BT197"/>
      <c r="BU197"/>
      <c r="BV197"/>
      <c r="BW197"/>
      <c r="BX197"/>
      <c r="BY197"/>
      <c r="BZ197"/>
      <c r="CA197"/>
      <c r="CB197"/>
      <c r="CC197"/>
    </row>
    <row r="198" spans="1:81" x14ac:dyDescent="0.25">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c r="AI198"/>
      <c r="AJ198"/>
      <c r="AK198"/>
      <c r="AL198"/>
      <c r="AM198"/>
      <c r="AN198"/>
      <c r="AO198"/>
      <c r="AP198"/>
      <c r="AQ198"/>
      <c r="AR198"/>
      <c r="AS198"/>
      <c r="AT198"/>
      <c r="AU198"/>
      <c r="AV198"/>
      <c r="AW198"/>
      <c r="AX198"/>
      <c r="AY198"/>
      <c r="AZ198"/>
      <c r="BA198"/>
      <c r="BB198"/>
      <c r="BC198"/>
      <c r="BD198"/>
      <c r="BE198"/>
      <c r="BF198"/>
      <c r="BG198"/>
      <c r="BH198"/>
      <c r="BI198"/>
      <c r="BJ198"/>
      <c r="BK198"/>
      <c r="BL198"/>
      <c r="BM198"/>
      <c r="BN198"/>
      <c r="BO198"/>
      <c r="BP198"/>
      <c r="BQ198"/>
      <c r="BR198"/>
      <c r="BS198"/>
      <c r="BT198"/>
      <c r="BU198"/>
      <c r="BV198"/>
      <c r="BW198"/>
      <c r="BX198"/>
      <c r="BY198"/>
      <c r="BZ198"/>
      <c r="CA198"/>
      <c r="CB198"/>
      <c r="CC198"/>
    </row>
    <row r="199" spans="1:81" x14ac:dyDescent="0.25">
      <c r="A199"/>
      <c r="B199"/>
      <c r="C199"/>
      <c r="D199"/>
      <c r="E199"/>
      <c r="F199"/>
      <c r="G199"/>
      <c r="H199"/>
      <c r="I199"/>
      <c r="J199"/>
      <c r="K199"/>
      <c r="L199"/>
      <c r="M199"/>
      <c r="N199"/>
      <c r="O199"/>
      <c r="P199"/>
      <c r="Q199"/>
      <c r="R199"/>
      <c r="S199"/>
      <c r="T199"/>
      <c r="U199"/>
      <c r="V199"/>
      <c r="W199"/>
      <c r="X199"/>
      <c r="Y199"/>
      <c r="Z199"/>
      <c r="AA199"/>
      <c r="AB199"/>
      <c r="AC199"/>
      <c r="AD199"/>
      <c r="AE199"/>
      <c r="AF199"/>
      <c r="AG199"/>
      <c r="AH199"/>
      <c r="AI199"/>
      <c r="AJ199"/>
      <c r="AK199"/>
      <c r="AL199"/>
      <c r="AM199"/>
      <c r="AN199"/>
      <c r="AO199"/>
      <c r="AP199"/>
      <c r="AQ199"/>
      <c r="AR199"/>
      <c r="AS199"/>
      <c r="AT199"/>
      <c r="AU199"/>
      <c r="AV199"/>
      <c r="AW199"/>
      <c r="AX199"/>
      <c r="AY199"/>
      <c r="AZ199"/>
      <c r="BA199"/>
      <c r="BB199"/>
      <c r="BC199"/>
      <c r="BD199"/>
      <c r="BE199"/>
      <c r="BF199"/>
      <c r="BG199"/>
      <c r="BH199"/>
      <c r="BI199"/>
      <c r="BJ199"/>
      <c r="BK199"/>
      <c r="BL199"/>
      <c r="BM199"/>
      <c r="BN199"/>
      <c r="BO199"/>
      <c r="BP199"/>
      <c r="BQ199"/>
      <c r="BR199"/>
      <c r="BS199"/>
      <c r="BT199"/>
      <c r="BU199"/>
      <c r="BV199"/>
      <c r="BW199"/>
      <c r="BX199"/>
      <c r="BY199"/>
      <c r="BZ199"/>
      <c r="CA199"/>
      <c r="CB199"/>
      <c r="CC199"/>
    </row>
    <row r="200" spans="1:81" x14ac:dyDescent="0.25">
      <c r="A200"/>
      <c r="B200"/>
      <c r="C200"/>
      <c r="D200"/>
      <c r="E200"/>
      <c r="F200"/>
      <c r="G200"/>
      <c r="H200"/>
      <c r="I200"/>
      <c r="J200"/>
      <c r="K200"/>
      <c r="L200"/>
      <c r="M200"/>
      <c r="N200"/>
      <c r="O200"/>
      <c r="P200"/>
      <c r="Q200"/>
      <c r="R200"/>
      <c r="S200"/>
      <c r="T200"/>
      <c r="U200"/>
      <c r="V200"/>
      <c r="W200"/>
      <c r="X200"/>
      <c r="Y200"/>
      <c r="Z200"/>
      <c r="AA200"/>
      <c r="AB200"/>
      <c r="AC200"/>
      <c r="AD200"/>
      <c r="AE200"/>
      <c r="AF200"/>
      <c r="AG200"/>
      <c r="AH200"/>
      <c r="AI200"/>
      <c r="AJ200"/>
      <c r="AK200"/>
      <c r="AL200"/>
      <c r="AM200"/>
      <c r="AN200"/>
      <c r="AO200"/>
      <c r="AP200"/>
      <c r="AQ200"/>
      <c r="AR200"/>
      <c r="AS200"/>
      <c r="AT200"/>
      <c r="AU200"/>
      <c r="AV200"/>
      <c r="AW200"/>
      <c r="AX200"/>
      <c r="AY200"/>
      <c r="AZ200"/>
      <c r="BA200"/>
      <c r="BB200"/>
      <c r="BC200"/>
      <c r="BD200"/>
      <c r="BE200"/>
      <c r="BF200"/>
      <c r="BG200"/>
      <c r="BH200"/>
      <c r="BI200"/>
      <c r="BJ200"/>
      <c r="BK200"/>
      <c r="BL200"/>
      <c r="BM200"/>
      <c r="BN200"/>
      <c r="BO200"/>
      <c r="BP200"/>
      <c r="BQ200"/>
      <c r="BR200"/>
      <c r="BS200"/>
      <c r="BT200"/>
      <c r="BU200"/>
      <c r="BV200"/>
      <c r="BW200"/>
      <c r="BX200"/>
      <c r="BY200"/>
      <c r="BZ200"/>
      <c r="CA200"/>
      <c r="CB200"/>
      <c r="CC200"/>
    </row>
    <row r="201" spans="1:81" x14ac:dyDescent="0.25">
      <c r="A201"/>
      <c r="B201"/>
      <c r="C201"/>
      <c r="D201"/>
      <c r="E201"/>
      <c r="F201"/>
      <c r="G201"/>
      <c r="H201"/>
      <c r="I201"/>
      <c r="J201"/>
      <c r="K201"/>
      <c r="L201"/>
      <c r="M201"/>
      <c r="N201"/>
      <c r="O201"/>
      <c r="P201"/>
      <c r="Q201"/>
      <c r="R201"/>
      <c r="S201"/>
      <c r="T201"/>
      <c r="U201"/>
      <c r="V201"/>
      <c r="W201"/>
      <c r="X201"/>
      <c r="Y201"/>
      <c r="Z201"/>
      <c r="AA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c r="BG201"/>
      <c r="BH201"/>
      <c r="BI201"/>
      <c r="BJ201"/>
      <c r="BK201"/>
      <c r="BL201"/>
      <c r="BM201"/>
      <c r="BN201"/>
      <c r="BO201"/>
      <c r="BP201"/>
      <c r="BQ201"/>
      <c r="BR201"/>
      <c r="BS201"/>
      <c r="BT201"/>
      <c r="BU201"/>
      <c r="BV201"/>
      <c r="BW201"/>
      <c r="BX201"/>
      <c r="BY201"/>
      <c r="BZ201"/>
      <c r="CA201"/>
      <c r="CB201"/>
      <c r="CC201"/>
    </row>
    <row r="202" spans="1:81" x14ac:dyDescent="0.25">
      <c r="A202"/>
      <c r="B202"/>
      <c r="C202"/>
      <c r="D202"/>
      <c r="E202"/>
      <c r="F202"/>
      <c r="G202"/>
      <c r="H202"/>
      <c r="I202"/>
      <c r="J202"/>
      <c r="K202"/>
      <c r="L202"/>
      <c r="M202"/>
      <c r="N202"/>
      <c r="O202"/>
      <c r="P202"/>
      <c r="Q202"/>
      <c r="R202"/>
      <c r="S202"/>
      <c r="T202"/>
      <c r="U202"/>
      <c r="V202"/>
      <c r="W202"/>
      <c r="X202"/>
      <c r="Y202"/>
      <c r="Z202"/>
      <c r="AA202"/>
      <c r="AB202"/>
      <c r="AC202"/>
      <c r="AD202"/>
      <c r="AE202"/>
      <c r="AF202"/>
      <c r="AG202"/>
      <c r="AH202"/>
      <c r="AI202"/>
      <c r="AJ202"/>
      <c r="AK202"/>
      <c r="AL202"/>
      <c r="AM202"/>
      <c r="AN202"/>
      <c r="AO202"/>
      <c r="AP202"/>
      <c r="AQ202"/>
      <c r="AR202"/>
      <c r="AS202"/>
      <c r="AT202"/>
      <c r="AU202"/>
      <c r="AV202"/>
      <c r="AW202"/>
      <c r="AX202"/>
      <c r="AY202"/>
      <c r="AZ202"/>
      <c r="BA202"/>
      <c r="BB202"/>
      <c r="BC202"/>
      <c r="BD202"/>
      <c r="BE202"/>
      <c r="BF202"/>
      <c r="BG202"/>
      <c r="BH202"/>
      <c r="BI202"/>
      <c r="BJ202"/>
      <c r="BK202"/>
      <c r="BL202"/>
      <c r="BM202"/>
      <c r="BN202"/>
      <c r="BO202"/>
      <c r="BP202"/>
      <c r="BQ202"/>
      <c r="BR202"/>
      <c r="BS202"/>
      <c r="BT202"/>
      <c r="BU202"/>
      <c r="BV202"/>
      <c r="BW202"/>
      <c r="BX202"/>
      <c r="BY202"/>
      <c r="BZ202"/>
      <c r="CA202"/>
      <c r="CB202"/>
      <c r="CC202"/>
    </row>
    <row r="203" spans="1:81" x14ac:dyDescent="0.25">
      <c r="A203"/>
      <c r="B203"/>
      <c r="C203"/>
      <c r="D203"/>
      <c r="E203"/>
      <c r="F203"/>
      <c r="G203"/>
      <c r="H203"/>
      <c r="I203"/>
      <c r="J203"/>
      <c r="K203"/>
      <c r="L203"/>
      <c r="M203"/>
      <c r="N203"/>
      <c r="O203"/>
      <c r="P203"/>
      <c r="Q203"/>
      <c r="R203"/>
      <c r="S203"/>
      <c r="T203"/>
      <c r="U203"/>
      <c r="V203"/>
      <c r="W203"/>
      <c r="X203"/>
      <c r="Y203"/>
      <c r="Z203"/>
      <c r="AA203"/>
      <c r="AB203"/>
      <c r="AC203"/>
      <c r="AD203"/>
      <c r="AE203"/>
      <c r="AF203"/>
      <c r="AG203"/>
      <c r="AH203"/>
      <c r="AI203"/>
      <c r="AJ203"/>
      <c r="AK203"/>
      <c r="AL203"/>
      <c r="AM203"/>
      <c r="AN203"/>
      <c r="AO203"/>
      <c r="AP203"/>
      <c r="AQ203"/>
      <c r="AR203"/>
      <c r="AS203"/>
      <c r="AT203"/>
      <c r="AU203"/>
      <c r="AV203"/>
      <c r="AW203"/>
      <c r="AX203"/>
      <c r="AY203"/>
      <c r="AZ203"/>
      <c r="BA203"/>
      <c r="BB203"/>
      <c r="BC203"/>
      <c r="BD203"/>
      <c r="BE203"/>
      <c r="BF203"/>
      <c r="BG203"/>
      <c r="BH203"/>
      <c r="BI203"/>
      <c r="BJ203"/>
      <c r="BK203"/>
      <c r="BL203"/>
      <c r="BM203"/>
      <c r="BN203"/>
      <c r="BO203"/>
      <c r="BP203"/>
      <c r="BQ203"/>
      <c r="BR203"/>
      <c r="BS203"/>
      <c r="BT203"/>
      <c r="BU203"/>
      <c r="BV203"/>
      <c r="BW203"/>
      <c r="BX203"/>
      <c r="BY203"/>
      <c r="BZ203"/>
      <c r="CA203"/>
      <c r="CB203"/>
      <c r="CC203"/>
    </row>
    <row r="204" spans="1:81" x14ac:dyDescent="0.25">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c r="AI204"/>
      <c r="AJ204"/>
      <c r="AK204"/>
      <c r="AL204"/>
      <c r="AM204"/>
      <c r="AN204"/>
      <c r="AO204"/>
      <c r="AP204"/>
      <c r="AQ204"/>
      <c r="AR204"/>
      <c r="AS204"/>
      <c r="AT204"/>
      <c r="AU204"/>
      <c r="AV204"/>
      <c r="AW204"/>
      <c r="AX204"/>
      <c r="AY204"/>
      <c r="AZ204"/>
      <c r="BA204"/>
      <c r="BB204"/>
      <c r="BC204"/>
      <c r="BD204"/>
      <c r="BE204"/>
      <c r="BF204"/>
      <c r="BG204"/>
      <c r="BH204"/>
      <c r="BI204"/>
      <c r="BJ204"/>
      <c r="BK204"/>
      <c r="BL204"/>
      <c r="BM204"/>
      <c r="BN204"/>
      <c r="BO204"/>
      <c r="BP204"/>
      <c r="BQ204"/>
      <c r="BR204"/>
      <c r="BS204"/>
      <c r="BT204"/>
      <c r="BU204"/>
      <c r="BV204"/>
      <c r="BW204"/>
      <c r="BX204"/>
      <c r="BY204"/>
      <c r="BZ204"/>
      <c r="CA204"/>
      <c r="CB204"/>
      <c r="CC204"/>
    </row>
    <row r="205" spans="1:81" x14ac:dyDescent="0.25">
      <c r="A205"/>
      <c r="B205"/>
      <c r="C205"/>
      <c r="D205"/>
      <c r="E205"/>
      <c r="F205"/>
      <c r="G205"/>
      <c r="H205"/>
      <c r="I205"/>
      <c r="J205"/>
      <c r="K205"/>
      <c r="L205"/>
      <c r="M205"/>
      <c r="N205"/>
      <c r="O205"/>
      <c r="P205"/>
      <c r="Q205"/>
      <c r="R205"/>
      <c r="S205"/>
      <c r="T205"/>
      <c r="U205"/>
      <c r="V205"/>
      <c r="W205"/>
      <c r="X205"/>
      <c r="Y205"/>
      <c r="Z205"/>
      <c r="AA205"/>
      <c r="AB205"/>
      <c r="AC205"/>
      <c r="AD205"/>
      <c r="AE205"/>
      <c r="AF205"/>
      <c r="AG205"/>
      <c r="AH205"/>
      <c r="AI205"/>
      <c r="AJ205"/>
      <c r="AK205"/>
      <c r="AL205"/>
      <c r="AM205"/>
      <c r="AN205"/>
      <c r="AO205"/>
      <c r="AP205"/>
      <c r="AQ205"/>
      <c r="AR205"/>
      <c r="AS205"/>
      <c r="AT205"/>
      <c r="AU205"/>
      <c r="AV205"/>
      <c r="AW205"/>
      <c r="AX205"/>
      <c r="AY205"/>
      <c r="AZ205"/>
      <c r="BA205"/>
      <c r="BB205"/>
      <c r="BC205"/>
      <c r="BD205"/>
      <c r="BE205"/>
      <c r="BF205"/>
      <c r="BG205"/>
      <c r="BH205"/>
      <c r="BI205"/>
      <c r="BJ205"/>
      <c r="BK205"/>
      <c r="BL205"/>
      <c r="BM205"/>
      <c r="BN205"/>
      <c r="BO205"/>
      <c r="BP205"/>
      <c r="BQ205"/>
      <c r="BR205"/>
      <c r="BS205"/>
      <c r="BT205"/>
      <c r="BU205"/>
      <c r="BV205"/>
      <c r="BW205"/>
      <c r="BX205"/>
      <c r="BY205"/>
      <c r="BZ205"/>
      <c r="CA205"/>
      <c r="CB205"/>
      <c r="CC205"/>
    </row>
    <row r="206" spans="1:81" x14ac:dyDescent="0.25">
      <c r="A206"/>
      <c r="B206"/>
      <c r="C206"/>
      <c r="D206"/>
      <c r="E206"/>
      <c r="F206"/>
      <c r="G206"/>
      <c r="H206"/>
      <c r="I206"/>
      <c r="J206"/>
      <c r="K206"/>
      <c r="L206"/>
      <c r="M206"/>
      <c r="N206"/>
      <c r="O206"/>
      <c r="P206"/>
      <c r="Q206"/>
      <c r="R206"/>
      <c r="S206"/>
      <c r="T206"/>
      <c r="U206"/>
      <c r="V206"/>
      <c r="W206"/>
      <c r="X206"/>
      <c r="Y206"/>
      <c r="Z206"/>
      <c r="AA206"/>
      <c r="AB206"/>
      <c r="AC206"/>
      <c r="AD206"/>
      <c r="AE206"/>
      <c r="AF206"/>
      <c r="AG206"/>
      <c r="AH206"/>
      <c r="AI206"/>
      <c r="AJ206"/>
      <c r="AK206"/>
      <c r="AL206"/>
      <c r="AM206"/>
      <c r="AN206"/>
      <c r="AO206"/>
      <c r="AP206"/>
      <c r="AQ206"/>
      <c r="AR206"/>
      <c r="AS206"/>
      <c r="AT206"/>
      <c r="AU206"/>
      <c r="AV206"/>
      <c r="AW206"/>
      <c r="AX206"/>
      <c r="AY206"/>
      <c r="AZ206"/>
      <c r="BA206"/>
      <c r="BB206"/>
      <c r="BC206"/>
      <c r="BD206"/>
      <c r="BE206"/>
      <c r="BF206"/>
      <c r="BG206"/>
      <c r="BH206"/>
      <c r="BI206"/>
      <c r="BJ206"/>
      <c r="BK206"/>
      <c r="BL206"/>
      <c r="BM206"/>
      <c r="BN206"/>
      <c r="BO206"/>
      <c r="BP206"/>
      <c r="BQ206"/>
      <c r="BR206"/>
      <c r="BS206"/>
      <c r="BT206"/>
      <c r="BU206"/>
      <c r="BV206"/>
      <c r="BW206"/>
      <c r="BX206"/>
      <c r="BY206"/>
      <c r="BZ206"/>
      <c r="CA206"/>
      <c r="CB206"/>
      <c r="CC206"/>
    </row>
    <row r="207" spans="1:81" x14ac:dyDescent="0.25">
      <c r="A207"/>
      <c r="B207"/>
      <c r="C207"/>
      <c r="D207"/>
      <c r="E207"/>
      <c r="F207"/>
      <c r="G207"/>
      <c r="H207"/>
      <c r="I207"/>
      <c r="J207"/>
      <c r="K207"/>
      <c r="L207"/>
      <c r="M207"/>
      <c r="N207"/>
      <c r="O207"/>
      <c r="P207"/>
      <c r="Q207"/>
      <c r="R207"/>
      <c r="S207"/>
      <c r="T207"/>
      <c r="U207"/>
      <c r="V207"/>
      <c r="W207"/>
      <c r="X207"/>
      <c r="Y207"/>
      <c r="Z207"/>
      <c r="AA207"/>
      <c r="AB207"/>
      <c r="AC207"/>
      <c r="AD207"/>
      <c r="AE207"/>
      <c r="AF207"/>
      <c r="AG207"/>
      <c r="AH207"/>
      <c r="AI207"/>
      <c r="AJ207"/>
      <c r="AK207"/>
      <c r="AL207"/>
      <c r="AM207"/>
      <c r="AN207"/>
      <c r="AO207"/>
      <c r="AP207"/>
      <c r="AQ207"/>
      <c r="AR207"/>
      <c r="AS207"/>
      <c r="AT207"/>
      <c r="AU207"/>
      <c r="AV207"/>
      <c r="AW207"/>
      <c r="AX207"/>
      <c r="AY207"/>
      <c r="AZ207"/>
      <c r="BA207"/>
      <c r="BB207"/>
      <c r="BC207"/>
      <c r="BD207"/>
      <c r="BE207"/>
      <c r="BF207"/>
      <c r="BG207"/>
      <c r="BH207"/>
      <c r="BI207"/>
      <c r="BJ207"/>
      <c r="BK207"/>
      <c r="BL207"/>
      <c r="BM207"/>
      <c r="BN207"/>
      <c r="BO207"/>
      <c r="BP207"/>
      <c r="BQ207"/>
      <c r="BR207"/>
      <c r="BS207"/>
      <c r="BT207"/>
      <c r="BU207"/>
      <c r="BV207"/>
      <c r="BW207"/>
      <c r="BX207"/>
      <c r="BY207"/>
      <c r="BZ207"/>
      <c r="CA207"/>
      <c r="CB207"/>
      <c r="CC207"/>
    </row>
    <row r="208" spans="1:81" x14ac:dyDescent="0.25">
      <c r="A208"/>
      <c r="B208"/>
      <c r="C208"/>
      <c r="D208"/>
      <c r="E208"/>
      <c r="F208"/>
      <c r="G208"/>
      <c r="H208"/>
      <c r="I208"/>
      <c r="J208"/>
      <c r="K208"/>
      <c r="L208"/>
      <c r="M208"/>
      <c r="N208"/>
      <c r="O208"/>
      <c r="P208"/>
      <c r="Q208"/>
      <c r="R208"/>
      <c r="S208"/>
      <c r="T208"/>
      <c r="U208"/>
      <c r="V208"/>
      <c r="W208"/>
      <c r="X208"/>
      <c r="Y208"/>
      <c r="Z208"/>
      <c r="AA208"/>
      <c r="AB208"/>
      <c r="AC208"/>
      <c r="AD208"/>
      <c r="AE208"/>
      <c r="AF208"/>
      <c r="AG208"/>
      <c r="AH208"/>
      <c r="AI208"/>
      <c r="AJ208"/>
      <c r="AK208"/>
      <c r="AL208"/>
      <c r="AM208"/>
      <c r="AN208"/>
      <c r="AO208"/>
      <c r="AP208"/>
      <c r="AQ208"/>
      <c r="AR208"/>
      <c r="AS208"/>
      <c r="AT208"/>
      <c r="AU208"/>
      <c r="AV208"/>
      <c r="AW208"/>
      <c r="AX208"/>
      <c r="AY208"/>
      <c r="AZ208"/>
      <c r="BA208"/>
      <c r="BB208"/>
      <c r="BC208"/>
      <c r="BD208"/>
      <c r="BE208"/>
      <c r="BF208"/>
      <c r="BG208"/>
      <c r="BH208"/>
      <c r="BI208"/>
      <c r="BJ208"/>
      <c r="BK208"/>
      <c r="BL208"/>
      <c r="BM208"/>
      <c r="BN208"/>
      <c r="BO208"/>
      <c r="BP208"/>
      <c r="BQ208"/>
      <c r="BR208"/>
      <c r="BS208"/>
      <c r="BT208"/>
      <c r="BU208"/>
      <c r="BV208"/>
      <c r="BW208"/>
      <c r="BX208"/>
      <c r="BY208"/>
      <c r="BZ208"/>
      <c r="CA208"/>
      <c r="CB208"/>
      <c r="CC208"/>
    </row>
    <row r="209" spans="1:81" x14ac:dyDescent="0.25">
      <c r="A209"/>
      <c r="B209"/>
      <c r="C209"/>
      <c r="D209"/>
      <c r="E209"/>
      <c r="F209"/>
      <c r="G209"/>
      <c r="H209"/>
      <c r="I209"/>
      <c r="J209"/>
      <c r="K209"/>
      <c r="L209"/>
      <c r="M209"/>
      <c r="N209"/>
      <c r="O209"/>
      <c r="P209"/>
      <c r="Q209"/>
      <c r="R209"/>
      <c r="S209"/>
      <c r="T209"/>
      <c r="U209"/>
      <c r="V209"/>
      <c r="W209"/>
      <c r="X209"/>
      <c r="Y209"/>
      <c r="Z209"/>
      <c r="AA209"/>
      <c r="AB209"/>
      <c r="AC209"/>
      <c r="AD209"/>
      <c r="AE209"/>
      <c r="AF209"/>
      <c r="AG209"/>
      <c r="AH209"/>
      <c r="AI209"/>
      <c r="AJ209"/>
      <c r="AK209"/>
      <c r="AL209"/>
      <c r="AM209"/>
      <c r="AN209"/>
      <c r="AO209"/>
      <c r="AP209"/>
      <c r="AQ209"/>
      <c r="AR209"/>
      <c r="AS209"/>
      <c r="AT209"/>
      <c r="AU209"/>
      <c r="AV209"/>
      <c r="AW209"/>
      <c r="AX209"/>
      <c r="AY209"/>
      <c r="AZ209"/>
      <c r="BA209"/>
      <c r="BB209"/>
      <c r="BC209"/>
      <c r="BD209"/>
      <c r="BE209"/>
      <c r="BF209"/>
      <c r="BG209"/>
      <c r="BH209"/>
      <c r="BI209"/>
      <c r="BJ209"/>
      <c r="BK209"/>
      <c r="BL209"/>
      <c r="BM209"/>
      <c r="BN209"/>
      <c r="BO209"/>
      <c r="BP209"/>
      <c r="BQ209"/>
      <c r="BR209"/>
      <c r="BS209"/>
      <c r="BT209"/>
      <c r="BU209"/>
      <c r="BV209"/>
      <c r="BW209"/>
      <c r="BX209"/>
      <c r="BY209"/>
      <c r="BZ209"/>
      <c r="CA209"/>
      <c r="CB209"/>
      <c r="CC209"/>
    </row>
    <row r="210" spans="1:81" x14ac:dyDescent="0.25">
      <c r="A210"/>
      <c r="B210"/>
      <c r="C210"/>
      <c r="D210"/>
      <c r="E210"/>
      <c r="F210"/>
      <c r="G210"/>
      <c r="H210"/>
      <c r="I210"/>
      <c r="J210"/>
      <c r="K210"/>
      <c r="L210"/>
      <c r="M210"/>
      <c r="N210"/>
      <c r="O210"/>
      <c r="P210"/>
      <c r="Q210"/>
      <c r="R210"/>
      <c r="S210"/>
      <c r="T210"/>
      <c r="U210"/>
      <c r="V210"/>
      <c r="W210"/>
      <c r="X210"/>
      <c r="Y210"/>
      <c r="Z210"/>
      <c r="AA210"/>
      <c r="AB210"/>
      <c r="AC210"/>
      <c r="AD210"/>
      <c r="AE210"/>
      <c r="AF210"/>
      <c r="AG210"/>
      <c r="AH210"/>
      <c r="AI210"/>
      <c r="AJ210"/>
      <c r="AK210"/>
      <c r="AL210"/>
      <c r="AM210"/>
      <c r="AN210"/>
      <c r="AO210"/>
      <c r="AP210"/>
      <c r="AQ210"/>
      <c r="AR210"/>
      <c r="AS210"/>
      <c r="AT210"/>
      <c r="AU210"/>
      <c r="AV210"/>
      <c r="AW210"/>
      <c r="AX210"/>
      <c r="AY210"/>
      <c r="AZ210"/>
      <c r="BA210"/>
      <c r="BB210"/>
      <c r="BC210"/>
      <c r="BD210"/>
      <c r="BE210"/>
      <c r="BF210"/>
      <c r="BG210"/>
      <c r="BH210"/>
      <c r="BI210"/>
      <c r="BJ210"/>
      <c r="BK210"/>
      <c r="BL210"/>
      <c r="BM210"/>
      <c r="BN210"/>
      <c r="BO210"/>
      <c r="BP210"/>
      <c r="BQ210"/>
      <c r="BR210"/>
      <c r="BS210"/>
      <c r="BT210"/>
      <c r="BU210"/>
      <c r="BV210"/>
      <c r="BW210"/>
      <c r="BX210"/>
      <c r="BY210"/>
      <c r="BZ210"/>
      <c r="CA210"/>
      <c r="CB210"/>
      <c r="CC210"/>
    </row>
    <row r="211" spans="1:81" x14ac:dyDescent="0.25">
      <c r="A211"/>
      <c r="B211"/>
      <c r="C211"/>
      <c r="D211"/>
      <c r="E211"/>
      <c r="F211"/>
      <c r="G211"/>
      <c r="H211"/>
      <c r="I211"/>
      <c r="J211"/>
      <c r="K211"/>
      <c r="L211"/>
      <c r="M211"/>
      <c r="N211"/>
      <c r="O211"/>
      <c r="P211"/>
      <c r="Q211"/>
      <c r="R211"/>
      <c r="S211"/>
      <c r="T211"/>
      <c r="U211"/>
      <c r="V211"/>
      <c r="W211"/>
      <c r="X211"/>
      <c r="Y211"/>
      <c r="Z211"/>
      <c r="AA211"/>
      <c r="AB211"/>
      <c r="AC211"/>
      <c r="AD211"/>
      <c r="AE211"/>
      <c r="AF211"/>
      <c r="AG211"/>
      <c r="AH211"/>
      <c r="AI211"/>
      <c r="AJ211"/>
      <c r="AK211"/>
      <c r="AL211"/>
      <c r="AM211"/>
      <c r="AN211"/>
      <c r="AO211"/>
      <c r="AP211"/>
      <c r="AQ211"/>
      <c r="AR211"/>
      <c r="AS211"/>
      <c r="AT211"/>
      <c r="AU211"/>
      <c r="AV211"/>
      <c r="AW211"/>
      <c r="AX211"/>
      <c r="AY211"/>
      <c r="AZ211"/>
      <c r="BA211"/>
      <c r="BB211"/>
      <c r="BC211"/>
      <c r="BD211"/>
      <c r="BE211"/>
      <c r="BF211"/>
      <c r="BG211"/>
      <c r="BH211"/>
      <c r="BI211"/>
      <c r="BJ211"/>
      <c r="BK211"/>
      <c r="BL211"/>
      <c r="BM211"/>
      <c r="BN211"/>
      <c r="BO211"/>
      <c r="BP211"/>
      <c r="BQ211"/>
      <c r="BR211"/>
      <c r="BS211"/>
      <c r="BT211"/>
      <c r="BU211"/>
      <c r="BV211"/>
      <c r="BW211"/>
      <c r="BX211"/>
      <c r="BY211"/>
      <c r="BZ211"/>
      <c r="CA211"/>
      <c r="CB211"/>
      <c r="CC211"/>
    </row>
    <row r="212" spans="1:81" x14ac:dyDescent="0.25">
      <c r="A212"/>
      <c r="B212"/>
      <c r="C212"/>
      <c r="D212"/>
      <c r="E212"/>
      <c r="F212"/>
      <c r="G212"/>
      <c r="H212"/>
      <c r="I212"/>
      <c r="J212"/>
      <c r="K212"/>
      <c r="L212"/>
      <c r="M212"/>
      <c r="N212"/>
      <c r="O212"/>
      <c r="P212"/>
      <c r="Q212"/>
      <c r="R212"/>
      <c r="S212"/>
      <c r="T212"/>
      <c r="U212"/>
      <c r="V212"/>
      <c r="W212"/>
      <c r="X212"/>
      <c r="Y212"/>
      <c r="Z212"/>
      <c r="AA212"/>
      <c r="AB212"/>
      <c r="AC212"/>
      <c r="AD212"/>
      <c r="AE212"/>
      <c r="AF212"/>
      <c r="AG212"/>
      <c r="AH212"/>
      <c r="AI212"/>
      <c r="AJ212"/>
      <c r="AK212"/>
      <c r="AL212"/>
      <c r="AM212"/>
      <c r="AN212"/>
      <c r="AO212"/>
      <c r="AP212"/>
      <c r="AQ212"/>
      <c r="AR212"/>
      <c r="AS212"/>
      <c r="AT212"/>
      <c r="AU212"/>
      <c r="AV212"/>
      <c r="AW212"/>
      <c r="AX212"/>
      <c r="AY212"/>
      <c r="AZ212"/>
      <c r="BA212"/>
      <c r="BB212"/>
      <c r="BC212"/>
      <c r="BD212"/>
      <c r="BE212"/>
      <c r="BF212"/>
      <c r="BG212"/>
      <c r="BH212"/>
      <c r="BI212"/>
      <c r="BJ212"/>
      <c r="BK212"/>
      <c r="BL212"/>
      <c r="BM212"/>
      <c r="BN212"/>
      <c r="BO212"/>
      <c r="BP212"/>
      <c r="BQ212"/>
      <c r="BR212"/>
      <c r="BS212"/>
      <c r="BT212"/>
      <c r="BU212"/>
      <c r="BV212"/>
      <c r="BW212"/>
      <c r="BX212"/>
      <c r="BY212"/>
      <c r="BZ212"/>
      <c r="CA212"/>
      <c r="CB212"/>
      <c r="CC212"/>
    </row>
    <row r="213" spans="1:81" x14ac:dyDescent="0.25">
      <c r="A213"/>
      <c r="B213"/>
      <c r="C213"/>
      <c r="D213"/>
      <c r="E213"/>
      <c r="F213"/>
      <c r="G213"/>
      <c r="H213"/>
      <c r="I213"/>
      <c r="J213"/>
      <c r="K213"/>
      <c r="L213"/>
      <c r="M213"/>
      <c r="N213"/>
      <c r="O213"/>
      <c r="P213"/>
      <c r="Q213"/>
      <c r="R213"/>
      <c r="S213"/>
      <c r="T213"/>
      <c r="U213"/>
      <c r="V213"/>
      <c r="W213"/>
      <c r="X213"/>
      <c r="Y213"/>
      <c r="Z213"/>
      <c r="AA213"/>
      <c r="AB213"/>
      <c r="AC213"/>
      <c r="AD213"/>
      <c r="AE213"/>
      <c r="AF213"/>
      <c r="AG213"/>
      <c r="AH213"/>
      <c r="AI213"/>
      <c r="AJ213"/>
      <c r="AK213"/>
      <c r="AL213"/>
      <c r="AM213"/>
      <c r="AN213"/>
      <c r="AO213"/>
      <c r="AP213"/>
      <c r="AQ213"/>
      <c r="AR213"/>
      <c r="AS213"/>
      <c r="AT213"/>
      <c r="AU213"/>
      <c r="AV213"/>
      <c r="AW213"/>
      <c r="AX213"/>
      <c r="AY213"/>
      <c r="AZ213"/>
      <c r="BA213"/>
      <c r="BB213"/>
      <c r="BC213"/>
      <c r="BD213"/>
      <c r="BE213"/>
      <c r="BF213"/>
      <c r="BG213"/>
      <c r="BH213"/>
      <c r="BI213"/>
      <c r="BJ213"/>
      <c r="BK213"/>
      <c r="BL213"/>
      <c r="BM213"/>
      <c r="BN213"/>
      <c r="BO213"/>
      <c r="BP213"/>
      <c r="BQ213"/>
      <c r="BR213"/>
      <c r="BS213"/>
      <c r="BT213"/>
      <c r="BU213"/>
      <c r="BV213"/>
      <c r="BW213"/>
      <c r="BX213"/>
      <c r="BY213"/>
      <c r="BZ213"/>
      <c r="CA213"/>
      <c r="CB213"/>
      <c r="CC213"/>
    </row>
    <row r="214" spans="1:81" x14ac:dyDescent="0.25">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c r="AI214"/>
      <c r="AJ214"/>
      <c r="AK214"/>
      <c r="AL214"/>
      <c r="AM214"/>
      <c r="AN214"/>
      <c r="AO214"/>
      <c r="AP214"/>
      <c r="AQ214"/>
      <c r="AR214"/>
      <c r="AS214"/>
      <c r="AT214"/>
      <c r="AU214"/>
      <c r="AV214"/>
      <c r="AW214"/>
      <c r="AX214"/>
      <c r="AY214"/>
      <c r="AZ214"/>
      <c r="BA214"/>
      <c r="BB214"/>
      <c r="BC214"/>
      <c r="BD214"/>
      <c r="BE214"/>
      <c r="BF214"/>
      <c r="BG214"/>
      <c r="BH214"/>
      <c r="BI214"/>
      <c r="BJ214"/>
      <c r="BK214"/>
      <c r="BL214"/>
      <c r="BM214"/>
      <c r="BN214"/>
      <c r="BO214"/>
      <c r="BP214"/>
      <c r="BQ214"/>
      <c r="BR214"/>
      <c r="BS214"/>
      <c r="BT214"/>
      <c r="BU214"/>
      <c r="BV214"/>
      <c r="BW214"/>
      <c r="BX214"/>
      <c r="BY214"/>
      <c r="BZ214"/>
      <c r="CA214"/>
      <c r="CB214"/>
      <c r="CC214"/>
    </row>
    <row r="215" spans="1:81" x14ac:dyDescent="0.25">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c r="AI215"/>
      <c r="AJ215"/>
      <c r="AK215"/>
      <c r="AL215"/>
      <c r="AM215"/>
      <c r="AN215"/>
      <c r="AO215"/>
      <c r="AP215"/>
      <c r="AQ215"/>
      <c r="AR215"/>
      <c r="AS215"/>
      <c r="AT215"/>
      <c r="AU215"/>
      <c r="AV215"/>
      <c r="AW215"/>
      <c r="AX215"/>
      <c r="AY215"/>
      <c r="AZ215"/>
      <c r="BA215"/>
      <c r="BB215"/>
      <c r="BC215"/>
      <c r="BD215"/>
      <c r="BE215"/>
      <c r="BF215"/>
      <c r="BG215"/>
      <c r="BH215"/>
      <c r="BI215"/>
      <c r="BJ215"/>
      <c r="BK215"/>
      <c r="BL215"/>
      <c r="BM215"/>
      <c r="BN215"/>
      <c r="BO215"/>
      <c r="BP215"/>
      <c r="BQ215"/>
      <c r="BR215"/>
      <c r="BS215"/>
      <c r="BT215"/>
      <c r="BU215"/>
      <c r="BV215"/>
      <c r="BW215"/>
      <c r="BX215"/>
      <c r="BY215"/>
      <c r="BZ215"/>
      <c r="CA215"/>
      <c r="CB215"/>
      <c r="CC215"/>
    </row>
    <row r="216" spans="1:81" x14ac:dyDescent="0.25">
      <c r="A216"/>
      <c r="B216"/>
      <c r="C216"/>
      <c r="D216"/>
      <c r="E216"/>
      <c r="F216"/>
      <c r="G216"/>
      <c r="H216"/>
      <c r="I216"/>
      <c r="J216"/>
      <c r="K216"/>
      <c r="L216"/>
      <c r="M216"/>
      <c r="N216"/>
      <c r="O216"/>
      <c r="P216"/>
      <c r="Q216"/>
      <c r="R216"/>
      <c r="S216"/>
      <c r="T216"/>
      <c r="U216"/>
      <c r="V216"/>
      <c r="W216"/>
      <c r="X216"/>
      <c r="Y216"/>
      <c r="Z216"/>
      <c r="AA216"/>
      <c r="AB216"/>
      <c r="AC216"/>
      <c r="AD216"/>
      <c r="AE216"/>
      <c r="AF216"/>
      <c r="AG216"/>
      <c r="AH216"/>
      <c r="AI216"/>
      <c r="AJ216"/>
      <c r="AK216"/>
      <c r="AL216"/>
      <c r="AM216"/>
      <c r="AN216"/>
      <c r="AO216"/>
      <c r="AP216"/>
      <c r="AQ216"/>
      <c r="AR216"/>
      <c r="AS216"/>
      <c r="AT216"/>
      <c r="AU216"/>
      <c r="AV216"/>
      <c r="AW216"/>
      <c r="AX216"/>
      <c r="AY216"/>
      <c r="AZ216"/>
      <c r="BA216"/>
      <c r="BB216"/>
      <c r="BC216"/>
      <c r="BD216"/>
      <c r="BE216"/>
      <c r="BF216"/>
      <c r="BG216"/>
      <c r="BH216"/>
      <c r="BI216"/>
      <c r="BJ216"/>
      <c r="BK216"/>
      <c r="BL216"/>
      <c r="BM216"/>
      <c r="BN216"/>
      <c r="BO216"/>
      <c r="BP216"/>
      <c r="BQ216"/>
      <c r="BR216"/>
      <c r="BS216"/>
      <c r="BT216"/>
      <c r="BU216"/>
      <c r="BV216"/>
      <c r="BW216"/>
      <c r="BX216"/>
      <c r="BY216"/>
      <c r="BZ216"/>
      <c r="CA216"/>
      <c r="CB216"/>
      <c r="CC216"/>
    </row>
    <row r="217" spans="1:81" x14ac:dyDescent="0.25">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c r="AI217"/>
      <c r="AJ217"/>
      <c r="AK217"/>
      <c r="AL217"/>
      <c r="AM217"/>
      <c r="AN217"/>
      <c r="AO217"/>
      <c r="AP217"/>
      <c r="AQ217"/>
      <c r="AR217"/>
      <c r="AS217"/>
      <c r="AT217"/>
      <c r="AU217"/>
      <c r="AV217"/>
      <c r="AW217"/>
      <c r="AX217"/>
      <c r="AY217"/>
      <c r="AZ217"/>
      <c r="BA217"/>
      <c r="BB217"/>
      <c r="BC217"/>
      <c r="BD217"/>
      <c r="BE217"/>
      <c r="BF217"/>
      <c r="BG217"/>
      <c r="BH217"/>
      <c r="BI217"/>
      <c r="BJ217"/>
      <c r="BK217"/>
      <c r="BL217"/>
      <c r="BM217"/>
      <c r="BN217"/>
      <c r="BO217"/>
      <c r="BP217"/>
      <c r="BQ217"/>
      <c r="BR217"/>
      <c r="BS217"/>
      <c r="BT217"/>
      <c r="BU217"/>
      <c r="BV217"/>
      <c r="BW217"/>
      <c r="BX217"/>
      <c r="BY217"/>
      <c r="BZ217"/>
      <c r="CA217"/>
      <c r="CB217"/>
      <c r="CC217"/>
    </row>
    <row r="218" spans="1:81" x14ac:dyDescent="0.25">
      <c r="A218"/>
      <c r="B218"/>
      <c r="C218"/>
      <c r="D218"/>
      <c r="E218"/>
      <c r="F218"/>
      <c r="G218"/>
      <c r="H218"/>
      <c r="I218"/>
      <c r="J218"/>
      <c r="K218"/>
      <c r="L218"/>
      <c r="M218"/>
      <c r="N218"/>
      <c r="O218"/>
      <c r="P218"/>
      <c r="Q218"/>
      <c r="R218"/>
      <c r="S218"/>
      <c r="T218"/>
      <c r="U218"/>
      <c r="V218"/>
      <c r="W218"/>
      <c r="X218"/>
      <c r="Y218"/>
      <c r="Z218"/>
      <c r="AA218"/>
      <c r="AB218"/>
      <c r="AC218"/>
      <c r="AD218"/>
      <c r="AE218"/>
      <c r="AF218"/>
      <c r="AG218"/>
      <c r="AH218"/>
      <c r="AI218"/>
      <c r="AJ218"/>
      <c r="AK218"/>
      <c r="AL218"/>
      <c r="AM218"/>
      <c r="AN218"/>
      <c r="AO218"/>
      <c r="AP218"/>
      <c r="AQ218"/>
      <c r="AR218"/>
      <c r="AS218"/>
      <c r="AT218"/>
      <c r="AU218"/>
      <c r="AV218"/>
      <c r="AW218"/>
      <c r="AX218"/>
      <c r="AY218"/>
      <c r="AZ218"/>
      <c r="BA218"/>
      <c r="BB218"/>
      <c r="BC218"/>
      <c r="BD218"/>
      <c r="BE218"/>
      <c r="BF218"/>
      <c r="BG218"/>
      <c r="BH218"/>
      <c r="BI218"/>
      <c r="BJ218"/>
      <c r="BK218"/>
      <c r="BL218"/>
      <c r="BM218"/>
      <c r="BN218"/>
      <c r="BO218"/>
      <c r="BP218"/>
      <c r="BQ218"/>
      <c r="BR218"/>
      <c r="BS218"/>
      <c r="BT218"/>
      <c r="BU218"/>
      <c r="BV218"/>
      <c r="BW218"/>
      <c r="BX218"/>
      <c r="BY218"/>
      <c r="BZ218"/>
      <c r="CA218"/>
      <c r="CB218"/>
      <c r="CC218"/>
    </row>
    <row r="219" spans="1:81" x14ac:dyDescent="0.25">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c r="AI219"/>
      <c r="AJ219"/>
      <c r="AK219"/>
      <c r="AL219"/>
      <c r="AM219"/>
      <c r="AN219"/>
      <c r="AO219"/>
      <c r="AP219"/>
      <c r="AQ219"/>
      <c r="AR219"/>
      <c r="AS219"/>
      <c r="AT219"/>
      <c r="AU219"/>
      <c r="AV219"/>
      <c r="AW219"/>
      <c r="AX219"/>
      <c r="AY219"/>
      <c r="AZ219"/>
      <c r="BA219"/>
      <c r="BB219"/>
      <c r="BC219"/>
      <c r="BD219"/>
      <c r="BE219"/>
      <c r="BF219"/>
      <c r="BG219"/>
      <c r="BH219"/>
      <c r="BI219"/>
      <c r="BJ219"/>
      <c r="BK219"/>
      <c r="BL219"/>
      <c r="BM219"/>
      <c r="BN219"/>
      <c r="BO219"/>
      <c r="BP219"/>
      <c r="BQ219"/>
      <c r="BR219"/>
      <c r="BS219"/>
      <c r="BT219"/>
      <c r="BU219"/>
      <c r="BV219"/>
      <c r="BW219"/>
      <c r="BX219"/>
      <c r="BY219"/>
      <c r="BZ219"/>
      <c r="CA219"/>
      <c r="CB219"/>
      <c r="CC219"/>
    </row>
    <row r="220" spans="1:81" x14ac:dyDescent="0.25">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c r="AI220"/>
      <c r="AJ220"/>
      <c r="AK220"/>
      <c r="AL220"/>
      <c r="AM220"/>
      <c r="AN220"/>
      <c r="AO220"/>
      <c r="AP220"/>
      <c r="AQ220"/>
      <c r="AR220"/>
      <c r="AS220"/>
      <c r="AT220"/>
      <c r="AU220"/>
      <c r="AV220"/>
      <c r="AW220"/>
      <c r="AX220"/>
      <c r="AY220"/>
      <c r="AZ220"/>
      <c r="BA220"/>
      <c r="BB220"/>
      <c r="BC220"/>
      <c r="BD220"/>
      <c r="BE220"/>
      <c r="BF220"/>
      <c r="BG220"/>
      <c r="BH220"/>
      <c r="BI220"/>
      <c r="BJ220"/>
      <c r="BK220"/>
      <c r="BL220"/>
      <c r="BM220"/>
      <c r="BN220"/>
      <c r="BO220"/>
      <c r="BP220"/>
      <c r="BQ220"/>
      <c r="BR220"/>
      <c r="BS220"/>
      <c r="BT220"/>
      <c r="BU220"/>
      <c r="BV220"/>
      <c r="BW220"/>
      <c r="BX220"/>
      <c r="BY220"/>
      <c r="BZ220"/>
      <c r="CA220"/>
      <c r="CB220"/>
      <c r="CC220"/>
    </row>
    <row r="221" spans="1:81" x14ac:dyDescent="0.25">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c r="AI221"/>
      <c r="AJ221"/>
      <c r="AK221"/>
      <c r="AL221"/>
      <c r="AM221"/>
      <c r="AN221"/>
      <c r="AO221"/>
      <c r="AP221"/>
      <c r="AQ221"/>
      <c r="AR221"/>
      <c r="AS221"/>
      <c r="AT221"/>
      <c r="AU221"/>
      <c r="AV221"/>
      <c r="AW221"/>
      <c r="AX221"/>
      <c r="AY221"/>
      <c r="AZ221"/>
      <c r="BA221"/>
      <c r="BB221"/>
      <c r="BC221"/>
      <c r="BD221"/>
      <c r="BE221"/>
      <c r="BF221"/>
      <c r="BG221"/>
      <c r="BH221"/>
      <c r="BI221"/>
      <c r="BJ221"/>
      <c r="BK221"/>
      <c r="BL221"/>
      <c r="BM221"/>
      <c r="BN221"/>
      <c r="BO221"/>
      <c r="BP221"/>
      <c r="BQ221"/>
      <c r="BR221"/>
      <c r="BS221"/>
      <c r="BT221"/>
      <c r="BU221"/>
      <c r="BV221"/>
      <c r="BW221"/>
      <c r="BX221"/>
      <c r="BY221"/>
      <c r="BZ221"/>
      <c r="CA221"/>
      <c r="CB221"/>
      <c r="CC221"/>
    </row>
    <row r="222" spans="1:81" x14ac:dyDescent="0.25">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c r="AI222"/>
      <c r="AJ222"/>
      <c r="AK222"/>
      <c r="AL222"/>
      <c r="AM222"/>
      <c r="AN222"/>
      <c r="AO222"/>
      <c r="AP222"/>
      <c r="AQ222"/>
      <c r="AR222"/>
      <c r="AS222"/>
      <c r="AT222"/>
      <c r="AU222"/>
      <c r="AV222"/>
      <c r="AW222"/>
      <c r="AX222"/>
      <c r="AY222"/>
      <c r="AZ222"/>
      <c r="BA222"/>
      <c r="BB222"/>
      <c r="BC222"/>
      <c r="BD222"/>
      <c r="BE222"/>
      <c r="BF222"/>
      <c r="BG222"/>
      <c r="BH222"/>
      <c r="BI222"/>
      <c r="BJ222"/>
      <c r="BK222"/>
      <c r="BL222"/>
      <c r="BM222"/>
      <c r="BN222"/>
      <c r="BO222"/>
      <c r="BP222"/>
      <c r="BQ222"/>
      <c r="BR222"/>
      <c r="BS222"/>
      <c r="BT222"/>
      <c r="BU222"/>
      <c r="BV222"/>
      <c r="BW222"/>
      <c r="BX222"/>
      <c r="BY222"/>
      <c r="BZ222"/>
      <c r="CA222"/>
      <c r="CB222"/>
      <c r="CC222"/>
    </row>
    <row r="223" spans="1:81" x14ac:dyDescent="0.25">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c r="AI223"/>
      <c r="AJ223"/>
      <c r="AK223"/>
      <c r="AL223"/>
      <c r="AM223"/>
      <c r="AN223"/>
      <c r="AO223"/>
      <c r="AP223"/>
      <c r="AQ223"/>
      <c r="AR223"/>
      <c r="AS223"/>
      <c r="AT223"/>
      <c r="AU223"/>
      <c r="AV223"/>
      <c r="AW223"/>
      <c r="AX223"/>
      <c r="AY223"/>
      <c r="AZ223"/>
      <c r="BA223"/>
      <c r="BB223"/>
      <c r="BC223"/>
      <c r="BD223"/>
      <c r="BE223"/>
      <c r="BF223"/>
      <c r="BG223"/>
      <c r="BH223"/>
      <c r="BI223"/>
      <c r="BJ223"/>
      <c r="BK223"/>
      <c r="BL223"/>
      <c r="BM223"/>
      <c r="BN223"/>
      <c r="BO223"/>
      <c r="BP223"/>
      <c r="BQ223"/>
      <c r="BR223"/>
      <c r="BS223"/>
      <c r="BT223"/>
      <c r="BU223"/>
      <c r="BV223"/>
      <c r="BW223"/>
      <c r="BX223"/>
      <c r="BY223"/>
      <c r="BZ223"/>
      <c r="CA223"/>
      <c r="CB223"/>
      <c r="CC223"/>
    </row>
    <row r="224" spans="1:81" x14ac:dyDescent="0.25">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c r="AI224"/>
      <c r="AJ224"/>
      <c r="AK224"/>
      <c r="AL224"/>
      <c r="AM224"/>
      <c r="AN224"/>
      <c r="AO224"/>
      <c r="AP224"/>
      <c r="AQ224"/>
      <c r="AR224"/>
      <c r="AS224"/>
      <c r="AT224"/>
      <c r="AU224"/>
      <c r="AV224"/>
      <c r="AW224"/>
      <c r="AX224"/>
      <c r="AY224"/>
      <c r="AZ224"/>
      <c r="BA224"/>
      <c r="BB224"/>
      <c r="BC224"/>
      <c r="BD224"/>
      <c r="BE224"/>
      <c r="BF224"/>
      <c r="BG224"/>
      <c r="BH224"/>
      <c r="BI224"/>
      <c r="BJ224"/>
      <c r="BK224"/>
      <c r="BL224"/>
      <c r="BM224"/>
      <c r="BN224"/>
      <c r="BO224"/>
      <c r="BP224"/>
      <c r="BQ224"/>
      <c r="BR224"/>
      <c r="BS224"/>
      <c r="BT224"/>
      <c r="BU224"/>
      <c r="BV224"/>
      <c r="BW224"/>
      <c r="BX224"/>
      <c r="BY224"/>
      <c r="BZ224"/>
      <c r="CA224"/>
      <c r="CB224"/>
      <c r="CC224"/>
    </row>
    <row r="225" spans="1:81" x14ac:dyDescent="0.25">
      <c r="A225"/>
      <c r="B225"/>
      <c r="C225"/>
      <c r="D225"/>
      <c r="E225"/>
      <c r="F225"/>
      <c r="G225"/>
      <c r="H225"/>
      <c r="I225"/>
      <c r="J225"/>
      <c r="K225"/>
      <c r="L225"/>
      <c r="M225"/>
      <c r="N225"/>
      <c r="O225"/>
      <c r="P225"/>
      <c r="Q225"/>
      <c r="R225"/>
      <c r="S225"/>
      <c r="T225"/>
      <c r="U225"/>
      <c r="V225"/>
      <c r="W225"/>
      <c r="X225"/>
      <c r="Y225"/>
      <c r="Z225"/>
      <c r="AA225"/>
      <c r="AB225"/>
      <c r="AC225"/>
      <c r="AD225"/>
      <c r="AE225"/>
      <c r="AF225"/>
      <c r="AG225"/>
      <c r="AH225"/>
      <c r="AI225"/>
      <c r="AJ225"/>
      <c r="AK225"/>
      <c r="AL225"/>
      <c r="AM225"/>
      <c r="AN225"/>
      <c r="AO225"/>
      <c r="AP225"/>
      <c r="AQ225"/>
      <c r="AR225"/>
      <c r="AS225"/>
      <c r="AT225"/>
      <c r="AU225"/>
      <c r="AV225"/>
      <c r="AW225"/>
      <c r="AX225"/>
      <c r="AY225"/>
      <c r="AZ225"/>
      <c r="BA225"/>
      <c r="BB225"/>
      <c r="BC225"/>
      <c r="BD225"/>
      <c r="BE225"/>
      <c r="BF225"/>
      <c r="BG225"/>
      <c r="BH225"/>
      <c r="BI225"/>
      <c r="BJ225"/>
      <c r="BK225"/>
      <c r="BL225"/>
      <c r="BM225"/>
      <c r="BN225"/>
      <c r="BO225"/>
      <c r="BP225"/>
      <c r="BQ225"/>
      <c r="BR225"/>
      <c r="BS225"/>
      <c r="BT225"/>
      <c r="BU225"/>
      <c r="BV225"/>
      <c r="BW225"/>
      <c r="BX225"/>
      <c r="BY225"/>
      <c r="BZ225"/>
      <c r="CA225"/>
      <c r="CB225"/>
      <c r="CC225"/>
    </row>
    <row r="226" spans="1:81" x14ac:dyDescent="0.25">
      <c r="A226"/>
      <c r="B226"/>
      <c r="C226"/>
      <c r="D226"/>
      <c r="E226"/>
      <c r="F226"/>
      <c r="G226"/>
      <c r="H226"/>
      <c r="I226"/>
      <c r="J226"/>
      <c r="K226"/>
      <c r="L226"/>
      <c r="M226"/>
      <c r="N226"/>
      <c r="O226"/>
      <c r="P226"/>
      <c r="Q226"/>
      <c r="R226"/>
      <c r="S226"/>
      <c r="T226"/>
      <c r="U226"/>
      <c r="V226"/>
      <c r="W226"/>
      <c r="X226"/>
      <c r="Y226"/>
      <c r="Z226"/>
      <c r="AA226"/>
      <c r="AB226"/>
      <c r="AC226"/>
      <c r="AD226"/>
      <c r="AE226"/>
      <c r="AF226"/>
      <c r="AG226"/>
      <c r="AH226"/>
      <c r="AI226"/>
      <c r="AJ226"/>
      <c r="AK226"/>
      <c r="AL226"/>
      <c r="AM226"/>
      <c r="AN226"/>
      <c r="AO226"/>
      <c r="AP226"/>
      <c r="AQ226"/>
      <c r="AR226"/>
      <c r="AS226"/>
      <c r="AT226"/>
      <c r="AU226"/>
      <c r="AV226"/>
      <c r="AW226"/>
      <c r="AX226"/>
      <c r="AY226"/>
      <c r="AZ226"/>
      <c r="BA226"/>
      <c r="BB226"/>
      <c r="BC226"/>
      <c r="BD226"/>
      <c r="BE226"/>
      <c r="BF226"/>
      <c r="BG226"/>
      <c r="BH226"/>
      <c r="BI226"/>
      <c r="BJ226"/>
      <c r="BK226"/>
      <c r="BL226"/>
      <c r="BM226"/>
      <c r="BN226"/>
      <c r="BO226"/>
      <c r="BP226"/>
      <c r="BQ226"/>
      <c r="BR226"/>
      <c r="BS226"/>
      <c r="BT226"/>
      <c r="BU226"/>
      <c r="BV226"/>
      <c r="BW226"/>
      <c r="BX226"/>
      <c r="BY226"/>
      <c r="BZ226"/>
      <c r="CA226"/>
      <c r="CB226"/>
      <c r="CC226"/>
    </row>
    <row r="227" spans="1:81" x14ac:dyDescent="0.25">
      <c r="A227"/>
      <c r="B227"/>
      <c r="C227"/>
      <c r="D227"/>
      <c r="E227"/>
      <c r="F227"/>
      <c r="G227"/>
      <c r="H227"/>
      <c r="I227"/>
      <c r="J227"/>
      <c r="K227"/>
      <c r="L227"/>
      <c r="M227"/>
      <c r="N227"/>
      <c r="O227"/>
      <c r="P227"/>
      <c r="Q227"/>
      <c r="R227"/>
      <c r="S227"/>
      <c r="T227"/>
      <c r="U227"/>
      <c r="V227"/>
      <c r="W227"/>
      <c r="X227"/>
      <c r="Y227"/>
      <c r="Z227"/>
      <c r="AA227"/>
      <c r="AB227"/>
      <c r="AC227"/>
      <c r="AD227"/>
      <c r="AE227"/>
      <c r="AF227"/>
      <c r="AG227"/>
      <c r="AH227"/>
      <c r="AI227"/>
      <c r="AJ227"/>
      <c r="AK227"/>
      <c r="AL227"/>
      <c r="AM227"/>
      <c r="AN227"/>
      <c r="AO227"/>
      <c r="AP227"/>
      <c r="AQ227"/>
      <c r="AR227"/>
      <c r="AS227"/>
      <c r="AT227"/>
      <c r="AU227"/>
      <c r="AV227"/>
      <c r="AW227"/>
      <c r="AX227"/>
      <c r="AY227"/>
      <c r="AZ227"/>
      <c r="BA227"/>
      <c r="BB227"/>
      <c r="BC227"/>
      <c r="BD227"/>
      <c r="BE227"/>
      <c r="BF227"/>
      <c r="BG227"/>
      <c r="BH227"/>
      <c r="BI227"/>
      <c r="BJ227"/>
      <c r="BK227"/>
      <c r="BL227"/>
      <c r="BM227"/>
      <c r="BN227"/>
      <c r="BO227"/>
      <c r="BP227"/>
      <c r="BQ227"/>
      <c r="BR227"/>
      <c r="BS227"/>
      <c r="BT227"/>
      <c r="BU227"/>
      <c r="BV227"/>
      <c r="BW227"/>
      <c r="BX227"/>
      <c r="BY227"/>
      <c r="BZ227"/>
      <c r="CA227"/>
      <c r="CB227"/>
      <c r="CC227"/>
    </row>
    <row r="228" spans="1:81" x14ac:dyDescent="0.25">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c r="AI228"/>
      <c r="AJ228"/>
      <c r="AK228"/>
      <c r="AL228"/>
      <c r="AM228"/>
      <c r="AN228"/>
      <c r="AO228"/>
      <c r="AP228"/>
      <c r="AQ228"/>
      <c r="AR228"/>
      <c r="AS228"/>
      <c r="AT228"/>
      <c r="AU228"/>
      <c r="AV228"/>
      <c r="AW228"/>
      <c r="AX228"/>
      <c r="AY228"/>
      <c r="AZ228"/>
      <c r="BA228"/>
      <c r="BB228"/>
      <c r="BC228"/>
      <c r="BD228"/>
      <c r="BE228"/>
      <c r="BF228"/>
      <c r="BG228"/>
      <c r="BH228"/>
      <c r="BI228"/>
      <c r="BJ228"/>
      <c r="BK228"/>
      <c r="BL228"/>
      <c r="BM228"/>
      <c r="BN228"/>
      <c r="BO228"/>
      <c r="BP228"/>
      <c r="BQ228"/>
      <c r="BR228"/>
      <c r="BS228"/>
      <c r="BT228"/>
      <c r="BU228"/>
      <c r="BV228"/>
      <c r="BW228"/>
      <c r="BX228"/>
      <c r="BY228"/>
      <c r="BZ228"/>
      <c r="CA228"/>
      <c r="CB228"/>
      <c r="CC228"/>
    </row>
    <row r="229" spans="1:81" x14ac:dyDescent="0.25">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c r="AI229"/>
      <c r="AJ229"/>
      <c r="AK229"/>
      <c r="AL229"/>
      <c r="AM229"/>
      <c r="AN229"/>
      <c r="AO229"/>
      <c r="AP229"/>
      <c r="AQ229"/>
      <c r="AR229"/>
      <c r="AS229"/>
      <c r="AT229"/>
      <c r="AU229"/>
      <c r="AV229"/>
      <c r="AW229"/>
      <c r="AX229"/>
      <c r="AY229"/>
      <c r="AZ229"/>
      <c r="BA229"/>
      <c r="BB229"/>
      <c r="BC229"/>
      <c r="BD229"/>
      <c r="BE229"/>
      <c r="BF229"/>
      <c r="BG229"/>
      <c r="BH229"/>
      <c r="BI229"/>
      <c r="BJ229"/>
      <c r="BK229"/>
      <c r="BL229"/>
      <c r="BM229"/>
      <c r="BN229"/>
      <c r="BO229"/>
      <c r="BP229"/>
      <c r="BQ229"/>
      <c r="BR229"/>
      <c r="BS229"/>
      <c r="BT229"/>
      <c r="BU229"/>
      <c r="BV229"/>
      <c r="BW229"/>
      <c r="BX229"/>
      <c r="BY229"/>
      <c r="BZ229"/>
      <c r="CA229"/>
      <c r="CB229"/>
      <c r="CC229"/>
    </row>
    <row r="230" spans="1:81" x14ac:dyDescent="0.25">
      <c r="A230"/>
      <c r="B230"/>
      <c r="C230"/>
      <c r="D230"/>
      <c r="E230"/>
      <c r="F230"/>
      <c r="G230"/>
      <c r="H230"/>
      <c r="I230"/>
      <c r="J230"/>
      <c r="K230"/>
      <c r="L230"/>
      <c r="M230"/>
      <c r="N230"/>
      <c r="O230"/>
      <c r="P230"/>
      <c r="Q230"/>
      <c r="R230"/>
      <c r="S230"/>
      <c r="T230"/>
      <c r="U230"/>
      <c r="V230"/>
      <c r="W230"/>
      <c r="X230"/>
      <c r="Y230"/>
      <c r="Z230"/>
      <c r="AA230"/>
      <c r="AB230"/>
      <c r="AC230"/>
      <c r="AD230"/>
      <c r="AE230"/>
      <c r="AF230"/>
      <c r="AG230"/>
      <c r="AH230"/>
      <c r="AI230"/>
      <c r="AJ230"/>
      <c r="AK230"/>
      <c r="AL230"/>
      <c r="AM230"/>
      <c r="AN230"/>
      <c r="AO230"/>
      <c r="AP230"/>
      <c r="AQ230"/>
      <c r="AR230"/>
      <c r="AS230"/>
      <c r="AT230"/>
      <c r="AU230"/>
      <c r="AV230"/>
      <c r="AW230"/>
      <c r="AX230"/>
      <c r="AY230"/>
      <c r="AZ230"/>
      <c r="BA230"/>
      <c r="BB230"/>
      <c r="BC230"/>
      <c r="BD230"/>
      <c r="BE230"/>
      <c r="BF230"/>
      <c r="BG230"/>
      <c r="BH230"/>
      <c r="BI230"/>
      <c r="BJ230"/>
      <c r="BK230"/>
      <c r="BL230"/>
      <c r="BM230"/>
      <c r="BN230"/>
      <c r="BO230"/>
      <c r="BP230"/>
      <c r="BQ230"/>
      <c r="BR230"/>
      <c r="BS230"/>
      <c r="BT230"/>
      <c r="BU230"/>
      <c r="BV230"/>
      <c r="BW230"/>
      <c r="BX230"/>
      <c r="BY230"/>
      <c r="BZ230"/>
      <c r="CA230"/>
      <c r="CB230"/>
      <c r="CC230"/>
    </row>
    <row r="231" spans="1:81" x14ac:dyDescent="0.25">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c r="AI231"/>
      <c r="AJ231"/>
      <c r="AK231"/>
      <c r="AL231"/>
      <c r="AM231"/>
      <c r="AN231"/>
      <c r="AO231"/>
      <c r="AP231"/>
      <c r="AQ231"/>
      <c r="AR231"/>
      <c r="AS231"/>
      <c r="AT231"/>
      <c r="AU231"/>
      <c r="AV231"/>
      <c r="AW231"/>
      <c r="AX231"/>
      <c r="AY231"/>
      <c r="AZ231"/>
      <c r="BA231"/>
      <c r="BB231"/>
      <c r="BC231"/>
      <c r="BD231"/>
      <c r="BE231"/>
      <c r="BF231"/>
      <c r="BG231"/>
      <c r="BH231"/>
      <c r="BI231"/>
      <c r="BJ231"/>
      <c r="BK231"/>
      <c r="BL231"/>
      <c r="BM231"/>
      <c r="BN231"/>
      <c r="BO231"/>
      <c r="BP231"/>
      <c r="BQ231"/>
      <c r="BR231"/>
      <c r="BS231"/>
      <c r="BT231"/>
      <c r="BU231"/>
      <c r="BV231"/>
      <c r="BW231"/>
      <c r="BX231"/>
      <c r="BY231"/>
      <c r="BZ231"/>
      <c r="CA231"/>
      <c r="CB231"/>
      <c r="CC231"/>
    </row>
    <row r="232" spans="1:81" x14ac:dyDescent="0.25">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c r="AI232"/>
      <c r="AJ232"/>
      <c r="AK232"/>
      <c r="AL232"/>
      <c r="AM232"/>
      <c r="AN232"/>
      <c r="AO232"/>
      <c r="AP232"/>
      <c r="AQ232"/>
      <c r="AR232"/>
      <c r="AS232"/>
      <c r="AT232"/>
      <c r="AU232"/>
      <c r="AV232"/>
      <c r="AW232"/>
      <c r="AX232"/>
      <c r="AY232"/>
      <c r="AZ232"/>
      <c r="BA232"/>
      <c r="BB232"/>
      <c r="BC232"/>
      <c r="BD232"/>
      <c r="BE232"/>
      <c r="BF232"/>
      <c r="BG232"/>
      <c r="BH232"/>
      <c r="BI232"/>
      <c r="BJ232"/>
      <c r="BK232"/>
      <c r="BL232"/>
      <c r="BM232"/>
      <c r="BN232"/>
      <c r="BO232"/>
      <c r="BP232"/>
      <c r="BQ232"/>
      <c r="BR232"/>
      <c r="BS232"/>
      <c r="BT232"/>
      <c r="BU232"/>
      <c r="BV232"/>
      <c r="BW232"/>
      <c r="BX232"/>
      <c r="BY232"/>
      <c r="BZ232"/>
      <c r="CA232"/>
      <c r="CB232"/>
      <c r="CC232"/>
    </row>
    <row r="233" spans="1:81" x14ac:dyDescent="0.25">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c r="AI233"/>
      <c r="AJ233"/>
      <c r="AK233"/>
      <c r="AL233"/>
      <c r="AM233"/>
      <c r="AN233"/>
      <c r="AO233"/>
      <c r="AP233"/>
      <c r="AQ233"/>
      <c r="AR233"/>
      <c r="AS233"/>
      <c r="AT233"/>
      <c r="AU233"/>
      <c r="AV233"/>
      <c r="AW233"/>
      <c r="AX233"/>
      <c r="AY233"/>
      <c r="AZ233"/>
      <c r="BA233"/>
      <c r="BB233"/>
      <c r="BC233"/>
      <c r="BD233"/>
      <c r="BE233"/>
      <c r="BF233"/>
      <c r="BG233"/>
      <c r="BH233"/>
      <c r="BI233"/>
      <c r="BJ233"/>
      <c r="BK233"/>
      <c r="BL233"/>
      <c r="BM233"/>
      <c r="BN233"/>
      <c r="BO233"/>
      <c r="BP233"/>
      <c r="BQ233"/>
      <c r="BR233"/>
      <c r="BS233"/>
      <c r="BT233"/>
      <c r="BU233"/>
      <c r="BV233"/>
      <c r="BW233"/>
      <c r="BX233"/>
      <c r="BY233"/>
      <c r="BZ233"/>
      <c r="CA233"/>
      <c r="CB233"/>
      <c r="CC233"/>
    </row>
    <row r="234" spans="1:81" x14ac:dyDescent="0.25">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c r="AI234"/>
      <c r="AJ234"/>
      <c r="AK234"/>
      <c r="AL234"/>
      <c r="AM234"/>
      <c r="AN234"/>
      <c r="AO234"/>
      <c r="AP234"/>
      <c r="AQ234"/>
      <c r="AR234"/>
      <c r="AS234"/>
      <c r="AT234"/>
      <c r="AU234"/>
      <c r="AV234"/>
      <c r="AW234"/>
      <c r="AX234"/>
      <c r="AY234"/>
      <c r="AZ234"/>
      <c r="BA234"/>
      <c r="BB234"/>
      <c r="BC234"/>
      <c r="BD234"/>
      <c r="BE234"/>
      <c r="BF234"/>
      <c r="BG234"/>
      <c r="BH234"/>
      <c r="BI234"/>
      <c r="BJ234"/>
      <c r="BK234"/>
      <c r="BL234"/>
      <c r="BM234"/>
      <c r="BN234"/>
      <c r="BO234"/>
      <c r="BP234"/>
      <c r="BQ234"/>
      <c r="BR234"/>
      <c r="BS234"/>
      <c r="BT234"/>
      <c r="BU234"/>
      <c r="BV234"/>
      <c r="BW234"/>
      <c r="BX234"/>
      <c r="BY234"/>
      <c r="BZ234"/>
      <c r="CA234"/>
      <c r="CB234"/>
      <c r="CC234"/>
    </row>
    <row r="235" spans="1:81" x14ac:dyDescent="0.25">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c r="AI235"/>
      <c r="AJ235"/>
      <c r="AK235"/>
      <c r="AL235"/>
      <c r="AM235"/>
      <c r="AN235"/>
      <c r="AO235"/>
      <c r="AP235"/>
      <c r="AQ235"/>
      <c r="AR235"/>
      <c r="AS235"/>
      <c r="AT235"/>
      <c r="AU235"/>
      <c r="AV235"/>
      <c r="AW235"/>
      <c r="AX235"/>
      <c r="AY235"/>
      <c r="AZ235"/>
      <c r="BA235"/>
      <c r="BB235"/>
      <c r="BC235"/>
      <c r="BD235"/>
      <c r="BE235"/>
      <c r="BF235"/>
      <c r="BG235"/>
      <c r="BH235"/>
      <c r="BI235"/>
      <c r="BJ235"/>
      <c r="BK235"/>
      <c r="BL235"/>
      <c r="BM235"/>
      <c r="BN235"/>
      <c r="BO235"/>
      <c r="BP235"/>
      <c r="BQ235"/>
      <c r="BR235"/>
      <c r="BS235"/>
      <c r="BT235"/>
      <c r="BU235"/>
      <c r="BV235"/>
      <c r="BW235"/>
      <c r="BX235"/>
      <c r="BY235"/>
      <c r="BZ235"/>
      <c r="CA235"/>
      <c r="CB235"/>
      <c r="CC235"/>
    </row>
    <row r="236" spans="1:81" x14ac:dyDescent="0.25">
      <c r="A236"/>
      <c r="B236"/>
      <c r="C236"/>
      <c r="D236"/>
      <c r="E236"/>
      <c r="F236"/>
      <c r="G236"/>
      <c r="H236"/>
      <c r="I236"/>
      <c r="J236"/>
      <c r="K236"/>
      <c r="L236"/>
      <c r="M236"/>
      <c r="N236"/>
      <c r="O236"/>
      <c r="P236"/>
      <c r="Q236"/>
      <c r="R236"/>
      <c r="S236"/>
      <c r="T236"/>
      <c r="U236"/>
      <c r="V236"/>
      <c r="W236"/>
      <c r="X236"/>
      <c r="Y236"/>
      <c r="Z236"/>
      <c r="AA236"/>
      <c r="AB236"/>
      <c r="AC236"/>
      <c r="AD236"/>
      <c r="AE236"/>
      <c r="AF236"/>
      <c r="AG236"/>
      <c r="AH236"/>
      <c r="AI236"/>
      <c r="AJ236"/>
      <c r="AK236"/>
      <c r="AL236"/>
      <c r="AM236"/>
      <c r="AN236"/>
      <c r="AO236"/>
      <c r="AP236"/>
      <c r="AQ236"/>
      <c r="AR236"/>
      <c r="AS236"/>
      <c r="AT236"/>
      <c r="AU236"/>
      <c r="AV236"/>
      <c r="AW236"/>
      <c r="AX236"/>
      <c r="AY236"/>
      <c r="AZ236"/>
      <c r="BA236"/>
      <c r="BB236"/>
      <c r="BC236"/>
      <c r="BD236"/>
      <c r="BE236"/>
      <c r="BF236"/>
      <c r="BG236"/>
      <c r="BH236"/>
      <c r="BI236"/>
      <c r="BJ236"/>
      <c r="BK236"/>
      <c r="BL236"/>
      <c r="BM236"/>
      <c r="BN236"/>
      <c r="BO236"/>
      <c r="BP236"/>
      <c r="BQ236"/>
      <c r="BR236"/>
      <c r="BS236"/>
      <c r="BT236"/>
      <c r="BU236"/>
      <c r="BV236"/>
      <c r="BW236"/>
      <c r="BX236"/>
      <c r="BY236"/>
      <c r="BZ236"/>
      <c r="CA236"/>
      <c r="CB236"/>
      <c r="CC236"/>
    </row>
    <row r="237" spans="1:81" x14ac:dyDescent="0.25">
      <c r="A237"/>
      <c r="B237"/>
      <c r="C237"/>
      <c r="D237"/>
      <c r="E237"/>
      <c r="F237"/>
      <c r="G237"/>
      <c r="H237"/>
      <c r="I237"/>
      <c r="J237"/>
      <c r="K237"/>
      <c r="L237"/>
      <c r="M237"/>
      <c r="N237"/>
      <c r="O237"/>
      <c r="P237"/>
      <c r="Q237"/>
      <c r="R237"/>
      <c r="S237"/>
      <c r="T237"/>
      <c r="U237"/>
      <c r="V237"/>
      <c r="W237"/>
      <c r="X237"/>
      <c r="Y237"/>
      <c r="Z237"/>
      <c r="AA237"/>
      <c r="AB237"/>
      <c r="AC237"/>
      <c r="AD237"/>
      <c r="AE237"/>
      <c r="AF237"/>
      <c r="AG237"/>
      <c r="AH237"/>
      <c r="AI237"/>
      <c r="AJ237"/>
      <c r="AK237"/>
      <c r="AL237"/>
      <c r="AM237"/>
      <c r="AN237"/>
      <c r="AO237"/>
      <c r="AP237"/>
      <c r="AQ237"/>
      <c r="AR237"/>
      <c r="AS237"/>
      <c r="AT237"/>
      <c r="AU237"/>
      <c r="AV237"/>
      <c r="AW237"/>
      <c r="AX237"/>
      <c r="AY237"/>
      <c r="AZ237"/>
      <c r="BA237"/>
      <c r="BB237"/>
      <c r="BC237"/>
      <c r="BD237"/>
      <c r="BE237"/>
      <c r="BF237"/>
      <c r="BG237"/>
      <c r="BH237"/>
      <c r="BI237"/>
      <c r="BJ237"/>
      <c r="BK237"/>
      <c r="BL237"/>
      <c r="BM237"/>
      <c r="BN237"/>
      <c r="BO237"/>
      <c r="BP237"/>
      <c r="BQ237"/>
      <c r="BR237"/>
      <c r="BS237"/>
      <c r="BT237"/>
      <c r="BU237"/>
      <c r="BV237"/>
      <c r="BW237"/>
      <c r="BX237"/>
      <c r="BY237"/>
      <c r="BZ237"/>
      <c r="CA237"/>
      <c r="CB237"/>
      <c r="CC237"/>
    </row>
    <row r="238" spans="1:81" x14ac:dyDescent="0.25">
      <c r="A238"/>
      <c r="B238"/>
      <c r="C238"/>
      <c r="D238"/>
      <c r="E238"/>
      <c r="F238"/>
      <c r="G238"/>
      <c r="H238"/>
      <c r="I238"/>
      <c r="J238"/>
      <c r="K238"/>
      <c r="L238"/>
      <c r="M238"/>
      <c r="N238"/>
      <c r="O238"/>
      <c r="P238"/>
      <c r="Q238"/>
      <c r="R238"/>
      <c r="S238"/>
      <c r="T238"/>
      <c r="U238"/>
      <c r="V238"/>
      <c r="W238"/>
      <c r="X238"/>
      <c r="Y238"/>
      <c r="Z238"/>
      <c r="AA238"/>
      <c r="AB238"/>
      <c r="AC238"/>
      <c r="AD238"/>
      <c r="AE238"/>
      <c r="AF238"/>
      <c r="AG238"/>
      <c r="AH238"/>
      <c r="AI238"/>
      <c r="AJ238"/>
      <c r="AK238"/>
      <c r="AL238"/>
      <c r="AM238"/>
      <c r="AN238"/>
      <c r="AO238"/>
      <c r="AP238"/>
      <c r="AQ238"/>
      <c r="AR238"/>
      <c r="AS238"/>
      <c r="AT238"/>
      <c r="AU238"/>
      <c r="AV238"/>
      <c r="AW238"/>
      <c r="AX238"/>
      <c r="AY238"/>
      <c r="AZ238"/>
      <c r="BA238"/>
      <c r="BB238"/>
      <c r="BC238"/>
      <c r="BD238"/>
      <c r="BE238"/>
      <c r="BF238"/>
      <c r="BG238"/>
      <c r="BH238"/>
      <c r="BI238"/>
      <c r="BJ238"/>
      <c r="BK238"/>
      <c r="BL238"/>
      <c r="BM238"/>
      <c r="BN238"/>
      <c r="BO238"/>
      <c r="BP238"/>
      <c r="BQ238"/>
      <c r="BR238"/>
      <c r="BS238"/>
      <c r="BT238"/>
      <c r="BU238"/>
      <c r="BV238"/>
      <c r="BW238"/>
      <c r="BX238"/>
      <c r="BY238"/>
      <c r="BZ238"/>
      <c r="CA238"/>
      <c r="CB238"/>
      <c r="CC238"/>
    </row>
    <row r="239" spans="1:81" x14ac:dyDescent="0.25">
      <c r="A239"/>
      <c r="B239"/>
      <c r="C239"/>
      <c r="D239"/>
      <c r="E239"/>
      <c r="F239"/>
      <c r="G239"/>
      <c r="H239"/>
      <c r="I239"/>
      <c r="J239"/>
      <c r="K239"/>
      <c r="L239"/>
      <c r="M239"/>
      <c r="N239"/>
      <c r="O239"/>
      <c r="P239"/>
      <c r="Q239"/>
      <c r="R239"/>
      <c r="S239"/>
      <c r="T239"/>
      <c r="U239"/>
      <c r="V239"/>
      <c r="W239"/>
      <c r="X239"/>
      <c r="Y239"/>
      <c r="Z239"/>
      <c r="AA239"/>
      <c r="AB239"/>
      <c r="AC239"/>
      <c r="AD239"/>
      <c r="AE239"/>
      <c r="AF239"/>
      <c r="AG239"/>
      <c r="AH239"/>
      <c r="AI239"/>
      <c r="AJ239"/>
      <c r="AK239"/>
      <c r="AL239"/>
      <c r="AM239"/>
      <c r="AN239"/>
      <c r="AO239"/>
      <c r="AP239"/>
      <c r="AQ239"/>
      <c r="AR239"/>
      <c r="AS239"/>
      <c r="AT239"/>
      <c r="AU239"/>
      <c r="AV239"/>
      <c r="AW239"/>
      <c r="AX239"/>
      <c r="AY239"/>
      <c r="AZ239"/>
      <c r="BA239"/>
      <c r="BB239"/>
      <c r="BC239"/>
      <c r="BD239"/>
      <c r="BE239"/>
      <c r="BF239"/>
      <c r="BG239"/>
      <c r="BH239"/>
      <c r="BI239"/>
      <c r="BJ239"/>
      <c r="BK239"/>
      <c r="BL239"/>
      <c r="BM239"/>
      <c r="BN239"/>
      <c r="BO239"/>
      <c r="BP239"/>
      <c r="BQ239"/>
      <c r="BR239"/>
      <c r="BS239"/>
      <c r="BT239"/>
      <c r="BU239"/>
      <c r="BV239"/>
      <c r="BW239"/>
      <c r="BX239"/>
      <c r="BY239"/>
      <c r="BZ239"/>
      <c r="CA239"/>
      <c r="CB239"/>
      <c r="CC239"/>
    </row>
    <row r="240" spans="1:81" x14ac:dyDescent="0.25">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c r="AI240"/>
      <c r="AJ240"/>
      <c r="AK240"/>
      <c r="AL240"/>
      <c r="AM240"/>
      <c r="AN240"/>
      <c r="AO240"/>
      <c r="AP240"/>
      <c r="AQ240"/>
      <c r="AR240"/>
      <c r="AS240"/>
      <c r="AT240"/>
      <c r="AU240"/>
      <c r="AV240"/>
      <c r="AW240"/>
      <c r="AX240"/>
      <c r="AY240"/>
      <c r="AZ240"/>
      <c r="BA240"/>
      <c r="BB240"/>
      <c r="BC240"/>
      <c r="BD240"/>
      <c r="BE240"/>
      <c r="BF240"/>
      <c r="BG240"/>
      <c r="BH240"/>
      <c r="BI240"/>
      <c r="BJ240"/>
      <c r="BK240"/>
      <c r="BL240"/>
      <c r="BM240"/>
      <c r="BN240"/>
      <c r="BO240"/>
      <c r="BP240"/>
      <c r="BQ240"/>
      <c r="BR240"/>
      <c r="BS240"/>
      <c r="BT240"/>
      <c r="BU240"/>
      <c r="BV240"/>
      <c r="BW240"/>
      <c r="BX240"/>
      <c r="BY240"/>
      <c r="BZ240"/>
      <c r="CA240"/>
      <c r="CB240"/>
      <c r="CC240"/>
    </row>
    <row r="241" spans="1:81" x14ac:dyDescent="0.25">
      <c r="A241"/>
      <c r="B241"/>
      <c r="C241"/>
      <c r="D241"/>
      <c r="E241"/>
      <c r="F241"/>
      <c r="G241"/>
      <c r="H241"/>
      <c r="I241"/>
      <c r="J241"/>
      <c r="K241"/>
      <c r="L241"/>
      <c r="M241"/>
      <c r="N241"/>
      <c r="O241"/>
      <c r="P241"/>
      <c r="Q241"/>
      <c r="R241"/>
      <c r="S241"/>
      <c r="T241"/>
      <c r="U241"/>
      <c r="V241"/>
      <c r="W241"/>
      <c r="X241"/>
      <c r="Y241"/>
      <c r="Z241"/>
      <c r="AA241"/>
      <c r="AB241"/>
      <c r="AC241"/>
      <c r="AD241"/>
      <c r="AE241"/>
      <c r="AF241"/>
      <c r="AG241"/>
      <c r="AH241"/>
      <c r="AI241"/>
      <c r="AJ241"/>
      <c r="AK241"/>
      <c r="AL241"/>
      <c r="AM241"/>
      <c r="AN241"/>
      <c r="AO241"/>
      <c r="AP241"/>
      <c r="AQ241"/>
      <c r="AR241"/>
      <c r="AS241"/>
      <c r="AT241"/>
      <c r="AU241"/>
      <c r="AV241"/>
      <c r="AW241"/>
      <c r="AX241"/>
      <c r="AY241"/>
      <c r="AZ241"/>
      <c r="BA241"/>
      <c r="BB241"/>
      <c r="BC241"/>
      <c r="BD241"/>
      <c r="BE241"/>
      <c r="BF241"/>
      <c r="BG241"/>
      <c r="BH241"/>
      <c r="BI241"/>
      <c r="BJ241"/>
      <c r="BK241"/>
      <c r="BL241"/>
      <c r="BM241"/>
      <c r="BN241"/>
      <c r="BO241"/>
      <c r="BP241"/>
      <c r="BQ241"/>
      <c r="BR241"/>
      <c r="BS241"/>
      <c r="BT241"/>
      <c r="BU241"/>
      <c r="BV241"/>
      <c r="BW241"/>
      <c r="BX241"/>
      <c r="BY241"/>
      <c r="BZ241"/>
      <c r="CA241"/>
      <c r="CB241"/>
      <c r="CC241"/>
    </row>
    <row r="242" spans="1:81" x14ac:dyDescent="0.25">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c r="AI242"/>
      <c r="AJ242"/>
      <c r="AK242"/>
      <c r="AL242"/>
      <c r="AM242"/>
      <c r="AN242"/>
      <c r="AO242"/>
      <c r="AP242"/>
      <c r="AQ242"/>
      <c r="AR242"/>
      <c r="AS242"/>
      <c r="AT242"/>
      <c r="AU242"/>
      <c r="AV242"/>
      <c r="AW242"/>
      <c r="AX242"/>
      <c r="AY242"/>
      <c r="AZ242"/>
      <c r="BA242"/>
      <c r="BB242"/>
      <c r="BC242"/>
      <c r="BD242"/>
      <c r="BE242"/>
      <c r="BF242"/>
      <c r="BG242"/>
      <c r="BH242"/>
      <c r="BI242"/>
      <c r="BJ242"/>
      <c r="BK242"/>
      <c r="BL242"/>
      <c r="BM242"/>
      <c r="BN242"/>
      <c r="BO242"/>
      <c r="BP242"/>
      <c r="BQ242"/>
      <c r="BR242"/>
      <c r="BS242"/>
      <c r="BT242"/>
      <c r="BU242"/>
      <c r="BV242"/>
      <c r="BW242"/>
      <c r="BX242"/>
      <c r="BY242"/>
      <c r="BZ242"/>
      <c r="CA242"/>
      <c r="CB242"/>
      <c r="CC242"/>
    </row>
    <row r="243" spans="1:81" x14ac:dyDescent="0.25">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c r="AI243"/>
      <c r="AJ243"/>
      <c r="AK243"/>
      <c r="AL243"/>
      <c r="AM243"/>
      <c r="AN243"/>
      <c r="AO243"/>
      <c r="AP243"/>
      <c r="AQ243"/>
      <c r="AR243"/>
      <c r="AS243"/>
      <c r="AT243"/>
      <c r="AU243"/>
      <c r="AV243"/>
      <c r="AW243"/>
      <c r="AX243"/>
      <c r="AY243"/>
      <c r="AZ243"/>
      <c r="BA243"/>
      <c r="BB243"/>
      <c r="BC243"/>
      <c r="BD243"/>
      <c r="BE243"/>
      <c r="BF243"/>
      <c r="BG243"/>
      <c r="BH243"/>
      <c r="BI243"/>
      <c r="BJ243"/>
      <c r="BK243"/>
      <c r="BL243"/>
      <c r="BM243"/>
      <c r="BN243"/>
      <c r="BO243"/>
      <c r="BP243"/>
      <c r="BQ243"/>
      <c r="BR243"/>
      <c r="BS243"/>
      <c r="BT243"/>
      <c r="BU243"/>
      <c r="BV243"/>
      <c r="BW243"/>
      <c r="BX243"/>
      <c r="BY243"/>
      <c r="BZ243"/>
      <c r="CA243"/>
      <c r="CB243"/>
      <c r="CC243"/>
    </row>
    <row r="244" spans="1:81" x14ac:dyDescent="0.25">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c r="AI244"/>
      <c r="AJ244"/>
      <c r="AK244"/>
      <c r="AL244"/>
      <c r="AM244"/>
      <c r="AN244"/>
      <c r="AO244"/>
      <c r="AP244"/>
      <c r="AQ244"/>
      <c r="AR244"/>
      <c r="AS244"/>
      <c r="AT244"/>
      <c r="AU244"/>
      <c r="AV244"/>
      <c r="AW244"/>
      <c r="AX244"/>
      <c r="AY244"/>
      <c r="AZ244"/>
      <c r="BA244"/>
      <c r="BB244"/>
      <c r="BC244"/>
      <c r="BD244"/>
      <c r="BE244"/>
      <c r="BF244"/>
      <c r="BG244"/>
      <c r="BH244"/>
      <c r="BI244"/>
      <c r="BJ244"/>
      <c r="BK244"/>
      <c r="BL244"/>
      <c r="BM244"/>
      <c r="BN244"/>
      <c r="BO244"/>
      <c r="BP244"/>
      <c r="BQ244"/>
      <c r="BR244"/>
      <c r="BS244"/>
      <c r="BT244"/>
      <c r="BU244"/>
      <c r="BV244"/>
      <c r="BW244"/>
      <c r="BX244"/>
      <c r="BY244"/>
      <c r="BZ244"/>
      <c r="CA244"/>
      <c r="CB244"/>
      <c r="CC244"/>
    </row>
    <row r="245" spans="1:81" x14ac:dyDescent="0.25">
      <c r="A245"/>
      <c r="B245"/>
      <c r="C245"/>
      <c r="D245"/>
      <c r="E245"/>
      <c r="F245"/>
      <c r="G245"/>
      <c r="H245"/>
      <c r="I245"/>
      <c r="J245"/>
      <c r="K245"/>
      <c r="L245"/>
      <c r="M245"/>
      <c r="N245"/>
      <c r="O245"/>
      <c r="P245"/>
      <c r="Q245"/>
      <c r="R245"/>
      <c r="S245"/>
      <c r="T245"/>
      <c r="U245"/>
      <c r="V245"/>
      <c r="W245"/>
      <c r="X245"/>
      <c r="Y245"/>
      <c r="Z245"/>
      <c r="AA245"/>
      <c r="AB245"/>
      <c r="AC245"/>
      <c r="AD245"/>
      <c r="AE245"/>
      <c r="AF245"/>
      <c r="AG245"/>
      <c r="AH245"/>
      <c r="AI245"/>
      <c r="AJ245"/>
      <c r="AK245"/>
      <c r="AL245"/>
      <c r="AM245"/>
      <c r="AN245"/>
      <c r="AO245"/>
      <c r="AP245"/>
      <c r="AQ245"/>
      <c r="AR245"/>
      <c r="AS245"/>
      <c r="AT245"/>
      <c r="AU245"/>
      <c r="AV245"/>
      <c r="AW245"/>
      <c r="AX245"/>
      <c r="AY245"/>
      <c r="AZ245"/>
      <c r="BA245"/>
      <c r="BB245"/>
      <c r="BC245"/>
      <c r="BD245"/>
      <c r="BE245"/>
      <c r="BF245"/>
      <c r="BG245"/>
      <c r="BH245"/>
      <c r="BI245"/>
      <c r="BJ245"/>
      <c r="BK245"/>
      <c r="BL245"/>
      <c r="BM245"/>
      <c r="BN245"/>
      <c r="BO245"/>
      <c r="BP245"/>
      <c r="BQ245"/>
      <c r="BR245"/>
      <c r="BS245"/>
      <c r="BT245"/>
      <c r="BU245"/>
      <c r="BV245"/>
      <c r="BW245"/>
      <c r="BX245"/>
      <c r="BY245"/>
      <c r="BZ245"/>
      <c r="CA245"/>
      <c r="CB245"/>
      <c r="CC245"/>
    </row>
    <row r="246" spans="1:81" x14ac:dyDescent="0.25">
      <c r="A246"/>
      <c r="B246"/>
      <c r="C246"/>
      <c r="D246"/>
      <c r="E246"/>
      <c r="F246"/>
      <c r="G246"/>
      <c r="H246"/>
      <c r="I246"/>
      <c r="J246"/>
      <c r="K246"/>
      <c r="L246"/>
      <c r="M246"/>
      <c r="N246"/>
      <c r="O246"/>
      <c r="P246"/>
      <c r="Q246"/>
      <c r="R246"/>
      <c r="S246"/>
      <c r="T246"/>
      <c r="U246"/>
      <c r="V246"/>
      <c r="W246"/>
      <c r="X246"/>
      <c r="Y246"/>
      <c r="Z246"/>
      <c r="AA246"/>
      <c r="AB246"/>
      <c r="AC246"/>
      <c r="AD246"/>
      <c r="AE246"/>
      <c r="AF246"/>
      <c r="AG246"/>
      <c r="AH246"/>
      <c r="AI246"/>
      <c r="AJ246"/>
      <c r="AK246"/>
      <c r="AL246"/>
      <c r="AM246"/>
      <c r="AN246"/>
      <c r="AO246"/>
      <c r="AP246"/>
      <c r="AQ246"/>
      <c r="AR246"/>
      <c r="AS246"/>
      <c r="AT246"/>
      <c r="AU246"/>
      <c r="AV246"/>
      <c r="AW246"/>
      <c r="AX246"/>
      <c r="AY246"/>
      <c r="AZ246"/>
      <c r="BA246"/>
      <c r="BB246"/>
      <c r="BC246"/>
      <c r="BD246"/>
      <c r="BE246"/>
      <c r="BF246"/>
      <c r="BG246"/>
      <c r="BH246"/>
      <c r="BI246"/>
      <c r="BJ246"/>
      <c r="BK246"/>
      <c r="BL246"/>
      <c r="BM246"/>
      <c r="BN246"/>
      <c r="BO246"/>
      <c r="BP246"/>
      <c r="BQ246"/>
      <c r="BR246"/>
      <c r="BS246"/>
      <c r="BT246"/>
      <c r="BU246"/>
      <c r="BV246"/>
      <c r="BW246"/>
      <c r="BX246"/>
      <c r="BY246"/>
      <c r="BZ246"/>
      <c r="CA246"/>
      <c r="CB246"/>
      <c r="CC246"/>
    </row>
    <row r="247" spans="1:81" x14ac:dyDescent="0.25">
      <c r="A247"/>
      <c r="B247"/>
      <c r="C247"/>
      <c r="D247"/>
      <c r="E247"/>
      <c r="F247"/>
      <c r="G247"/>
      <c r="H247"/>
      <c r="I247"/>
      <c r="J247"/>
      <c r="K247"/>
      <c r="L247"/>
      <c r="M247"/>
      <c r="N247"/>
      <c r="O247"/>
      <c r="P247"/>
      <c r="Q247"/>
      <c r="R247"/>
      <c r="S247"/>
      <c r="T247"/>
      <c r="U247"/>
      <c r="V247"/>
      <c r="W247"/>
      <c r="X247"/>
      <c r="Y247"/>
      <c r="Z247"/>
      <c r="AA247"/>
      <c r="AB247"/>
      <c r="AC247"/>
      <c r="AD247"/>
      <c r="AE247"/>
      <c r="AF247"/>
      <c r="AG247"/>
      <c r="AH247"/>
      <c r="AI247"/>
      <c r="AJ247"/>
      <c r="AK247"/>
      <c r="AL247"/>
      <c r="AM247"/>
      <c r="AN247"/>
      <c r="AO247"/>
      <c r="AP247"/>
      <c r="AQ247"/>
      <c r="AR247"/>
      <c r="AS247"/>
      <c r="AT247"/>
      <c r="AU247"/>
      <c r="AV247"/>
      <c r="AW247"/>
      <c r="AX247"/>
      <c r="AY247"/>
      <c r="AZ247"/>
      <c r="BA247"/>
      <c r="BB247"/>
      <c r="BC247"/>
      <c r="BD247"/>
      <c r="BE247"/>
      <c r="BF247"/>
      <c r="BG247"/>
      <c r="BH247"/>
      <c r="BI247"/>
      <c r="BJ247"/>
      <c r="BK247"/>
      <c r="BL247"/>
      <c r="BM247"/>
      <c r="BN247"/>
      <c r="BO247"/>
      <c r="BP247"/>
      <c r="BQ247"/>
      <c r="BR247"/>
      <c r="BS247"/>
      <c r="BT247"/>
      <c r="BU247"/>
      <c r="BV247"/>
      <c r="BW247"/>
      <c r="BX247"/>
      <c r="BY247"/>
      <c r="BZ247"/>
      <c r="CA247"/>
      <c r="CB247"/>
      <c r="CC247"/>
    </row>
    <row r="248" spans="1:81" x14ac:dyDescent="0.25">
      <c r="A248"/>
      <c r="B248"/>
      <c r="C248"/>
      <c r="D248"/>
      <c r="E248"/>
      <c r="F248"/>
      <c r="G248"/>
      <c r="H248"/>
      <c r="I248"/>
      <c r="J248"/>
      <c r="K248"/>
      <c r="L248"/>
      <c r="M248"/>
      <c r="N248"/>
      <c r="O248"/>
      <c r="P248"/>
      <c r="Q248"/>
      <c r="R248"/>
      <c r="S248"/>
      <c r="T248"/>
      <c r="U248"/>
      <c r="V248"/>
      <c r="W248"/>
      <c r="X248"/>
      <c r="Y248"/>
      <c r="Z248"/>
      <c r="AA248"/>
      <c r="AB248"/>
      <c r="AC248"/>
      <c r="AD248"/>
      <c r="AE248"/>
      <c r="AF248"/>
      <c r="AG248"/>
      <c r="AH248"/>
      <c r="AI248"/>
      <c r="AJ248"/>
      <c r="AK248"/>
      <c r="AL248"/>
      <c r="AM248"/>
      <c r="AN248"/>
      <c r="AO248"/>
      <c r="AP248"/>
      <c r="AQ248"/>
      <c r="AR248"/>
      <c r="AS248"/>
      <c r="AT248"/>
      <c r="AU248"/>
      <c r="AV248"/>
      <c r="AW248"/>
      <c r="AX248"/>
      <c r="AY248"/>
      <c r="AZ248"/>
      <c r="BA248"/>
      <c r="BB248"/>
      <c r="BC248"/>
      <c r="BD248"/>
      <c r="BE248"/>
      <c r="BF248"/>
      <c r="BG248"/>
      <c r="BH248"/>
      <c r="BI248"/>
      <c r="BJ248"/>
      <c r="BK248"/>
      <c r="BL248"/>
      <c r="BM248"/>
      <c r="BN248"/>
      <c r="BO248"/>
      <c r="BP248"/>
      <c r="BQ248"/>
      <c r="BR248"/>
      <c r="BS248"/>
      <c r="BT248"/>
      <c r="BU248"/>
      <c r="BV248"/>
      <c r="BW248"/>
      <c r="BX248"/>
      <c r="BY248"/>
      <c r="BZ248"/>
      <c r="CA248"/>
      <c r="CB248"/>
      <c r="CC248"/>
    </row>
    <row r="249" spans="1:81" x14ac:dyDescent="0.25">
      <c r="A249"/>
      <c r="B249"/>
      <c r="C249"/>
      <c r="D249"/>
      <c r="E249"/>
      <c r="F249"/>
      <c r="G249"/>
      <c r="H249"/>
      <c r="I249"/>
      <c r="J249"/>
      <c r="K249"/>
      <c r="L249"/>
      <c r="M249"/>
      <c r="N249"/>
      <c r="O249"/>
      <c r="P249"/>
      <c r="Q249"/>
      <c r="R249"/>
      <c r="S249"/>
      <c r="T249"/>
      <c r="U249"/>
      <c r="V249"/>
      <c r="W249"/>
      <c r="X249"/>
      <c r="Y249"/>
      <c r="Z249"/>
      <c r="AA249"/>
      <c r="AB249"/>
      <c r="AC249"/>
      <c r="AD249"/>
      <c r="AE249"/>
      <c r="AF249"/>
      <c r="AG249"/>
      <c r="AH249"/>
      <c r="AI249"/>
      <c r="AJ249"/>
      <c r="AK249"/>
      <c r="AL249"/>
      <c r="AM249"/>
      <c r="AN249"/>
      <c r="AO249"/>
      <c r="AP249"/>
      <c r="AQ249"/>
      <c r="AR249"/>
      <c r="AS249"/>
      <c r="AT249"/>
      <c r="AU249"/>
      <c r="AV249"/>
      <c r="AW249"/>
      <c r="AX249"/>
      <c r="AY249"/>
      <c r="AZ249"/>
      <c r="BA249"/>
      <c r="BB249"/>
      <c r="BC249"/>
      <c r="BD249"/>
      <c r="BE249"/>
      <c r="BF249"/>
      <c r="BG249"/>
      <c r="BH249"/>
      <c r="BI249"/>
      <c r="BJ249"/>
      <c r="BK249"/>
      <c r="BL249"/>
      <c r="BM249"/>
      <c r="BN249"/>
      <c r="BO249"/>
      <c r="BP249"/>
      <c r="BQ249"/>
      <c r="BR249"/>
      <c r="BS249"/>
      <c r="BT249"/>
      <c r="BU249"/>
      <c r="BV249"/>
      <c r="BW249"/>
      <c r="BX249"/>
      <c r="BY249"/>
      <c r="BZ249"/>
      <c r="CA249"/>
      <c r="CB249"/>
      <c r="CC249"/>
    </row>
    <row r="250" spans="1:81" x14ac:dyDescent="0.25">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c r="AI250"/>
      <c r="AJ250"/>
      <c r="AK250"/>
      <c r="AL250"/>
      <c r="AM250"/>
      <c r="AN250"/>
      <c r="AO250"/>
      <c r="AP250"/>
      <c r="AQ250"/>
      <c r="AR250"/>
      <c r="AS250"/>
      <c r="AT250"/>
      <c r="AU250"/>
      <c r="AV250"/>
      <c r="AW250"/>
      <c r="AX250"/>
      <c r="AY250"/>
      <c r="AZ250"/>
      <c r="BA250"/>
      <c r="BB250"/>
      <c r="BC250"/>
      <c r="BD250"/>
      <c r="BE250"/>
      <c r="BF250"/>
      <c r="BG250"/>
      <c r="BH250"/>
      <c r="BI250"/>
      <c r="BJ250"/>
      <c r="BK250"/>
      <c r="BL250"/>
      <c r="BM250"/>
      <c r="BN250"/>
      <c r="BO250"/>
      <c r="BP250"/>
      <c r="BQ250"/>
      <c r="BR250"/>
      <c r="BS250"/>
      <c r="BT250"/>
      <c r="BU250"/>
      <c r="BV250"/>
      <c r="BW250"/>
      <c r="BX250"/>
      <c r="BY250"/>
      <c r="BZ250"/>
      <c r="CA250"/>
      <c r="CB250"/>
      <c r="CC250"/>
    </row>
    <row r="251" spans="1:81" x14ac:dyDescent="0.25">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c r="AI251"/>
      <c r="AJ251"/>
      <c r="AK251"/>
      <c r="AL251"/>
      <c r="AM251"/>
      <c r="AN251"/>
      <c r="AO251"/>
      <c r="AP251"/>
      <c r="AQ251"/>
      <c r="AR251"/>
      <c r="AS251"/>
      <c r="AT251"/>
      <c r="AU251"/>
      <c r="AV251"/>
      <c r="AW251"/>
      <c r="AX251"/>
      <c r="AY251"/>
      <c r="AZ251"/>
      <c r="BA251"/>
      <c r="BB251"/>
      <c r="BC251"/>
      <c r="BD251"/>
      <c r="BE251"/>
      <c r="BF251"/>
      <c r="BG251"/>
      <c r="BH251"/>
      <c r="BI251"/>
      <c r="BJ251"/>
      <c r="BK251"/>
      <c r="BL251"/>
      <c r="BM251"/>
      <c r="BN251"/>
      <c r="BO251"/>
      <c r="BP251"/>
      <c r="BQ251"/>
      <c r="BR251"/>
      <c r="BS251"/>
      <c r="BT251"/>
      <c r="BU251"/>
      <c r="BV251"/>
      <c r="BW251"/>
      <c r="BX251"/>
      <c r="BY251"/>
      <c r="BZ251"/>
      <c r="CA251"/>
      <c r="CB251"/>
      <c r="CC251"/>
    </row>
    <row r="252" spans="1:81" x14ac:dyDescent="0.25">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c r="AI252"/>
      <c r="AJ252"/>
      <c r="AK252"/>
      <c r="AL252"/>
      <c r="AM252"/>
      <c r="AN252"/>
      <c r="AO252"/>
      <c r="AP252"/>
      <c r="AQ252"/>
      <c r="AR252"/>
      <c r="AS252"/>
      <c r="AT252"/>
      <c r="AU252"/>
      <c r="AV252"/>
      <c r="AW252"/>
      <c r="AX252"/>
      <c r="AY252"/>
      <c r="AZ252"/>
      <c r="BA252"/>
      <c r="BB252"/>
      <c r="BC252"/>
      <c r="BD252"/>
      <c r="BE252"/>
      <c r="BF252"/>
      <c r="BG252"/>
      <c r="BH252"/>
      <c r="BI252"/>
      <c r="BJ252"/>
      <c r="BK252"/>
      <c r="BL252"/>
      <c r="BM252"/>
      <c r="BN252"/>
      <c r="BO252"/>
      <c r="BP252"/>
      <c r="BQ252"/>
      <c r="BR252"/>
      <c r="BS252"/>
      <c r="BT252"/>
      <c r="BU252"/>
      <c r="BV252"/>
      <c r="BW252"/>
      <c r="BX252"/>
      <c r="BY252"/>
      <c r="BZ252"/>
      <c r="CA252"/>
      <c r="CB252"/>
      <c r="CC252"/>
    </row>
    <row r="253" spans="1:81" x14ac:dyDescent="0.25">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c r="AI253"/>
      <c r="AJ253"/>
      <c r="AK253"/>
      <c r="AL253"/>
      <c r="AM253"/>
      <c r="AN253"/>
      <c r="AO253"/>
      <c r="AP253"/>
      <c r="AQ253"/>
      <c r="AR253"/>
      <c r="AS253"/>
      <c r="AT253"/>
      <c r="AU253"/>
      <c r="AV253"/>
      <c r="AW253"/>
      <c r="AX253"/>
      <c r="AY253"/>
      <c r="AZ253"/>
      <c r="BA253"/>
      <c r="BB253"/>
      <c r="BC253"/>
      <c r="BD253"/>
      <c r="BE253"/>
      <c r="BF253"/>
      <c r="BG253"/>
      <c r="BH253"/>
      <c r="BI253"/>
      <c r="BJ253"/>
      <c r="BK253"/>
      <c r="BL253"/>
      <c r="BM253"/>
      <c r="BN253"/>
      <c r="BO253"/>
      <c r="BP253"/>
      <c r="BQ253"/>
      <c r="BR253"/>
      <c r="BS253"/>
      <c r="BT253"/>
      <c r="BU253"/>
      <c r="BV253"/>
      <c r="BW253"/>
      <c r="BX253"/>
      <c r="BY253"/>
      <c r="BZ253"/>
      <c r="CA253"/>
      <c r="CB253"/>
      <c r="CC253"/>
    </row>
    <row r="254" spans="1:81" x14ac:dyDescent="0.25">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c r="AI254"/>
      <c r="AJ254"/>
      <c r="AK254"/>
      <c r="AL254"/>
      <c r="AM254"/>
      <c r="AN254"/>
      <c r="AO254"/>
      <c r="AP254"/>
      <c r="AQ254"/>
      <c r="AR254"/>
      <c r="AS254"/>
      <c r="AT254"/>
      <c r="AU254"/>
      <c r="AV254"/>
      <c r="AW254"/>
      <c r="AX254"/>
      <c r="AY254"/>
      <c r="AZ254"/>
      <c r="BA254"/>
      <c r="BB254"/>
      <c r="BC254"/>
      <c r="BD254"/>
      <c r="BE254"/>
      <c r="BF254"/>
      <c r="BG254"/>
      <c r="BH254"/>
      <c r="BI254"/>
      <c r="BJ254"/>
      <c r="BK254"/>
      <c r="BL254"/>
      <c r="BM254"/>
      <c r="BN254"/>
      <c r="BO254"/>
      <c r="BP254"/>
      <c r="BQ254"/>
      <c r="BR254"/>
      <c r="BS254"/>
      <c r="BT254"/>
      <c r="BU254"/>
      <c r="BV254"/>
      <c r="BW254"/>
      <c r="BX254"/>
      <c r="BY254"/>
      <c r="BZ254"/>
      <c r="CA254"/>
      <c r="CB254"/>
      <c r="CC254"/>
    </row>
    <row r="255" spans="1:81" x14ac:dyDescent="0.25">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c r="AI255"/>
      <c r="AJ255"/>
      <c r="AK255"/>
      <c r="AL255"/>
      <c r="AM255"/>
      <c r="AN255"/>
      <c r="AO255"/>
      <c r="AP255"/>
      <c r="AQ255"/>
      <c r="AR255"/>
      <c r="AS255"/>
      <c r="AT255"/>
      <c r="AU255"/>
      <c r="AV255"/>
      <c r="AW255"/>
      <c r="AX255"/>
      <c r="AY255"/>
      <c r="AZ255"/>
      <c r="BA255"/>
      <c r="BB255"/>
      <c r="BC255"/>
      <c r="BD255"/>
      <c r="BE255"/>
      <c r="BF255"/>
      <c r="BG255"/>
      <c r="BH255"/>
      <c r="BI255"/>
      <c r="BJ255"/>
      <c r="BK255"/>
      <c r="BL255"/>
      <c r="BM255"/>
      <c r="BN255"/>
      <c r="BO255"/>
      <c r="BP255"/>
      <c r="BQ255"/>
      <c r="BR255"/>
      <c r="BS255"/>
      <c r="BT255"/>
      <c r="BU255"/>
      <c r="BV255"/>
      <c r="BW255"/>
      <c r="BX255"/>
      <c r="BY255"/>
      <c r="BZ255"/>
      <c r="CA255"/>
      <c r="CB255"/>
      <c r="CC255"/>
    </row>
    <row r="256" spans="1:81" x14ac:dyDescent="0.25">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c r="AI256"/>
      <c r="AJ256"/>
      <c r="AK256"/>
      <c r="AL256"/>
      <c r="AM256"/>
      <c r="AN256"/>
      <c r="AO256"/>
      <c r="AP256"/>
      <c r="AQ256"/>
      <c r="AR256"/>
      <c r="AS256"/>
      <c r="AT256"/>
      <c r="AU256"/>
      <c r="AV256"/>
      <c r="AW256"/>
      <c r="AX256"/>
      <c r="AY256"/>
      <c r="AZ256"/>
      <c r="BA256"/>
      <c r="BB256"/>
      <c r="BC256"/>
      <c r="BD256"/>
      <c r="BE256"/>
      <c r="BF256"/>
      <c r="BG256"/>
      <c r="BH256"/>
      <c r="BI256"/>
      <c r="BJ256"/>
      <c r="BK256"/>
      <c r="BL256"/>
      <c r="BM256"/>
      <c r="BN256"/>
      <c r="BO256"/>
      <c r="BP256"/>
      <c r="BQ256"/>
      <c r="BR256"/>
      <c r="BS256"/>
      <c r="BT256"/>
      <c r="BU256"/>
      <c r="BV256"/>
      <c r="BW256"/>
      <c r="BX256"/>
      <c r="BY256"/>
      <c r="BZ256"/>
      <c r="CA256"/>
      <c r="CB256"/>
      <c r="CC256"/>
    </row>
    <row r="257" spans="1:81" x14ac:dyDescent="0.25">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c r="AI257"/>
      <c r="AJ257"/>
      <c r="AK257"/>
      <c r="AL257"/>
      <c r="AM257"/>
      <c r="AN257"/>
      <c r="AO257"/>
      <c r="AP257"/>
      <c r="AQ257"/>
      <c r="AR257"/>
      <c r="AS257"/>
      <c r="AT257"/>
      <c r="AU257"/>
      <c r="AV257"/>
      <c r="AW257"/>
      <c r="AX257"/>
      <c r="AY257"/>
      <c r="AZ257"/>
      <c r="BA257"/>
      <c r="BB257"/>
      <c r="BC257"/>
      <c r="BD257"/>
      <c r="BE257"/>
      <c r="BF257"/>
      <c r="BG257"/>
      <c r="BH257"/>
      <c r="BI257"/>
      <c r="BJ257"/>
      <c r="BK257"/>
      <c r="BL257"/>
      <c r="BM257"/>
      <c r="BN257"/>
      <c r="BO257"/>
      <c r="BP257"/>
      <c r="BQ257"/>
      <c r="BR257"/>
      <c r="BS257"/>
      <c r="BT257"/>
      <c r="BU257"/>
      <c r="BV257"/>
      <c r="BW257"/>
      <c r="BX257"/>
      <c r="BY257"/>
      <c r="BZ257"/>
      <c r="CA257"/>
      <c r="CB257"/>
      <c r="CC257"/>
    </row>
    <row r="258" spans="1:81" x14ac:dyDescent="0.25">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c r="AI258"/>
      <c r="AJ258"/>
      <c r="AK258"/>
      <c r="AL258"/>
      <c r="AM258"/>
      <c r="AN258"/>
      <c r="AO258"/>
      <c r="AP258"/>
      <c r="AQ258"/>
      <c r="AR258"/>
      <c r="AS258"/>
      <c r="AT258"/>
      <c r="AU258"/>
      <c r="AV258"/>
      <c r="AW258"/>
      <c r="AX258"/>
      <c r="AY258"/>
      <c r="AZ258"/>
      <c r="BA258"/>
      <c r="BB258"/>
      <c r="BC258"/>
      <c r="BD258"/>
      <c r="BE258"/>
      <c r="BF258"/>
      <c r="BG258"/>
      <c r="BH258"/>
      <c r="BI258"/>
      <c r="BJ258"/>
      <c r="BK258"/>
      <c r="BL258"/>
      <c r="BM258"/>
      <c r="BN258"/>
      <c r="BO258"/>
      <c r="BP258"/>
      <c r="BQ258"/>
      <c r="BR258"/>
      <c r="BS258"/>
      <c r="BT258"/>
      <c r="BU258"/>
      <c r="BV258"/>
      <c r="BW258"/>
      <c r="BX258"/>
      <c r="BY258"/>
      <c r="BZ258"/>
      <c r="CA258"/>
      <c r="CB258"/>
      <c r="CC258"/>
    </row>
    <row r="259" spans="1:81" x14ac:dyDescent="0.25">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c r="AI259"/>
      <c r="AJ259"/>
      <c r="AK259"/>
      <c r="AL259"/>
      <c r="AM259"/>
      <c r="AN259"/>
      <c r="AO259"/>
      <c r="AP259"/>
      <c r="AQ259"/>
      <c r="AR259"/>
      <c r="AS259"/>
      <c r="AT259"/>
      <c r="AU259"/>
      <c r="AV259"/>
      <c r="AW259"/>
      <c r="AX259"/>
      <c r="AY259"/>
      <c r="AZ259"/>
      <c r="BA259"/>
      <c r="BB259"/>
      <c r="BC259"/>
      <c r="BD259"/>
      <c r="BE259"/>
      <c r="BF259"/>
      <c r="BG259"/>
      <c r="BH259"/>
      <c r="BI259"/>
      <c r="BJ259"/>
      <c r="BK259"/>
      <c r="BL259"/>
      <c r="BM259"/>
      <c r="BN259"/>
      <c r="BO259"/>
      <c r="BP259"/>
      <c r="BQ259"/>
      <c r="BR259"/>
      <c r="BS259"/>
      <c r="BT259"/>
      <c r="BU259"/>
      <c r="BV259"/>
      <c r="BW259"/>
      <c r="BX259"/>
      <c r="BY259"/>
      <c r="BZ259"/>
      <c r="CA259"/>
      <c r="CB259"/>
      <c r="CC259"/>
    </row>
    <row r="260" spans="1:81" x14ac:dyDescent="0.25">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c r="AI260"/>
      <c r="AJ260"/>
      <c r="AK260"/>
      <c r="AL260"/>
      <c r="AM260"/>
      <c r="AN260"/>
      <c r="AO260"/>
      <c r="AP260"/>
      <c r="AQ260"/>
      <c r="AR260"/>
      <c r="AS260"/>
      <c r="AT260"/>
      <c r="AU260"/>
      <c r="AV260"/>
      <c r="AW260"/>
      <c r="AX260"/>
      <c r="AY260"/>
      <c r="AZ260"/>
      <c r="BA260"/>
      <c r="BB260"/>
      <c r="BC260"/>
      <c r="BD260"/>
      <c r="BE260"/>
      <c r="BF260"/>
      <c r="BG260"/>
      <c r="BH260"/>
      <c r="BI260"/>
      <c r="BJ260"/>
      <c r="BK260"/>
      <c r="BL260"/>
      <c r="BM260"/>
      <c r="BN260"/>
      <c r="BO260"/>
      <c r="BP260"/>
      <c r="BQ260"/>
      <c r="BR260"/>
      <c r="BS260"/>
      <c r="BT260"/>
      <c r="BU260"/>
      <c r="BV260"/>
      <c r="BW260"/>
      <c r="BX260"/>
      <c r="BY260"/>
      <c r="BZ260"/>
      <c r="CA260"/>
      <c r="CB260"/>
      <c r="CC260"/>
    </row>
    <row r="261" spans="1:81" x14ac:dyDescent="0.25">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c r="AI261"/>
      <c r="AJ261"/>
      <c r="AK261"/>
      <c r="AL261"/>
      <c r="AM261"/>
      <c r="AN261"/>
      <c r="AO261"/>
      <c r="AP261"/>
      <c r="AQ261"/>
      <c r="AR261"/>
      <c r="AS261"/>
      <c r="AT261"/>
      <c r="AU261"/>
      <c r="AV261"/>
      <c r="AW261"/>
      <c r="AX261"/>
      <c r="AY261"/>
      <c r="AZ261"/>
      <c r="BA261"/>
      <c r="BB261"/>
      <c r="BC261"/>
      <c r="BD261"/>
      <c r="BE261"/>
      <c r="BF261"/>
      <c r="BG261"/>
      <c r="BH261"/>
      <c r="BI261"/>
      <c r="BJ261"/>
      <c r="BK261"/>
      <c r="BL261"/>
      <c r="BM261"/>
      <c r="BN261"/>
      <c r="BO261"/>
      <c r="BP261"/>
      <c r="BQ261"/>
      <c r="BR261"/>
      <c r="BS261"/>
      <c r="BT261"/>
      <c r="BU261"/>
      <c r="BV261"/>
      <c r="BW261"/>
      <c r="BX261"/>
      <c r="BY261"/>
      <c r="BZ261"/>
      <c r="CA261"/>
      <c r="CB261"/>
      <c r="CC261"/>
    </row>
    <row r="262" spans="1:81" x14ac:dyDescent="0.25">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c r="AI262"/>
      <c r="AJ262"/>
      <c r="AK262"/>
      <c r="AL262"/>
      <c r="AM262"/>
      <c r="AN262"/>
      <c r="AO262"/>
      <c r="AP262"/>
      <c r="AQ262"/>
      <c r="AR262"/>
      <c r="AS262"/>
      <c r="AT262"/>
      <c r="AU262"/>
      <c r="AV262"/>
      <c r="AW262"/>
      <c r="AX262"/>
      <c r="AY262"/>
      <c r="AZ262"/>
      <c r="BA262"/>
      <c r="BB262"/>
      <c r="BC262"/>
      <c r="BD262"/>
      <c r="BE262"/>
      <c r="BF262"/>
      <c r="BG262"/>
      <c r="BH262"/>
      <c r="BI262"/>
      <c r="BJ262"/>
      <c r="BK262"/>
      <c r="BL262"/>
      <c r="BM262"/>
      <c r="BN262"/>
      <c r="BO262"/>
      <c r="BP262"/>
      <c r="BQ262"/>
      <c r="BR262"/>
      <c r="BS262"/>
      <c r="BT262"/>
      <c r="BU262"/>
      <c r="BV262"/>
      <c r="BW262"/>
      <c r="BX262"/>
      <c r="BY262"/>
      <c r="BZ262"/>
      <c r="CA262"/>
      <c r="CB262"/>
      <c r="CC262"/>
    </row>
    <row r="263" spans="1:81" x14ac:dyDescent="0.25">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c r="AI263"/>
      <c r="AJ263"/>
      <c r="AK263"/>
      <c r="AL263"/>
      <c r="AM263"/>
      <c r="AN263"/>
      <c r="AO263"/>
      <c r="AP263"/>
      <c r="AQ263"/>
      <c r="AR263"/>
      <c r="AS263"/>
      <c r="AT263"/>
      <c r="AU263"/>
      <c r="AV263"/>
      <c r="AW263"/>
      <c r="AX263"/>
      <c r="AY263"/>
      <c r="AZ263"/>
      <c r="BA263"/>
      <c r="BB263"/>
      <c r="BC263"/>
      <c r="BD263"/>
      <c r="BE263"/>
      <c r="BF263"/>
      <c r="BG263"/>
      <c r="BH263"/>
      <c r="BI263"/>
      <c r="BJ263"/>
      <c r="BK263"/>
      <c r="BL263"/>
      <c r="BM263"/>
      <c r="BN263"/>
      <c r="BO263"/>
      <c r="BP263"/>
      <c r="BQ263"/>
      <c r="BR263"/>
      <c r="BS263"/>
      <c r="BT263"/>
      <c r="BU263"/>
      <c r="BV263"/>
      <c r="BW263"/>
      <c r="BX263"/>
      <c r="BY263"/>
      <c r="BZ263"/>
      <c r="CA263"/>
      <c r="CB263"/>
      <c r="CC263"/>
    </row>
    <row r="264" spans="1:81" x14ac:dyDescent="0.25">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c r="AI264"/>
      <c r="AJ264"/>
      <c r="AK264"/>
      <c r="AL264"/>
      <c r="AM264"/>
      <c r="AN264"/>
      <c r="AO264"/>
      <c r="AP264"/>
      <c r="AQ264"/>
      <c r="AR264"/>
      <c r="AS264"/>
      <c r="AT264"/>
      <c r="AU264"/>
      <c r="AV264"/>
      <c r="AW264"/>
      <c r="AX264"/>
      <c r="AY264"/>
      <c r="AZ264"/>
      <c r="BA264"/>
      <c r="BB264"/>
      <c r="BC264"/>
      <c r="BD264"/>
      <c r="BE264"/>
      <c r="BF264"/>
      <c r="BG264"/>
      <c r="BH264"/>
      <c r="BI264"/>
      <c r="BJ264"/>
      <c r="BK264"/>
      <c r="BL264"/>
      <c r="BM264"/>
      <c r="BN264"/>
      <c r="BO264"/>
      <c r="BP264"/>
      <c r="BQ264"/>
      <c r="BR264"/>
      <c r="BS264"/>
      <c r="BT264"/>
      <c r="BU264"/>
      <c r="BV264"/>
      <c r="BW264"/>
      <c r="BX264"/>
      <c r="BY264"/>
      <c r="BZ264"/>
      <c r="CA264"/>
      <c r="CB264"/>
      <c r="CC264"/>
    </row>
    <row r="265" spans="1:81" x14ac:dyDescent="0.25">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c r="AI265"/>
      <c r="AJ265"/>
      <c r="AK265"/>
      <c r="AL265"/>
      <c r="AM265"/>
      <c r="AN265"/>
      <c r="AO265"/>
      <c r="AP265"/>
      <c r="AQ265"/>
      <c r="AR265"/>
      <c r="AS265"/>
      <c r="AT265"/>
      <c r="AU265"/>
      <c r="AV265"/>
      <c r="AW265"/>
      <c r="AX265"/>
      <c r="AY265"/>
      <c r="AZ265"/>
      <c r="BA265"/>
      <c r="BB265"/>
      <c r="BC265"/>
      <c r="BD265"/>
      <c r="BE265"/>
      <c r="BF265"/>
      <c r="BG265"/>
      <c r="BH265"/>
      <c r="BI265"/>
      <c r="BJ265"/>
      <c r="BK265"/>
      <c r="BL265"/>
      <c r="BM265"/>
      <c r="BN265"/>
      <c r="BO265"/>
      <c r="BP265"/>
      <c r="BQ265"/>
      <c r="BR265"/>
      <c r="BS265"/>
      <c r="BT265"/>
      <c r="BU265"/>
      <c r="BV265"/>
      <c r="BW265"/>
      <c r="BX265"/>
      <c r="BY265"/>
      <c r="BZ265"/>
      <c r="CA265"/>
      <c r="CB265"/>
      <c r="CC265"/>
    </row>
    <row r="266" spans="1:81" x14ac:dyDescent="0.25">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c r="AI266"/>
      <c r="AJ266"/>
      <c r="AK266"/>
      <c r="AL266"/>
      <c r="AM266"/>
      <c r="AN266"/>
      <c r="AO266"/>
      <c r="AP266"/>
      <c r="AQ266"/>
      <c r="AR266"/>
      <c r="AS266"/>
      <c r="AT266"/>
      <c r="AU266"/>
      <c r="AV266"/>
      <c r="AW266"/>
      <c r="AX266"/>
      <c r="AY266"/>
      <c r="AZ266"/>
      <c r="BA266"/>
      <c r="BB266"/>
      <c r="BC266"/>
      <c r="BD266"/>
      <c r="BE266"/>
      <c r="BF266"/>
      <c r="BG266"/>
      <c r="BH266"/>
      <c r="BI266"/>
      <c r="BJ266"/>
      <c r="BK266"/>
      <c r="BL266"/>
      <c r="BM266"/>
      <c r="BN266"/>
      <c r="BO266"/>
      <c r="BP266"/>
      <c r="BQ266"/>
      <c r="BR266"/>
      <c r="BS266"/>
      <c r="BT266"/>
      <c r="BU266"/>
      <c r="BV266"/>
      <c r="BW266"/>
      <c r="BX266"/>
      <c r="BY266"/>
      <c r="BZ266"/>
      <c r="CA266"/>
      <c r="CB266"/>
      <c r="CC266"/>
    </row>
    <row r="267" spans="1:81" x14ac:dyDescent="0.25">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c r="AI267"/>
      <c r="AJ267"/>
      <c r="AK267"/>
      <c r="AL267"/>
      <c r="AM267"/>
      <c r="AN267"/>
      <c r="AO267"/>
      <c r="AP267"/>
      <c r="AQ267"/>
      <c r="AR267"/>
      <c r="AS267"/>
      <c r="AT267"/>
      <c r="AU267"/>
      <c r="AV267"/>
      <c r="AW267"/>
      <c r="AX267"/>
      <c r="AY267"/>
      <c r="AZ267"/>
      <c r="BA267"/>
      <c r="BB267"/>
      <c r="BC267"/>
      <c r="BD267"/>
      <c r="BE267"/>
      <c r="BF267"/>
      <c r="BG267"/>
      <c r="BH267"/>
      <c r="BI267"/>
      <c r="BJ267"/>
      <c r="BK267"/>
      <c r="BL267"/>
      <c r="BM267"/>
      <c r="BN267"/>
      <c r="BO267"/>
      <c r="BP267"/>
      <c r="BQ267"/>
      <c r="BR267"/>
      <c r="BS267"/>
      <c r="BT267"/>
      <c r="BU267"/>
      <c r="BV267"/>
      <c r="BW267"/>
      <c r="BX267"/>
      <c r="BY267"/>
      <c r="BZ267"/>
      <c r="CA267"/>
      <c r="CB267"/>
      <c r="CC267"/>
    </row>
    <row r="268" spans="1:81" x14ac:dyDescent="0.25">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c r="AI268"/>
      <c r="AJ268"/>
      <c r="AK268"/>
      <c r="AL268"/>
      <c r="AM268"/>
      <c r="AN268"/>
      <c r="AO268"/>
      <c r="AP268"/>
      <c r="AQ268"/>
      <c r="AR268"/>
      <c r="AS268"/>
      <c r="AT268"/>
      <c r="AU268"/>
      <c r="AV268"/>
      <c r="AW268"/>
      <c r="AX268"/>
      <c r="AY268"/>
      <c r="AZ268"/>
      <c r="BA268"/>
      <c r="BB268"/>
      <c r="BC268"/>
      <c r="BD268"/>
      <c r="BE268"/>
      <c r="BF268"/>
      <c r="BG268"/>
      <c r="BH268"/>
      <c r="BI268"/>
      <c r="BJ268"/>
      <c r="BK268"/>
      <c r="BL268"/>
      <c r="BM268"/>
      <c r="BN268"/>
      <c r="BO268"/>
      <c r="BP268"/>
      <c r="BQ268"/>
      <c r="BR268"/>
      <c r="BS268"/>
      <c r="BT268"/>
      <c r="BU268"/>
      <c r="BV268"/>
      <c r="BW268"/>
      <c r="BX268"/>
      <c r="BY268"/>
      <c r="BZ268"/>
      <c r="CA268"/>
      <c r="CB268"/>
      <c r="CC268"/>
    </row>
    <row r="269" spans="1:81" x14ac:dyDescent="0.25">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c r="AI269"/>
      <c r="AJ269"/>
      <c r="AK269"/>
      <c r="AL269"/>
      <c r="AM269"/>
      <c r="AN269"/>
      <c r="AO269"/>
      <c r="AP269"/>
      <c r="AQ269"/>
      <c r="AR269"/>
      <c r="AS269"/>
      <c r="AT269"/>
      <c r="AU269"/>
      <c r="AV269"/>
      <c r="AW269"/>
      <c r="AX269"/>
      <c r="AY269"/>
      <c r="AZ269"/>
      <c r="BA269"/>
      <c r="BB269"/>
      <c r="BC269"/>
      <c r="BD269"/>
      <c r="BE269"/>
      <c r="BF269"/>
      <c r="BG269"/>
      <c r="BH269"/>
      <c r="BI269"/>
      <c r="BJ269"/>
      <c r="BK269"/>
      <c r="BL269"/>
      <c r="BM269"/>
      <c r="BN269"/>
      <c r="BO269"/>
      <c r="BP269"/>
      <c r="BQ269"/>
      <c r="BR269"/>
      <c r="BS269"/>
      <c r="BT269"/>
      <c r="BU269"/>
      <c r="BV269"/>
      <c r="BW269"/>
      <c r="BX269"/>
      <c r="BY269"/>
      <c r="BZ269"/>
      <c r="CA269"/>
      <c r="CB269"/>
      <c r="CC269"/>
    </row>
    <row r="270" spans="1:81" x14ac:dyDescent="0.25">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c r="AI270"/>
      <c r="AJ270"/>
      <c r="AK270"/>
      <c r="AL270"/>
      <c r="AM270"/>
      <c r="AN270"/>
      <c r="AO270"/>
      <c r="AP270"/>
      <c r="AQ270"/>
      <c r="AR270"/>
      <c r="AS270"/>
      <c r="AT270"/>
      <c r="AU270"/>
      <c r="AV270"/>
      <c r="AW270"/>
      <c r="AX270"/>
      <c r="AY270"/>
      <c r="AZ270"/>
      <c r="BA270"/>
      <c r="BB270"/>
      <c r="BC270"/>
      <c r="BD270"/>
      <c r="BE270"/>
      <c r="BF270"/>
      <c r="BG270"/>
      <c r="BH270"/>
      <c r="BI270"/>
      <c r="BJ270"/>
      <c r="BK270"/>
      <c r="BL270"/>
      <c r="BM270"/>
      <c r="BN270"/>
      <c r="BO270"/>
      <c r="BP270"/>
      <c r="BQ270"/>
      <c r="BR270"/>
      <c r="BS270"/>
      <c r="BT270"/>
      <c r="BU270"/>
      <c r="BV270"/>
      <c r="BW270"/>
      <c r="BX270"/>
      <c r="BY270"/>
      <c r="BZ270"/>
      <c r="CA270"/>
      <c r="CB270"/>
      <c r="CC270"/>
    </row>
    <row r="271" spans="1:81" x14ac:dyDescent="0.25">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c r="AI271"/>
      <c r="AJ271"/>
      <c r="AK271"/>
      <c r="AL271"/>
      <c r="AM271"/>
      <c r="AN271"/>
      <c r="AO271"/>
      <c r="AP271"/>
      <c r="AQ271"/>
      <c r="AR271"/>
      <c r="AS271"/>
      <c r="AT271"/>
      <c r="AU271"/>
      <c r="AV271"/>
      <c r="AW271"/>
      <c r="AX271"/>
      <c r="AY271"/>
      <c r="AZ271"/>
      <c r="BA271"/>
      <c r="BB271"/>
      <c r="BC271"/>
      <c r="BD271"/>
      <c r="BE271"/>
      <c r="BF271"/>
      <c r="BG271"/>
      <c r="BH271"/>
      <c r="BI271"/>
      <c r="BJ271"/>
      <c r="BK271"/>
      <c r="BL271"/>
      <c r="BM271"/>
      <c r="BN271"/>
      <c r="BO271"/>
      <c r="BP271"/>
      <c r="BQ271"/>
      <c r="BR271"/>
      <c r="BS271"/>
      <c r="BT271"/>
      <c r="BU271"/>
      <c r="BV271"/>
      <c r="BW271"/>
      <c r="BX271"/>
      <c r="BY271"/>
      <c r="BZ271"/>
      <c r="CA271"/>
      <c r="CB271"/>
      <c r="CC271"/>
    </row>
    <row r="272" spans="1:81" x14ac:dyDescent="0.25">
      <c r="A272"/>
      <c r="B272"/>
      <c r="C272"/>
      <c r="D272"/>
      <c r="E272"/>
      <c r="F272"/>
      <c r="G272"/>
      <c r="H272"/>
      <c r="I272"/>
      <c r="J272"/>
      <c r="K272"/>
      <c r="L272"/>
      <c r="M272"/>
      <c r="N272"/>
      <c r="O272"/>
      <c r="P272"/>
      <c r="Q272"/>
      <c r="R272"/>
      <c r="S272"/>
      <c r="T272"/>
      <c r="U272"/>
      <c r="V272"/>
      <c r="W272"/>
      <c r="X272"/>
      <c r="Y272"/>
      <c r="Z272"/>
      <c r="AA272"/>
      <c r="AB272"/>
      <c r="AC272"/>
      <c r="AD272"/>
      <c r="AE272"/>
      <c r="AF272"/>
      <c r="AG272"/>
      <c r="AH272"/>
      <c r="AI272"/>
      <c r="AJ272"/>
      <c r="AK272"/>
      <c r="AL272"/>
      <c r="AM272"/>
      <c r="AN272"/>
      <c r="AO272"/>
      <c r="AP272"/>
      <c r="AQ272"/>
      <c r="AR272"/>
      <c r="AS272"/>
      <c r="AT272"/>
      <c r="AU272"/>
      <c r="AV272"/>
      <c r="AW272"/>
      <c r="AX272"/>
      <c r="AY272"/>
      <c r="AZ272"/>
      <c r="BA272"/>
      <c r="BB272"/>
      <c r="BC272"/>
      <c r="BD272"/>
      <c r="BE272"/>
      <c r="BF272"/>
      <c r="BG272"/>
      <c r="BH272"/>
      <c r="BI272"/>
      <c r="BJ272"/>
      <c r="BK272"/>
      <c r="BL272"/>
      <c r="BM272"/>
      <c r="BN272"/>
      <c r="BO272"/>
      <c r="BP272"/>
      <c r="BQ272"/>
      <c r="BR272"/>
      <c r="BS272"/>
      <c r="BT272"/>
      <c r="BU272"/>
      <c r="BV272"/>
      <c r="BW272"/>
      <c r="BX272"/>
      <c r="BY272"/>
      <c r="BZ272"/>
      <c r="CA272"/>
      <c r="CB272"/>
      <c r="CC272"/>
    </row>
    <row r="273" spans="1:81" x14ac:dyDescent="0.25">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c r="AI273"/>
      <c r="AJ273"/>
      <c r="AK273"/>
      <c r="AL273"/>
      <c r="AM273"/>
      <c r="AN273"/>
      <c r="AO273"/>
      <c r="AP273"/>
      <c r="AQ273"/>
      <c r="AR273"/>
      <c r="AS273"/>
      <c r="AT273"/>
      <c r="AU273"/>
      <c r="AV273"/>
      <c r="AW273"/>
      <c r="AX273"/>
      <c r="AY273"/>
      <c r="AZ273"/>
      <c r="BA273"/>
      <c r="BB273"/>
      <c r="BC273"/>
      <c r="BD273"/>
      <c r="BE273"/>
      <c r="BF273"/>
      <c r="BG273"/>
      <c r="BH273"/>
      <c r="BI273"/>
      <c r="BJ273"/>
      <c r="BK273"/>
      <c r="BL273"/>
      <c r="BM273"/>
      <c r="BN273"/>
      <c r="BO273"/>
      <c r="BP273"/>
      <c r="BQ273"/>
      <c r="BR273"/>
      <c r="BS273"/>
      <c r="BT273"/>
      <c r="BU273"/>
      <c r="BV273"/>
      <c r="BW273"/>
      <c r="BX273"/>
      <c r="BY273"/>
      <c r="BZ273"/>
      <c r="CA273"/>
      <c r="CB273"/>
      <c r="CC273"/>
    </row>
    <row r="274" spans="1:81" x14ac:dyDescent="0.25">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c r="AI274"/>
      <c r="AJ274"/>
      <c r="AK274"/>
      <c r="AL274"/>
      <c r="AM274"/>
      <c r="AN274"/>
      <c r="AO274"/>
      <c r="AP274"/>
      <c r="AQ274"/>
      <c r="AR274"/>
      <c r="AS274"/>
      <c r="AT274"/>
      <c r="AU274"/>
      <c r="AV274"/>
      <c r="AW274"/>
      <c r="AX274"/>
      <c r="AY274"/>
      <c r="AZ274"/>
      <c r="BA274"/>
      <c r="BB274"/>
      <c r="BC274"/>
      <c r="BD274"/>
      <c r="BE274"/>
      <c r="BF274"/>
      <c r="BG274"/>
      <c r="BH274"/>
      <c r="BI274"/>
      <c r="BJ274"/>
      <c r="BK274"/>
      <c r="BL274"/>
      <c r="BM274"/>
      <c r="BN274"/>
      <c r="BO274"/>
      <c r="BP274"/>
      <c r="BQ274"/>
      <c r="BR274"/>
      <c r="BS274"/>
      <c r="BT274"/>
      <c r="BU274"/>
      <c r="BV274"/>
      <c r="BW274"/>
      <c r="BX274"/>
      <c r="BY274"/>
      <c r="BZ274"/>
      <c r="CA274"/>
      <c r="CB274"/>
      <c r="CC274"/>
    </row>
    <row r="275" spans="1:81" x14ac:dyDescent="0.25">
      <c r="A275"/>
      <c r="B275"/>
      <c r="C275"/>
      <c r="D275"/>
      <c r="E275"/>
      <c r="F275"/>
      <c r="G275"/>
      <c r="H275"/>
      <c r="I275"/>
      <c r="J275"/>
      <c r="K275"/>
      <c r="L275"/>
      <c r="M275"/>
      <c r="N275"/>
      <c r="O275"/>
      <c r="P275"/>
      <c r="Q275"/>
      <c r="R275"/>
      <c r="S275"/>
      <c r="T275"/>
      <c r="U275"/>
      <c r="V275"/>
      <c r="W275"/>
      <c r="X275"/>
      <c r="Y275"/>
      <c r="Z275"/>
      <c r="AA275"/>
      <c r="AB275"/>
      <c r="AC275"/>
      <c r="AD275"/>
      <c r="AE275"/>
      <c r="AF275"/>
      <c r="AG275"/>
      <c r="AH275"/>
      <c r="AI275"/>
      <c r="AJ275"/>
      <c r="AK275"/>
      <c r="AL275"/>
      <c r="AM275"/>
      <c r="AN275"/>
      <c r="AO275"/>
      <c r="AP275"/>
      <c r="AQ275"/>
      <c r="AR275"/>
      <c r="AS275"/>
      <c r="AT275"/>
      <c r="AU275"/>
      <c r="AV275"/>
      <c r="AW275"/>
      <c r="AX275"/>
      <c r="AY275"/>
      <c r="AZ275"/>
      <c r="BA275"/>
      <c r="BB275"/>
      <c r="BC275"/>
      <c r="BD275"/>
      <c r="BE275"/>
      <c r="BF275"/>
      <c r="BG275"/>
      <c r="BH275"/>
      <c r="BI275"/>
      <c r="BJ275"/>
      <c r="BK275"/>
      <c r="BL275"/>
      <c r="BM275"/>
      <c r="BN275"/>
      <c r="BO275"/>
      <c r="BP275"/>
      <c r="BQ275"/>
      <c r="BR275"/>
      <c r="BS275"/>
      <c r="BT275"/>
      <c r="BU275"/>
      <c r="BV275"/>
      <c r="BW275"/>
      <c r="BX275"/>
      <c r="BY275"/>
      <c r="BZ275"/>
      <c r="CA275"/>
      <c r="CB275"/>
      <c r="CC275"/>
    </row>
    <row r="276" spans="1:81" x14ac:dyDescent="0.25">
      <c r="A276"/>
      <c r="B276"/>
      <c r="C276"/>
      <c r="D276"/>
      <c r="E276"/>
      <c r="F276"/>
      <c r="G276"/>
      <c r="H276"/>
      <c r="I276"/>
      <c r="J276"/>
      <c r="K276"/>
      <c r="L276"/>
      <c r="M276"/>
      <c r="N276"/>
      <c r="O276"/>
      <c r="P276"/>
      <c r="Q276"/>
      <c r="R276"/>
      <c r="S276"/>
      <c r="T276"/>
      <c r="U276"/>
      <c r="V276"/>
      <c r="W276"/>
      <c r="X276"/>
      <c r="Y276"/>
      <c r="Z276"/>
      <c r="AA276"/>
      <c r="AB276"/>
      <c r="AC276"/>
      <c r="AD276"/>
      <c r="AE276"/>
      <c r="AF276"/>
      <c r="AG276"/>
      <c r="AH276"/>
      <c r="AI276"/>
      <c r="AJ276"/>
      <c r="AK276"/>
      <c r="AL276"/>
      <c r="AM276"/>
      <c r="AN276"/>
      <c r="AO276"/>
      <c r="AP276"/>
      <c r="AQ276"/>
      <c r="AR276"/>
      <c r="AS276"/>
      <c r="AT276"/>
      <c r="AU276"/>
      <c r="AV276"/>
      <c r="AW276"/>
      <c r="AX276"/>
      <c r="AY276"/>
      <c r="AZ276"/>
      <c r="BA276"/>
      <c r="BB276"/>
      <c r="BC276"/>
      <c r="BD276"/>
      <c r="BE276"/>
      <c r="BF276"/>
      <c r="BG276"/>
      <c r="BH276"/>
      <c r="BI276"/>
      <c r="BJ276"/>
      <c r="BK276"/>
      <c r="BL276"/>
      <c r="BM276"/>
      <c r="BN276"/>
      <c r="BO276"/>
      <c r="BP276"/>
      <c r="BQ276"/>
      <c r="BR276"/>
      <c r="BS276"/>
      <c r="BT276"/>
      <c r="BU276"/>
      <c r="BV276"/>
      <c r="BW276"/>
      <c r="BX276"/>
      <c r="BY276"/>
      <c r="BZ276"/>
      <c r="CA276"/>
      <c r="CB276"/>
      <c r="CC276"/>
    </row>
    <row r="277" spans="1:81" x14ac:dyDescent="0.25">
      <c r="A277"/>
      <c r="B277"/>
      <c r="C277"/>
      <c r="D277"/>
      <c r="E277"/>
      <c r="F277"/>
      <c r="G277"/>
      <c r="H277"/>
      <c r="I277"/>
      <c r="J277"/>
      <c r="K277"/>
      <c r="L277"/>
      <c r="M277"/>
      <c r="N277"/>
      <c r="O277"/>
      <c r="P277"/>
      <c r="Q277"/>
      <c r="R277"/>
      <c r="S277"/>
      <c r="T277"/>
      <c r="U277"/>
      <c r="V277"/>
      <c r="W277"/>
      <c r="X277"/>
      <c r="Y277"/>
      <c r="Z277"/>
      <c r="AA277"/>
      <c r="AB277"/>
      <c r="AC277"/>
      <c r="AD277"/>
      <c r="AE277"/>
      <c r="AF277"/>
      <c r="AG277"/>
      <c r="AH277"/>
      <c r="AI277"/>
      <c r="AJ277"/>
      <c r="AK277"/>
      <c r="AL277"/>
      <c r="AM277"/>
      <c r="AN277"/>
      <c r="AO277"/>
      <c r="AP277"/>
      <c r="AQ277"/>
      <c r="AR277"/>
      <c r="AS277"/>
      <c r="AT277"/>
      <c r="AU277"/>
      <c r="AV277"/>
      <c r="AW277"/>
      <c r="AX277"/>
      <c r="AY277"/>
      <c r="AZ277"/>
      <c r="BA277"/>
      <c r="BB277"/>
      <c r="BC277"/>
      <c r="BD277"/>
      <c r="BE277"/>
      <c r="BF277"/>
      <c r="BG277"/>
      <c r="BH277"/>
      <c r="BI277"/>
      <c r="BJ277"/>
      <c r="BK277"/>
      <c r="BL277"/>
      <c r="BM277"/>
      <c r="BN277"/>
      <c r="BO277"/>
      <c r="BP277"/>
      <c r="BQ277"/>
      <c r="BR277"/>
      <c r="BS277"/>
      <c r="BT277"/>
      <c r="BU277"/>
      <c r="BV277"/>
      <c r="BW277"/>
      <c r="BX277"/>
      <c r="BY277"/>
      <c r="BZ277"/>
      <c r="CA277"/>
      <c r="CB277"/>
      <c r="CC277"/>
    </row>
    <row r="278" spans="1:81" x14ac:dyDescent="0.25">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c r="AI278"/>
      <c r="AJ278"/>
      <c r="AK278"/>
      <c r="AL278"/>
      <c r="AM278"/>
      <c r="AN278"/>
      <c r="AO278"/>
      <c r="AP278"/>
      <c r="AQ278"/>
      <c r="AR278"/>
      <c r="AS278"/>
      <c r="AT278"/>
      <c r="AU278"/>
      <c r="AV278"/>
      <c r="AW278"/>
      <c r="AX278"/>
      <c r="AY278"/>
      <c r="AZ278"/>
      <c r="BA278"/>
      <c r="BB278"/>
      <c r="BC278"/>
      <c r="BD278"/>
      <c r="BE278"/>
      <c r="BF278"/>
      <c r="BG278"/>
      <c r="BH278"/>
      <c r="BI278"/>
      <c r="BJ278"/>
      <c r="BK278"/>
      <c r="BL278"/>
      <c r="BM278"/>
      <c r="BN278"/>
      <c r="BO278"/>
      <c r="BP278"/>
      <c r="BQ278"/>
      <c r="BR278"/>
      <c r="BS278"/>
      <c r="BT278"/>
      <c r="BU278"/>
      <c r="BV278"/>
      <c r="BW278"/>
      <c r="BX278"/>
      <c r="BY278"/>
      <c r="BZ278"/>
      <c r="CA278"/>
      <c r="CB278"/>
      <c r="CC278"/>
    </row>
    <row r="279" spans="1:81" x14ac:dyDescent="0.25">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c r="AI279"/>
      <c r="AJ279"/>
      <c r="AK279"/>
      <c r="AL279"/>
      <c r="AM279"/>
      <c r="AN279"/>
      <c r="AO279"/>
      <c r="AP279"/>
      <c r="AQ279"/>
      <c r="AR279"/>
      <c r="AS279"/>
      <c r="AT279"/>
      <c r="AU279"/>
      <c r="AV279"/>
      <c r="AW279"/>
      <c r="AX279"/>
      <c r="AY279"/>
      <c r="AZ279"/>
      <c r="BA279"/>
      <c r="BB279"/>
      <c r="BC279"/>
      <c r="BD279"/>
      <c r="BE279"/>
      <c r="BF279"/>
      <c r="BG279"/>
      <c r="BH279"/>
      <c r="BI279"/>
      <c r="BJ279"/>
      <c r="BK279"/>
      <c r="BL279"/>
      <c r="BM279"/>
      <c r="BN279"/>
      <c r="BO279"/>
      <c r="BP279"/>
      <c r="BQ279"/>
      <c r="BR279"/>
      <c r="BS279"/>
      <c r="BT279"/>
      <c r="BU279"/>
      <c r="BV279"/>
      <c r="BW279"/>
      <c r="BX279"/>
      <c r="BY279"/>
      <c r="BZ279"/>
      <c r="CA279"/>
      <c r="CB279"/>
      <c r="CC279"/>
    </row>
    <row r="280" spans="1:81" x14ac:dyDescent="0.25">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c r="AI280"/>
      <c r="AJ280"/>
      <c r="AK280"/>
      <c r="AL280"/>
      <c r="AM280"/>
      <c r="AN280"/>
      <c r="AO280"/>
      <c r="AP280"/>
      <c r="AQ280"/>
      <c r="AR280"/>
      <c r="AS280"/>
      <c r="AT280"/>
      <c r="AU280"/>
      <c r="AV280"/>
      <c r="AW280"/>
      <c r="AX280"/>
      <c r="AY280"/>
      <c r="AZ280"/>
      <c r="BA280"/>
      <c r="BB280"/>
      <c r="BC280"/>
      <c r="BD280"/>
      <c r="BE280"/>
      <c r="BF280"/>
      <c r="BG280"/>
      <c r="BH280"/>
      <c r="BI280"/>
      <c r="BJ280"/>
      <c r="BK280"/>
      <c r="BL280"/>
      <c r="BM280"/>
      <c r="BN280"/>
      <c r="BO280"/>
      <c r="BP280"/>
      <c r="BQ280"/>
      <c r="BR280"/>
      <c r="BS280"/>
      <c r="BT280"/>
      <c r="BU280"/>
      <c r="BV280"/>
      <c r="BW280"/>
      <c r="BX280"/>
      <c r="BY280"/>
      <c r="BZ280"/>
      <c r="CA280"/>
      <c r="CB280"/>
      <c r="CC280"/>
    </row>
    <row r="281" spans="1:81" x14ac:dyDescent="0.25">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c r="AI281"/>
      <c r="AJ281"/>
      <c r="AK281"/>
      <c r="AL281"/>
      <c r="AM281"/>
      <c r="AN281"/>
      <c r="AO281"/>
      <c r="AP281"/>
      <c r="AQ281"/>
      <c r="AR281"/>
      <c r="AS281"/>
      <c r="AT281"/>
      <c r="AU281"/>
      <c r="AV281"/>
      <c r="AW281"/>
      <c r="AX281"/>
      <c r="AY281"/>
      <c r="AZ281"/>
      <c r="BA281"/>
      <c r="BB281"/>
      <c r="BC281"/>
      <c r="BD281"/>
      <c r="BE281"/>
      <c r="BF281"/>
      <c r="BG281"/>
      <c r="BH281"/>
      <c r="BI281"/>
      <c r="BJ281"/>
      <c r="BK281"/>
      <c r="BL281"/>
      <c r="BM281"/>
      <c r="BN281"/>
      <c r="BO281"/>
      <c r="BP281"/>
      <c r="BQ281"/>
      <c r="BR281"/>
      <c r="BS281"/>
      <c r="BT281"/>
      <c r="BU281"/>
      <c r="BV281"/>
      <c r="BW281"/>
      <c r="BX281"/>
      <c r="BY281"/>
      <c r="BZ281"/>
      <c r="CA281"/>
      <c r="CB281"/>
      <c r="CC281"/>
    </row>
    <row r="282" spans="1:81" x14ac:dyDescent="0.25">
      <c r="A282"/>
      <c r="B282"/>
      <c r="C282"/>
      <c r="D282"/>
      <c r="E282"/>
      <c r="F282"/>
      <c r="G282"/>
      <c r="H282"/>
      <c r="I282"/>
      <c r="J282"/>
      <c r="K282"/>
      <c r="L282"/>
      <c r="M282"/>
      <c r="N282"/>
      <c r="O282"/>
      <c r="P282"/>
      <c r="Q282"/>
      <c r="R282"/>
      <c r="S282"/>
      <c r="T282"/>
      <c r="U282"/>
      <c r="V282"/>
      <c r="W282"/>
      <c r="X282"/>
      <c r="Y282"/>
      <c r="Z282"/>
      <c r="AA282"/>
      <c r="AB282"/>
      <c r="AC282"/>
      <c r="AD282"/>
      <c r="AE282"/>
      <c r="AF282"/>
      <c r="AG282"/>
      <c r="AH282"/>
      <c r="AI282"/>
      <c r="AJ282"/>
      <c r="AK282"/>
      <c r="AL282"/>
      <c r="AM282"/>
      <c r="AN282"/>
      <c r="AO282"/>
      <c r="AP282"/>
      <c r="AQ282"/>
      <c r="AR282"/>
      <c r="AS282"/>
      <c r="AT282"/>
      <c r="AU282"/>
      <c r="AV282"/>
      <c r="AW282"/>
      <c r="AX282"/>
      <c r="AY282"/>
      <c r="AZ282"/>
      <c r="BA282"/>
      <c r="BB282"/>
      <c r="BC282"/>
      <c r="BD282"/>
      <c r="BE282"/>
      <c r="BF282"/>
      <c r="BG282"/>
      <c r="BH282"/>
      <c r="BI282"/>
      <c r="BJ282"/>
      <c r="BK282"/>
      <c r="BL282"/>
      <c r="BM282"/>
      <c r="BN282"/>
      <c r="BO282"/>
      <c r="BP282"/>
      <c r="BQ282"/>
      <c r="BR282"/>
      <c r="BS282"/>
      <c r="BT282"/>
      <c r="BU282"/>
      <c r="BV282"/>
      <c r="BW282"/>
      <c r="BX282"/>
      <c r="BY282"/>
      <c r="BZ282"/>
      <c r="CA282"/>
      <c r="CB282"/>
      <c r="CC282"/>
    </row>
    <row r="283" spans="1:81" x14ac:dyDescent="0.25">
      <c r="A283"/>
      <c r="B283"/>
      <c r="C283"/>
      <c r="D283"/>
      <c r="E283"/>
      <c r="F283"/>
      <c r="G283"/>
      <c r="H283"/>
      <c r="I283"/>
      <c r="J283"/>
      <c r="K283"/>
      <c r="L283"/>
      <c r="M283"/>
      <c r="N283"/>
      <c r="O283"/>
      <c r="P283"/>
      <c r="Q283"/>
      <c r="R283"/>
      <c r="S283"/>
      <c r="T283"/>
      <c r="U283"/>
      <c r="V283"/>
      <c r="W283"/>
      <c r="X283"/>
      <c r="Y283"/>
      <c r="Z283"/>
      <c r="AA283"/>
      <c r="AB283"/>
      <c r="AC283"/>
      <c r="AD283"/>
      <c r="AE283"/>
      <c r="AF283"/>
      <c r="AG283"/>
      <c r="AH283"/>
      <c r="AI283"/>
      <c r="AJ283"/>
      <c r="AK283"/>
      <c r="AL283"/>
      <c r="AM283"/>
      <c r="AN283"/>
      <c r="AO283"/>
      <c r="AP283"/>
      <c r="AQ283"/>
      <c r="AR283"/>
      <c r="AS283"/>
      <c r="AT283"/>
      <c r="AU283"/>
      <c r="AV283"/>
      <c r="AW283"/>
      <c r="AX283"/>
      <c r="AY283"/>
      <c r="AZ283"/>
      <c r="BA283"/>
      <c r="BB283"/>
      <c r="BC283"/>
      <c r="BD283"/>
      <c r="BE283"/>
      <c r="BF283"/>
      <c r="BG283"/>
      <c r="BH283"/>
      <c r="BI283"/>
      <c r="BJ283"/>
      <c r="BK283"/>
      <c r="BL283"/>
      <c r="BM283"/>
      <c r="BN283"/>
      <c r="BO283"/>
      <c r="BP283"/>
      <c r="BQ283"/>
      <c r="BR283"/>
      <c r="BS283"/>
      <c r="BT283"/>
      <c r="BU283"/>
      <c r="BV283"/>
      <c r="BW283"/>
      <c r="BX283"/>
      <c r="BY283"/>
      <c r="BZ283"/>
      <c r="CA283"/>
      <c r="CB283"/>
      <c r="CC283"/>
    </row>
    <row r="284" spans="1:81" x14ac:dyDescent="0.25">
      <c r="A284"/>
      <c r="B284"/>
      <c r="C284"/>
      <c r="D284"/>
      <c r="E284"/>
      <c r="F284"/>
      <c r="G284"/>
      <c r="H284"/>
      <c r="I284"/>
      <c r="J284"/>
      <c r="K284"/>
      <c r="L284"/>
      <c r="M284"/>
      <c r="N284"/>
      <c r="O284"/>
      <c r="P284"/>
      <c r="Q284"/>
      <c r="R284"/>
      <c r="S284"/>
      <c r="T284"/>
      <c r="U284"/>
      <c r="V284"/>
      <c r="W284"/>
      <c r="X284"/>
      <c r="Y284"/>
      <c r="Z284"/>
      <c r="AA284"/>
      <c r="AB284"/>
      <c r="AC284"/>
      <c r="AD284"/>
      <c r="AE284"/>
      <c r="AF284"/>
      <c r="AG284"/>
      <c r="AH284"/>
      <c r="AI284"/>
      <c r="AJ284"/>
      <c r="AK284"/>
      <c r="AL284"/>
      <c r="AM284"/>
      <c r="AN284"/>
      <c r="AO284"/>
      <c r="AP284"/>
      <c r="AQ284"/>
      <c r="AR284"/>
      <c r="AS284"/>
      <c r="AT284"/>
      <c r="AU284"/>
      <c r="AV284"/>
      <c r="AW284"/>
      <c r="AX284"/>
      <c r="AY284"/>
      <c r="AZ284"/>
      <c r="BA284"/>
      <c r="BB284"/>
      <c r="BC284"/>
      <c r="BD284"/>
      <c r="BE284"/>
      <c r="BF284"/>
      <c r="BG284"/>
      <c r="BH284"/>
      <c r="BI284"/>
      <c r="BJ284"/>
      <c r="BK284"/>
      <c r="BL284"/>
      <c r="BM284"/>
      <c r="BN284"/>
      <c r="BO284"/>
      <c r="BP284"/>
      <c r="BQ284"/>
      <c r="BR284"/>
      <c r="BS284"/>
      <c r="BT284"/>
      <c r="BU284"/>
      <c r="BV284"/>
      <c r="BW284"/>
      <c r="BX284"/>
      <c r="BY284"/>
      <c r="BZ284"/>
      <c r="CA284"/>
      <c r="CB284"/>
      <c r="CC284"/>
    </row>
    <row r="285" spans="1:81" x14ac:dyDescent="0.25">
      <c r="A285"/>
      <c r="B285"/>
      <c r="C285"/>
      <c r="D285"/>
      <c r="E285"/>
      <c r="F285"/>
      <c r="G285"/>
      <c r="H285"/>
      <c r="I285"/>
      <c r="J285"/>
      <c r="K285"/>
      <c r="L285"/>
      <c r="M285"/>
      <c r="N285"/>
      <c r="O285"/>
      <c r="P285"/>
      <c r="Q285"/>
      <c r="R285"/>
      <c r="S285"/>
      <c r="T285"/>
      <c r="U285"/>
      <c r="V285"/>
      <c r="W285"/>
      <c r="X285"/>
      <c r="Y285"/>
      <c r="Z285"/>
      <c r="AA285"/>
      <c r="AB285"/>
      <c r="AC285"/>
      <c r="AD285"/>
      <c r="AE285"/>
      <c r="AF285"/>
      <c r="AG285"/>
      <c r="AH285"/>
      <c r="AI285"/>
      <c r="AJ285"/>
      <c r="AK285"/>
      <c r="AL285"/>
      <c r="AM285"/>
      <c r="AN285"/>
      <c r="AO285"/>
      <c r="AP285"/>
      <c r="AQ285"/>
      <c r="AR285"/>
      <c r="AS285"/>
      <c r="AT285"/>
      <c r="AU285"/>
      <c r="AV285"/>
      <c r="AW285"/>
      <c r="AX285"/>
      <c r="AY285"/>
      <c r="AZ285"/>
      <c r="BA285"/>
      <c r="BB285"/>
      <c r="BC285"/>
      <c r="BD285"/>
      <c r="BE285"/>
      <c r="BF285"/>
      <c r="BG285"/>
      <c r="BH285"/>
      <c r="BI285"/>
      <c r="BJ285"/>
      <c r="BK285"/>
      <c r="BL285"/>
      <c r="BM285"/>
      <c r="BN285"/>
      <c r="BO285"/>
      <c r="BP285"/>
      <c r="BQ285"/>
      <c r="BR285"/>
      <c r="BS285"/>
      <c r="BT285"/>
      <c r="BU285"/>
      <c r="BV285"/>
      <c r="BW285"/>
      <c r="BX285"/>
      <c r="BY285"/>
      <c r="BZ285"/>
      <c r="CA285"/>
      <c r="CB285"/>
      <c r="CC285"/>
    </row>
    <row r="286" spans="1:81" x14ac:dyDescent="0.25">
      <c r="A286"/>
      <c r="B286"/>
      <c r="C286"/>
      <c r="D286"/>
      <c r="E286"/>
      <c r="F286"/>
      <c r="G286"/>
      <c r="H286"/>
      <c r="I286"/>
      <c r="J286"/>
      <c r="K286"/>
      <c r="L286"/>
      <c r="M286"/>
      <c r="N286"/>
      <c r="O286"/>
      <c r="P286"/>
      <c r="Q286"/>
      <c r="R286"/>
      <c r="S286"/>
      <c r="T286"/>
      <c r="U286"/>
      <c r="V286"/>
      <c r="W286"/>
      <c r="X286"/>
      <c r="Y286"/>
      <c r="Z286"/>
      <c r="AA286"/>
      <c r="AB286"/>
      <c r="AC286"/>
      <c r="AD286"/>
      <c r="AE286"/>
      <c r="AF286"/>
      <c r="AG286"/>
      <c r="AH286"/>
      <c r="AI286"/>
      <c r="AJ286"/>
      <c r="AK286"/>
      <c r="AL286"/>
      <c r="AM286"/>
      <c r="AN286"/>
      <c r="AO286"/>
      <c r="AP286"/>
      <c r="AQ286"/>
      <c r="AR286"/>
      <c r="AS286"/>
      <c r="AT286"/>
      <c r="AU286"/>
      <c r="AV286"/>
      <c r="AW286"/>
      <c r="AX286"/>
      <c r="AY286"/>
      <c r="AZ286"/>
      <c r="BA286"/>
      <c r="BB286"/>
      <c r="BC286"/>
      <c r="BD286"/>
      <c r="BE286"/>
      <c r="BF286"/>
      <c r="BG286"/>
      <c r="BH286"/>
      <c r="BI286"/>
      <c r="BJ286"/>
      <c r="BK286"/>
      <c r="BL286"/>
      <c r="BM286"/>
      <c r="BN286"/>
      <c r="BO286"/>
      <c r="BP286"/>
      <c r="BQ286"/>
      <c r="BR286"/>
      <c r="BS286"/>
      <c r="BT286"/>
      <c r="BU286"/>
      <c r="BV286"/>
      <c r="BW286"/>
      <c r="BX286"/>
      <c r="BY286"/>
      <c r="BZ286"/>
      <c r="CA286"/>
      <c r="CB286"/>
      <c r="CC286"/>
    </row>
    <row r="287" spans="1:81" x14ac:dyDescent="0.25">
      <c r="A287"/>
      <c r="B287"/>
      <c r="C287"/>
      <c r="D287"/>
      <c r="E287"/>
      <c r="F287"/>
      <c r="G287"/>
      <c r="H287"/>
      <c r="I287"/>
      <c r="J287"/>
      <c r="K287"/>
      <c r="L287"/>
      <c r="M287"/>
      <c r="N287"/>
      <c r="O287"/>
      <c r="P287"/>
      <c r="Q287"/>
      <c r="R287"/>
      <c r="S287"/>
      <c r="T287"/>
      <c r="U287"/>
      <c r="V287"/>
      <c r="W287"/>
      <c r="X287"/>
      <c r="Y287"/>
      <c r="Z287"/>
      <c r="AA287"/>
      <c r="AB287"/>
      <c r="AC287"/>
      <c r="AD287"/>
      <c r="AE287"/>
      <c r="AF287"/>
      <c r="AG287"/>
      <c r="AH287"/>
      <c r="AI287"/>
      <c r="AJ287"/>
      <c r="AK287"/>
      <c r="AL287"/>
      <c r="AM287"/>
      <c r="AN287"/>
      <c r="AO287"/>
      <c r="AP287"/>
      <c r="AQ287"/>
      <c r="AR287"/>
      <c r="AS287"/>
      <c r="AT287"/>
      <c r="AU287"/>
      <c r="AV287"/>
      <c r="AW287"/>
      <c r="AX287"/>
      <c r="AY287"/>
      <c r="AZ287"/>
      <c r="BA287"/>
      <c r="BB287"/>
      <c r="BC287"/>
      <c r="BD287"/>
      <c r="BE287"/>
      <c r="BF287"/>
      <c r="BG287"/>
      <c r="BH287"/>
      <c r="BI287"/>
      <c r="BJ287"/>
      <c r="BK287"/>
      <c r="BL287"/>
      <c r="BM287"/>
      <c r="BN287"/>
      <c r="BO287"/>
      <c r="BP287"/>
      <c r="BQ287"/>
      <c r="BR287"/>
      <c r="BS287"/>
      <c r="BT287"/>
      <c r="BU287"/>
      <c r="BV287"/>
      <c r="BW287"/>
      <c r="BX287"/>
      <c r="BY287"/>
      <c r="BZ287"/>
      <c r="CA287"/>
      <c r="CB287"/>
      <c r="CC287"/>
    </row>
    <row r="288" spans="1:81" x14ac:dyDescent="0.25">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c r="AI288"/>
      <c r="AJ288"/>
      <c r="AK288"/>
      <c r="AL288"/>
      <c r="AM288"/>
      <c r="AN288"/>
      <c r="AO288"/>
      <c r="AP288"/>
      <c r="AQ288"/>
      <c r="AR288"/>
      <c r="AS288"/>
      <c r="AT288"/>
      <c r="AU288"/>
      <c r="AV288"/>
      <c r="AW288"/>
      <c r="AX288"/>
      <c r="AY288"/>
      <c r="AZ288"/>
      <c r="BA288"/>
      <c r="BB288"/>
      <c r="BC288"/>
      <c r="BD288"/>
      <c r="BE288"/>
      <c r="BF288"/>
      <c r="BG288"/>
      <c r="BH288"/>
      <c r="BI288"/>
      <c r="BJ288"/>
      <c r="BK288"/>
      <c r="BL288"/>
      <c r="BM288"/>
      <c r="BN288"/>
      <c r="BO288"/>
      <c r="BP288"/>
      <c r="BQ288"/>
      <c r="BR288"/>
      <c r="BS288"/>
      <c r="BT288"/>
      <c r="BU288"/>
      <c r="BV288"/>
      <c r="BW288"/>
      <c r="BX288"/>
      <c r="BY288"/>
      <c r="BZ288"/>
      <c r="CA288"/>
      <c r="CB288"/>
      <c r="CC288"/>
    </row>
    <row r="289" spans="1:81" x14ac:dyDescent="0.25">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c r="AI289"/>
      <c r="AJ289"/>
      <c r="AK289"/>
      <c r="AL289"/>
      <c r="AM289"/>
      <c r="AN289"/>
      <c r="AO289"/>
      <c r="AP289"/>
      <c r="AQ289"/>
      <c r="AR289"/>
      <c r="AS289"/>
      <c r="AT289"/>
      <c r="AU289"/>
      <c r="AV289"/>
      <c r="AW289"/>
      <c r="AX289"/>
      <c r="AY289"/>
      <c r="AZ289"/>
      <c r="BA289"/>
      <c r="BB289"/>
      <c r="BC289"/>
      <c r="BD289"/>
      <c r="BE289"/>
      <c r="BF289"/>
      <c r="BG289"/>
      <c r="BH289"/>
      <c r="BI289"/>
      <c r="BJ289"/>
      <c r="BK289"/>
      <c r="BL289"/>
      <c r="BM289"/>
      <c r="BN289"/>
      <c r="BO289"/>
      <c r="BP289"/>
      <c r="BQ289"/>
      <c r="BR289"/>
      <c r="BS289"/>
      <c r="BT289"/>
      <c r="BU289"/>
      <c r="BV289"/>
      <c r="BW289"/>
      <c r="BX289"/>
      <c r="BY289"/>
      <c r="BZ289"/>
      <c r="CA289"/>
      <c r="CB289"/>
      <c r="CC289"/>
    </row>
    <row r="290" spans="1:81" x14ac:dyDescent="0.25">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c r="AI290"/>
      <c r="AJ290"/>
      <c r="AK290"/>
      <c r="AL290"/>
      <c r="AM290"/>
      <c r="AN290"/>
      <c r="AO290"/>
      <c r="AP290"/>
      <c r="AQ290"/>
      <c r="AR290"/>
      <c r="AS290"/>
      <c r="AT290"/>
      <c r="AU290"/>
      <c r="AV290"/>
      <c r="AW290"/>
      <c r="AX290"/>
      <c r="AY290"/>
      <c r="AZ290"/>
      <c r="BA290"/>
      <c r="BB290"/>
      <c r="BC290"/>
      <c r="BD290"/>
      <c r="BE290"/>
      <c r="BF290"/>
      <c r="BG290"/>
      <c r="BH290"/>
      <c r="BI290"/>
      <c r="BJ290"/>
      <c r="BK290"/>
      <c r="BL290"/>
      <c r="BM290"/>
      <c r="BN290"/>
      <c r="BO290"/>
      <c r="BP290"/>
      <c r="BQ290"/>
      <c r="BR290"/>
      <c r="BS290"/>
      <c r="BT290"/>
      <c r="BU290"/>
      <c r="BV290"/>
      <c r="BW290"/>
      <c r="BX290"/>
      <c r="BY290"/>
      <c r="BZ290"/>
      <c r="CA290"/>
      <c r="CB290"/>
      <c r="CC290"/>
    </row>
    <row r="291" spans="1:81" x14ac:dyDescent="0.25">
      <c r="A291"/>
      <c r="B291"/>
      <c r="C291"/>
      <c r="D291"/>
      <c r="E291"/>
      <c r="F291"/>
      <c r="G291"/>
      <c r="H291"/>
      <c r="I291"/>
      <c r="J291"/>
      <c r="K291"/>
      <c r="L291"/>
      <c r="M291"/>
      <c r="N291"/>
      <c r="O291"/>
      <c r="P291"/>
      <c r="Q291"/>
      <c r="R291"/>
      <c r="S291"/>
      <c r="T291"/>
      <c r="U291"/>
      <c r="V291"/>
      <c r="W291"/>
      <c r="X291"/>
      <c r="Y291"/>
      <c r="Z291"/>
      <c r="AA291"/>
      <c r="AB291"/>
      <c r="AC291"/>
      <c r="AD291"/>
      <c r="AE291"/>
      <c r="AF291"/>
      <c r="AG291"/>
      <c r="AH291"/>
      <c r="AI291"/>
      <c r="AJ291"/>
      <c r="AK291"/>
      <c r="AL291"/>
      <c r="AM291"/>
      <c r="AN291"/>
      <c r="AO291"/>
      <c r="AP291"/>
      <c r="AQ291"/>
      <c r="AR291"/>
      <c r="AS291"/>
      <c r="AT291"/>
      <c r="AU291"/>
      <c r="AV291"/>
      <c r="AW291"/>
      <c r="AX291"/>
      <c r="AY291"/>
      <c r="AZ291"/>
      <c r="BA291"/>
      <c r="BB291"/>
      <c r="BC291"/>
      <c r="BD291"/>
      <c r="BE291"/>
      <c r="BF291"/>
      <c r="BG291"/>
      <c r="BH291"/>
      <c r="BI291"/>
      <c r="BJ291"/>
      <c r="BK291"/>
      <c r="BL291"/>
      <c r="BM291"/>
      <c r="BN291"/>
      <c r="BO291"/>
      <c r="BP291"/>
      <c r="BQ291"/>
      <c r="BR291"/>
      <c r="BS291"/>
      <c r="BT291"/>
      <c r="BU291"/>
      <c r="BV291"/>
      <c r="BW291"/>
      <c r="BX291"/>
      <c r="BY291"/>
      <c r="BZ291"/>
      <c r="CA291"/>
      <c r="CB291"/>
      <c r="CC291"/>
    </row>
    <row r="292" spans="1:81" x14ac:dyDescent="0.25">
      <c r="A292"/>
      <c r="B292"/>
      <c r="C292"/>
      <c r="D292"/>
      <c r="E292"/>
      <c r="F292"/>
      <c r="G292"/>
      <c r="H292"/>
      <c r="I292"/>
      <c r="J292"/>
      <c r="K292"/>
      <c r="L292"/>
      <c r="M292"/>
      <c r="N292"/>
      <c r="O292"/>
      <c r="P292"/>
      <c r="Q292"/>
      <c r="R292"/>
      <c r="S292"/>
      <c r="T292"/>
      <c r="U292"/>
      <c r="V292"/>
      <c r="W292"/>
      <c r="X292"/>
      <c r="Y292"/>
      <c r="Z292"/>
      <c r="AA292"/>
      <c r="AB292"/>
      <c r="AC292"/>
      <c r="AD292"/>
      <c r="AE292"/>
      <c r="AF292"/>
      <c r="AG292"/>
      <c r="AH292"/>
      <c r="AI292"/>
      <c r="AJ292"/>
      <c r="AK292"/>
      <c r="AL292"/>
      <c r="AM292"/>
      <c r="AN292"/>
      <c r="AO292"/>
      <c r="AP292"/>
      <c r="AQ292"/>
      <c r="AR292"/>
      <c r="AS292"/>
      <c r="AT292"/>
      <c r="AU292"/>
      <c r="AV292"/>
      <c r="AW292"/>
      <c r="AX292"/>
      <c r="AY292"/>
      <c r="AZ292"/>
      <c r="BA292"/>
      <c r="BB292"/>
      <c r="BC292"/>
      <c r="BD292"/>
      <c r="BE292"/>
      <c r="BF292"/>
      <c r="BG292"/>
      <c r="BH292"/>
      <c r="BI292"/>
      <c r="BJ292"/>
      <c r="BK292"/>
      <c r="BL292"/>
      <c r="BM292"/>
      <c r="BN292"/>
      <c r="BO292"/>
      <c r="BP292"/>
      <c r="BQ292"/>
      <c r="BR292"/>
      <c r="BS292"/>
      <c r="BT292"/>
      <c r="BU292"/>
      <c r="BV292"/>
      <c r="BW292"/>
      <c r="BX292"/>
      <c r="BY292"/>
      <c r="BZ292"/>
      <c r="CA292"/>
      <c r="CB292"/>
      <c r="CC292"/>
    </row>
    <row r="293" spans="1:81" x14ac:dyDescent="0.25">
      <c r="A293"/>
      <c r="B293"/>
      <c r="C293"/>
      <c r="D293"/>
      <c r="E293"/>
      <c r="F293"/>
      <c r="G293"/>
      <c r="H293"/>
      <c r="I293"/>
      <c r="J293"/>
      <c r="K293"/>
      <c r="L293"/>
      <c r="M293"/>
      <c r="N293"/>
      <c r="O293"/>
      <c r="P293"/>
      <c r="Q293"/>
      <c r="R293"/>
      <c r="S293"/>
      <c r="T293"/>
      <c r="U293"/>
      <c r="V293"/>
      <c r="W293"/>
      <c r="X293"/>
      <c r="Y293"/>
      <c r="Z293"/>
      <c r="AA293"/>
      <c r="AB293"/>
      <c r="AC293"/>
      <c r="AD293"/>
      <c r="AE293"/>
      <c r="AF293"/>
      <c r="AG293"/>
      <c r="AH293"/>
      <c r="AI293"/>
      <c r="AJ293"/>
      <c r="AK293"/>
      <c r="AL293"/>
      <c r="AM293"/>
      <c r="AN293"/>
      <c r="AO293"/>
      <c r="AP293"/>
      <c r="AQ293"/>
      <c r="AR293"/>
      <c r="AS293"/>
      <c r="AT293"/>
      <c r="AU293"/>
      <c r="AV293"/>
      <c r="AW293"/>
      <c r="AX293"/>
      <c r="AY293"/>
      <c r="AZ293"/>
      <c r="BA293"/>
      <c r="BB293"/>
      <c r="BC293"/>
      <c r="BD293"/>
      <c r="BE293"/>
      <c r="BF293"/>
      <c r="BG293"/>
      <c r="BH293"/>
      <c r="BI293"/>
      <c r="BJ293"/>
      <c r="BK293"/>
      <c r="BL293"/>
      <c r="BM293"/>
      <c r="BN293"/>
      <c r="BO293"/>
      <c r="BP293"/>
      <c r="BQ293"/>
      <c r="BR293"/>
      <c r="BS293"/>
      <c r="BT293"/>
      <c r="BU293"/>
      <c r="BV293"/>
      <c r="BW293"/>
      <c r="BX293"/>
      <c r="BY293"/>
      <c r="BZ293"/>
      <c r="CA293"/>
      <c r="CB293"/>
      <c r="CC293"/>
    </row>
    <row r="294" spans="1:81" x14ac:dyDescent="0.25">
      <c r="A294"/>
      <c r="B294"/>
      <c r="C294"/>
      <c r="D294"/>
      <c r="E294"/>
      <c r="F294"/>
      <c r="G294"/>
      <c r="H294"/>
      <c r="I294"/>
      <c r="J294"/>
      <c r="K294"/>
      <c r="L294"/>
      <c r="M294"/>
      <c r="N294"/>
      <c r="O294"/>
      <c r="P294"/>
      <c r="Q294"/>
      <c r="R294"/>
      <c r="S294"/>
      <c r="T294"/>
      <c r="U294"/>
      <c r="V294"/>
      <c r="W294"/>
      <c r="X294"/>
      <c r="Y294"/>
      <c r="Z294"/>
      <c r="AA294"/>
      <c r="AB294"/>
      <c r="AC294"/>
      <c r="AD294"/>
      <c r="AE294"/>
      <c r="AF294"/>
      <c r="AG294"/>
      <c r="AH294"/>
      <c r="AI294"/>
      <c r="AJ294"/>
      <c r="AK294"/>
      <c r="AL294"/>
      <c r="AM294"/>
      <c r="AN294"/>
      <c r="AO294"/>
      <c r="AP294"/>
      <c r="AQ294"/>
      <c r="AR294"/>
      <c r="AS294"/>
      <c r="AT294"/>
      <c r="AU294"/>
      <c r="AV294"/>
      <c r="AW294"/>
      <c r="AX294"/>
      <c r="AY294"/>
      <c r="AZ294"/>
      <c r="BA294"/>
      <c r="BB294"/>
      <c r="BC294"/>
      <c r="BD294"/>
      <c r="BE294"/>
      <c r="BF294"/>
      <c r="BG294"/>
      <c r="BH294"/>
      <c r="BI294"/>
      <c r="BJ294"/>
      <c r="BK294"/>
      <c r="BL294"/>
      <c r="BM294"/>
      <c r="BN294"/>
      <c r="BO294"/>
      <c r="BP294"/>
      <c r="BQ294"/>
      <c r="BR294"/>
      <c r="BS294"/>
      <c r="BT294"/>
      <c r="BU294"/>
      <c r="BV294"/>
      <c r="BW294"/>
      <c r="BX294"/>
      <c r="BY294"/>
      <c r="BZ294"/>
      <c r="CA294"/>
      <c r="CB294"/>
      <c r="CC294"/>
    </row>
    <row r="295" spans="1:81" x14ac:dyDescent="0.25">
      <c r="A295"/>
      <c r="B295"/>
      <c r="C295"/>
      <c r="D295"/>
      <c r="E295"/>
      <c r="F295"/>
      <c r="G295"/>
      <c r="H295"/>
      <c r="I295"/>
      <c r="J295"/>
      <c r="K295"/>
      <c r="L295"/>
      <c r="M295"/>
      <c r="N295"/>
      <c r="O295"/>
      <c r="P295"/>
      <c r="Q295"/>
      <c r="R295"/>
      <c r="S295"/>
      <c r="T295"/>
      <c r="U295"/>
      <c r="V295"/>
      <c r="W295"/>
      <c r="X295"/>
      <c r="Y295"/>
      <c r="Z295"/>
      <c r="AA295"/>
      <c r="AB295"/>
      <c r="AC295"/>
      <c r="AD295"/>
      <c r="AE295"/>
      <c r="AF295"/>
      <c r="AG295"/>
      <c r="AH295"/>
      <c r="AI295"/>
      <c r="AJ295"/>
      <c r="AK295"/>
      <c r="AL295"/>
      <c r="AM295"/>
      <c r="AN295"/>
      <c r="AO295"/>
      <c r="AP295"/>
      <c r="AQ295"/>
      <c r="AR295"/>
      <c r="AS295"/>
      <c r="AT295"/>
      <c r="AU295"/>
      <c r="AV295"/>
      <c r="AW295"/>
      <c r="AX295"/>
      <c r="AY295"/>
      <c r="AZ295"/>
      <c r="BA295"/>
      <c r="BB295"/>
      <c r="BC295"/>
      <c r="BD295"/>
      <c r="BE295"/>
      <c r="BF295"/>
      <c r="BG295"/>
      <c r="BH295"/>
      <c r="BI295"/>
      <c r="BJ295"/>
      <c r="BK295"/>
      <c r="BL295"/>
      <c r="BM295"/>
      <c r="BN295"/>
      <c r="BO295"/>
      <c r="BP295"/>
      <c r="BQ295"/>
      <c r="BR295"/>
      <c r="BS295"/>
      <c r="BT295"/>
      <c r="BU295"/>
      <c r="BV295"/>
      <c r="BW295"/>
      <c r="BX295"/>
      <c r="BY295"/>
      <c r="BZ295"/>
      <c r="CA295"/>
      <c r="CB295"/>
      <c r="CC295"/>
    </row>
    <row r="296" spans="1:81" x14ac:dyDescent="0.25">
      <c r="A296"/>
      <c r="B296"/>
      <c r="C296"/>
      <c r="D296"/>
      <c r="E296"/>
      <c r="F296"/>
      <c r="G296"/>
      <c r="H296"/>
      <c r="I296"/>
      <c r="J296"/>
      <c r="K296"/>
      <c r="L296"/>
      <c r="M296"/>
      <c r="N296"/>
      <c r="O296"/>
      <c r="P296"/>
      <c r="Q296"/>
      <c r="R296"/>
      <c r="S296"/>
      <c r="T296"/>
      <c r="U296"/>
      <c r="V296"/>
      <c r="W296"/>
      <c r="X296"/>
      <c r="Y296"/>
      <c r="Z296"/>
      <c r="AA296"/>
      <c r="AB296"/>
      <c r="AC296"/>
      <c r="AD296"/>
      <c r="AE296"/>
      <c r="AF296"/>
      <c r="AG296"/>
      <c r="AH296"/>
      <c r="AI296"/>
      <c r="AJ296"/>
      <c r="AK296"/>
      <c r="AL296"/>
      <c r="AM296"/>
      <c r="AN296"/>
      <c r="AO296"/>
      <c r="AP296"/>
      <c r="AQ296"/>
      <c r="AR296"/>
      <c r="AS296"/>
      <c r="AT296"/>
      <c r="AU296"/>
      <c r="AV296"/>
      <c r="AW296"/>
      <c r="AX296"/>
      <c r="AY296"/>
      <c r="AZ296"/>
      <c r="BA296"/>
      <c r="BB296"/>
      <c r="BC296"/>
      <c r="BD296"/>
      <c r="BE296"/>
      <c r="BF296"/>
      <c r="BG296"/>
      <c r="BH296"/>
      <c r="BI296"/>
      <c r="BJ296"/>
      <c r="BK296"/>
      <c r="BL296"/>
      <c r="BM296"/>
      <c r="BN296"/>
      <c r="BO296"/>
      <c r="BP296"/>
      <c r="BQ296"/>
      <c r="BR296"/>
      <c r="BS296"/>
      <c r="BT296"/>
      <c r="BU296"/>
      <c r="BV296"/>
      <c r="BW296"/>
      <c r="BX296"/>
      <c r="BY296"/>
      <c r="BZ296"/>
      <c r="CA296"/>
      <c r="CB296"/>
      <c r="CC296"/>
    </row>
    <row r="297" spans="1:81" x14ac:dyDescent="0.25">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c r="AI297"/>
      <c r="AJ297"/>
      <c r="AK297"/>
      <c r="AL297"/>
      <c r="AM297"/>
      <c r="AN297"/>
      <c r="AO297"/>
      <c r="AP297"/>
      <c r="AQ297"/>
      <c r="AR297"/>
      <c r="AS297"/>
      <c r="AT297"/>
      <c r="AU297"/>
      <c r="AV297"/>
      <c r="AW297"/>
      <c r="AX297"/>
      <c r="AY297"/>
      <c r="AZ297"/>
      <c r="BA297"/>
      <c r="BB297"/>
      <c r="BC297"/>
      <c r="BD297"/>
      <c r="BE297"/>
      <c r="BF297"/>
      <c r="BG297"/>
      <c r="BH297"/>
      <c r="BI297"/>
      <c r="BJ297"/>
      <c r="BK297"/>
      <c r="BL297"/>
      <c r="BM297"/>
      <c r="BN297"/>
      <c r="BO297"/>
      <c r="BP297"/>
      <c r="BQ297"/>
      <c r="BR297"/>
      <c r="BS297"/>
      <c r="BT297"/>
      <c r="BU297"/>
      <c r="BV297"/>
      <c r="BW297"/>
      <c r="BX297"/>
      <c r="BY297"/>
      <c r="BZ297"/>
      <c r="CA297"/>
      <c r="CB297"/>
      <c r="CC297"/>
    </row>
    <row r="298" spans="1:81" x14ac:dyDescent="0.25">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c r="AI298"/>
      <c r="AJ298"/>
      <c r="AK298"/>
      <c r="AL298"/>
      <c r="AM298"/>
      <c r="AN298"/>
      <c r="AO298"/>
      <c r="AP298"/>
      <c r="AQ298"/>
      <c r="AR298"/>
      <c r="AS298"/>
      <c r="AT298"/>
      <c r="AU298"/>
      <c r="AV298"/>
      <c r="AW298"/>
      <c r="AX298"/>
      <c r="AY298"/>
      <c r="AZ298"/>
      <c r="BA298"/>
      <c r="BB298"/>
      <c r="BC298"/>
      <c r="BD298"/>
      <c r="BE298"/>
      <c r="BF298"/>
      <c r="BG298"/>
      <c r="BH298"/>
      <c r="BI298"/>
      <c r="BJ298"/>
      <c r="BK298"/>
      <c r="BL298"/>
      <c r="BM298"/>
      <c r="BN298"/>
      <c r="BO298"/>
      <c r="BP298"/>
      <c r="BQ298"/>
      <c r="BR298"/>
      <c r="BS298"/>
      <c r="BT298"/>
      <c r="BU298"/>
      <c r="BV298"/>
      <c r="BW298"/>
      <c r="BX298"/>
      <c r="BY298"/>
      <c r="BZ298"/>
      <c r="CA298"/>
      <c r="CB298"/>
      <c r="CC298"/>
    </row>
    <row r="299" spans="1:81" x14ac:dyDescent="0.25">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c r="AI299"/>
      <c r="AJ299"/>
      <c r="AK299"/>
      <c r="AL299"/>
      <c r="AM299"/>
      <c r="AN299"/>
      <c r="AO299"/>
      <c r="AP299"/>
      <c r="AQ299"/>
      <c r="AR299"/>
      <c r="AS299"/>
      <c r="AT299"/>
      <c r="AU299"/>
      <c r="AV299"/>
      <c r="AW299"/>
      <c r="AX299"/>
      <c r="AY299"/>
      <c r="AZ299"/>
      <c r="BA299"/>
      <c r="BB299"/>
      <c r="BC299"/>
      <c r="BD299"/>
      <c r="BE299"/>
      <c r="BF299"/>
      <c r="BG299"/>
      <c r="BH299"/>
      <c r="BI299"/>
      <c r="BJ299"/>
      <c r="BK299"/>
      <c r="BL299"/>
      <c r="BM299"/>
      <c r="BN299"/>
      <c r="BO299"/>
      <c r="BP299"/>
      <c r="BQ299"/>
      <c r="BR299"/>
      <c r="BS299"/>
      <c r="BT299"/>
      <c r="BU299"/>
      <c r="BV299"/>
      <c r="BW299"/>
      <c r="BX299"/>
      <c r="BY299"/>
      <c r="BZ299"/>
      <c r="CA299"/>
      <c r="CB299"/>
      <c r="CC299"/>
    </row>
    <row r="300" spans="1:81" x14ac:dyDescent="0.25">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c r="AI300"/>
      <c r="AJ300"/>
      <c r="AK300"/>
      <c r="AL300"/>
      <c r="AM300"/>
      <c r="AN300"/>
      <c r="AO300"/>
      <c r="AP300"/>
      <c r="AQ300"/>
      <c r="AR300"/>
      <c r="AS300"/>
      <c r="AT300"/>
      <c r="AU300"/>
      <c r="AV300"/>
      <c r="AW300"/>
      <c r="AX300"/>
      <c r="AY300"/>
      <c r="AZ300"/>
      <c r="BA300"/>
      <c r="BB300"/>
      <c r="BC300"/>
      <c r="BD300"/>
      <c r="BE300"/>
      <c r="BF300"/>
      <c r="BG300"/>
      <c r="BH300"/>
      <c r="BI300"/>
      <c r="BJ300"/>
      <c r="BK300"/>
      <c r="BL300"/>
      <c r="BM300"/>
      <c r="BN300"/>
      <c r="BO300"/>
      <c r="BP300"/>
      <c r="BQ300"/>
      <c r="BR300"/>
      <c r="BS300"/>
      <c r="BT300"/>
      <c r="BU300"/>
      <c r="BV300"/>
      <c r="BW300"/>
      <c r="BX300"/>
      <c r="BY300"/>
      <c r="BZ300"/>
      <c r="CA300"/>
      <c r="CB300"/>
      <c r="CC300"/>
    </row>
    <row r="301" spans="1:81" x14ac:dyDescent="0.25">
      <c r="A301"/>
      <c r="B301"/>
      <c r="C301"/>
      <c r="D301"/>
      <c r="E301"/>
      <c r="F301"/>
      <c r="G301"/>
      <c r="H301"/>
      <c r="I301"/>
      <c r="J301"/>
      <c r="K301"/>
      <c r="L301"/>
      <c r="M301"/>
      <c r="N301"/>
      <c r="O301"/>
      <c r="P301"/>
      <c r="Q301"/>
      <c r="R301"/>
      <c r="S301"/>
      <c r="T301"/>
      <c r="U301"/>
      <c r="V301"/>
      <c r="W301"/>
      <c r="X301"/>
      <c r="Y301"/>
      <c r="Z301"/>
      <c r="AA301"/>
      <c r="AB301"/>
      <c r="AC301"/>
      <c r="AD301"/>
      <c r="AE301"/>
      <c r="AF301"/>
      <c r="AG301"/>
      <c r="AH301"/>
      <c r="AI301"/>
      <c r="AJ301"/>
      <c r="AK301"/>
      <c r="AL301"/>
      <c r="AM301"/>
      <c r="AN301"/>
      <c r="AO301"/>
      <c r="AP301"/>
      <c r="AQ301"/>
      <c r="AR301"/>
      <c r="AS301"/>
      <c r="AT301"/>
      <c r="AU301"/>
      <c r="AV301"/>
      <c r="AW301"/>
      <c r="AX301"/>
      <c r="AY301"/>
      <c r="AZ301"/>
      <c r="BA301"/>
      <c r="BB301"/>
      <c r="BC301"/>
      <c r="BD301"/>
      <c r="BE301"/>
      <c r="BF301"/>
      <c r="BG301"/>
      <c r="BH301"/>
      <c r="BI301"/>
      <c r="BJ301"/>
      <c r="BK301"/>
      <c r="BL301"/>
      <c r="BM301"/>
      <c r="BN301"/>
      <c r="BO301"/>
      <c r="BP301"/>
      <c r="BQ301"/>
      <c r="BR301"/>
      <c r="BS301"/>
      <c r="BT301"/>
      <c r="BU301"/>
      <c r="BV301"/>
      <c r="BW301"/>
      <c r="BX301"/>
      <c r="BY301"/>
      <c r="BZ301"/>
      <c r="CA301"/>
      <c r="CB301"/>
      <c r="CC301"/>
    </row>
    <row r="302" spans="1:81" x14ac:dyDescent="0.25">
      <c r="A302"/>
      <c r="B302"/>
      <c r="C302"/>
      <c r="D302"/>
      <c r="E302"/>
      <c r="F302"/>
      <c r="G302"/>
      <c r="H302"/>
      <c r="I302"/>
      <c r="J302"/>
      <c r="K302"/>
      <c r="L302"/>
      <c r="M302"/>
      <c r="N302"/>
      <c r="O302"/>
      <c r="P302"/>
      <c r="Q302"/>
      <c r="R302"/>
      <c r="S302"/>
      <c r="T302"/>
      <c r="U302"/>
      <c r="V302"/>
      <c r="W302"/>
      <c r="X302"/>
      <c r="Y302"/>
      <c r="Z302"/>
      <c r="AA302"/>
      <c r="AB302"/>
      <c r="AC302"/>
      <c r="AD302"/>
      <c r="AE302"/>
      <c r="AF302"/>
      <c r="AG302"/>
      <c r="AH302"/>
      <c r="AI302"/>
      <c r="AJ302"/>
      <c r="AK302"/>
      <c r="AL302"/>
      <c r="AM302"/>
      <c r="AN302"/>
      <c r="AO302"/>
      <c r="AP302"/>
      <c r="AQ302"/>
      <c r="AR302"/>
      <c r="AS302"/>
      <c r="AT302"/>
      <c r="AU302"/>
      <c r="AV302"/>
      <c r="AW302"/>
      <c r="AX302"/>
      <c r="AY302"/>
      <c r="AZ302"/>
      <c r="BA302"/>
      <c r="BB302"/>
      <c r="BC302"/>
      <c r="BD302"/>
      <c r="BE302"/>
      <c r="BF302"/>
      <c r="BG302"/>
      <c r="BH302"/>
      <c r="BI302"/>
      <c r="BJ302"/>
      <c r="BK302"/>
      <c r="BL302"/>
      <c r="BM302"/>
      <c r="BN302"/>
      <c r="BO302"/>
      <c r="BP302"/>
      <c r="BQ302"/>
      <c r="BR302"/>
      <c r="BS302"/>
      <c r="BT302"/>
      <c r="BU302"/>
      <c r="BV302"/>
      <c r="BW302"/>
      <c r="BX302"/>
      <c r="BY302"/>
      <c r="BZ302"/>
      <c r="CA302"/>
      <c r="CB302"/>
      <c r="CC302"/>
    </row>
    <row r="303" spans="1:81" x14ac:dyDescent="0.25">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c r="AI303"/>
      <c r="AJ303"/>
      <c r="AK303"/>
      <c r="AL303"/>
      <c r="AM303"/>
      <c r="AN303"/>
      <c r="AO303"/>
      <c r="AP303"/>
      <c r="AQ303"/>
      <c r="AR303"/>
      <c r="AS303"/>
      <c r="AT303"/>
      <c r="AU303"/>
      <c r="AV303"/>
      <c r="AW303"/>
      <c r="AX303"/>
      <c r="AY303"/>
      <c r="AZ303"/>
      <c r="BA303"/>
      <c r="BB303"/>
      <c r="BC303"/>
      <c r="BD303"/>
      <c r="BE303"/>
      <c r="BF303"/>
      <c r="BG303"/>
      <c r="BH303"/>
      <c r="BI303"/>
      <c r="BJ303"/>
      <c r="BK303"/>
      <c r="BL303"/>
      <c r="BM303"/>
      <c r="BN303"/>
      <c r="BO303"/>
      <c r="BP303"/>
      <c r="BQ303"/>
      <c r="BR303"/>
      <c r="BS303"/>
      <c r="BT303"/>
      <c r="BU303"/>
      <c r="BV303"/>
      <c r="BW303"/>
      <c r="BX303"/>
      <c r="BY303"/>
      <c r="BZ303"/>
      <c r="CA303"/>
      <c r="CB303"/>
      <c r="CC303"/>
    </row>
    <row r="304" spans="1:81" x14ac:dyDescent="0.25">
      <c r="A304"/>
      <c r="B304"/>
      <c r="C304"/>
      <c r="D304"/>
      <c r="E304"/>
      <c r="F304"/>
      <c r="G304"/>
      <c r="H304"/>
      <c r="I304"/>
      <c r="J304"/>
      <c r="K304"/>
      <c r="L304"/>
      <c r="M304"/>
      <c r="N304"/>
      <c r="O304"/>
      <c r="P304"/>
      <c r="Q304"/>
      <c r="R304"/>
      <c r="S304"/>
      <c r="T304"/>
      <c r="U304"/>
      <c r="V304"/>
      <c r="W304"/>
      <c r="X304"/>
      <c r="Y304"/>
      <c r="Z304"/>
      <c r="AA304"/>
      <c r="AB304"/>
      <c r="AC304"/>
      <c r="AD304"/>
      <c r="AE304"/>
      <c r="AF304"/>
      <c r="AG304"/>
      <c r="AH304"/>
      <c r="AI304"/>
      <c r="AJ304"/>
      <c r="AK304"/>
      <c r="AL304"/>
      <c r="AM304"/>
      <c r="AN304"/>
      <c r="AO304"/>
      <c r="AP304"/>
      <c r="AQ304"/>
      <c r="AR304"/>
      <c r="AS304"/>
      <c r="AT304"/>
      <c r="AU304"/>
      <c r="AV304"/>
      <c r="AW304"/>
      <c r="AX304"/>
      <c r="AY304"/>
      <c r="AZ304"/>
      <c r="BA304"/>
      <c r="BB304"/>
      <c r="BC304"/>
      <c r="BD304"/>
      <c r="BE304"/>
      <c r="BF304"/>
      <c r="BG304"/>
      <c r="BH304"/>
      <c r="BI304"/>
      <c r="BJ304"/>
      <c r="BK304"/>
      <c r="BL304"/>
      <c r="BM304"/>
      <c r="BN304"/>
      <c r="BO304"/>
      <c r="BP304"/>
      <c r="BQ304"/>
      <c r="BR304"/>
      <c r="BS304"/>
      <c r="BT304"/>
      <c r="BU304"/>
      <c r="BV304"/>
      <c r="BW304"/>
      <c r="BX304"/>
      <c r="BY304"/>
      <c r="BZ304"/>
      <c r="CA304"/>
      <c r="CB304"/>
      <c r="CC304"/>
    </row>
    <row r="305" spans="1:81" x14ac:dyDescent="0.25">
      <c r="A305"/>
      <c r="B305"/>
      <c r="C305"/>
      <c r="D305"/>
      <c r="E305"/>
      <c r="F305"/>
      <c r="G305"/>
      <c r="H305"/>
      <c r="I305"/>
      <c r="J305"/>
      <c r="K305"/>
      <c r="L305"/>
      <c r="M305"/>
      <c r="N305"/>
      <c r="O305"/>
      <c r="P305"/>
      <c r="Q305"/>
      <c r="R305"/>
      <c r="S305"/>
      <c r="T305"/>
      <c r="U305"/>
      <c r="V305"/>
      <c r="W305"/>
      <c r="X305"/>
      <c r="Y305"/>
      <c r="Z305"/>
      <c r="AA305"/>
      <c r="AB305"/>
      <c r="AC305"/>
      <c r="AD305"/>
      <c r="AE305"/>
      <c r="AF305"/>
      <c r="AG305"/>
      <c r="AH305"/>
      <c r="AI305"/>
      <c r="AJ305"/>
      <c r="AK305"/>
      <c r="AL305"/>
      <c r="AM305"/>
      <c r="AN305"/>
      <c r="AO305"/>
      <c r="AP305"/>
      <c r="AQ305"/>
      <c r="AR305"/>
      <c r="AS305"/>
      <c r="AT305"/>
      <c r="AU305"/>
      <c r="AV305"/>
      <c r="AW305"/>
      <c r="AX305"/>
      <c r="AY305"/>
      <c r="AZ305"/>
      <c r="BA305"/>
      <c r="BB305"/>
      <c r="BC305"/>
      <c r="BD305"/>
      <c r="BE305"/>
      <c r="BF305"/>
      <c r="BG305"/>
      <c r="BH305"/>
      <c r="BI305"/>
      <c r="BJ305"/>
      <c r="BK305"/>
      <c r="BL305"/>
      <c r="BM305"/>
      <c r="BN305"/>
      <c r="BO305"/>
      <c r="BP305"/>
      <c r="BQ305"/>
      <c r="BR305"/>
      <c r="BS305"/>
      <c r="BT305"/>
      <c r="BU305"/>
      <c r="BV305"/>
      <c r="BW305"/>
      <c r="BX305"/>
      <c r="BY305"/>
      <c r="BZ305"/>
      <c r="CA305"/>
      <c r="CB305"/>
      <c r="CC305"/>
    </row>
    <row r="306" spans="1:81" x14ac:dyDescent="0.25">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c r="AI306"/>
      <c r="AJ306"/>
      <c r="AK306"/>
      <c r="AL306"/>
      <c r="AM306"/>
      <c r="AN306"/>
      <c r="AO306"/>
      <c r="AP306"/>
      <c r="AQ306"/>
      <c r="AR306"/>
      <c r="AS306"/>
      <c r="AT306"/>
      <c r="AU306"/>
      <c r="AV306"/>
      <c r="AW306"/>
      <c r="AX306"/>
      <c r="AY306"/>
      <c r="AZ306"/>
      <c r="BA306"/>
      <c r="BB306"/>
      <c r="BC306"/>
      <c r="BD306"/>
      <c r="BE306"/>
      <c r="BF306"/>
      <c r="BG306"/>
      <c r="BH306"/>
      <c r="BI306"/>
      <c r="BJ306"/>
      <c r="BK306"/>
      <c r="BL306"/>
      <c r="BM306"/>
      <c r="BN306"/>
      <c r="BO306"/>
      <c r="BP306"/>
      <c r="BQ306"/>
      <c r="BR306"/>
      <c r="BS306"/>
      <c r="BT306"/>
      <c r="BU306"/>
      <c r="BV306"/>
      <c r="BW306"/>
      <c r="BX306"/>
      <c r="BY306"/>
      <c r="BZ306"/>
      <c r="CA306"/>
      <c r="CB306"/>
      <c r="CC306"/>
    </row>
    <row r="307" spans="1:81" x14ac:dyDescent="0.25">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c r="AI307"/>
      <c r="AJ307"/>
      <c r="AK307"/>
      <c r="AL307"/>
      <c r="AM307"/>
      <c r="AN307"/>
      <c r="AO307"/>
      <c r="AP307"/>
      <c r="AQ307"/>
      <c r="AR307"/>
      <c r="AS307"/>
      <c r="AT307"/>
      <c r="AU307"/>
      <c r="AV307"/>
      <c r="AW307"/>
      <c r="AX307"/>
      <c r="AY307"/>
      <c r="AZ307"/>
      <c r="BA307"/>
      <c r="BB307"/>
      <c r="BC307"/>
      <c r="BD307"/>
      <c r="BE307"/>
      <c r="BF307"/>
      <c r="BG307"/>
      <c r="BH307"/>
      <c r="BI307"/>
      <c r="BJ307"/>
      <c r="BK307"/>
      <c r="BL307"/>
      <c r="BM307"/>
      <c r="BN307"/>
      <c r="BO307"/>
      <c r="BP307"/>
      <c r="BQ307"/>
      <c r="BR307"/>
      <c r="BS307"/>
      <c r="BT307"/>
      <c r="BU307"/>
      <c r="BV307"/>
      <c r="BW307"/>
      <c r="BX307"/>
      <c r="BY307"/>
      <c r="BZ307"/>
      <c r="CA307"/>
      <c r="CB307"/>
      <c r="CC307"/>
    </row>
    <row r="308" spans="1:81" x14ac:dyDescent="0.25">
      <c r="A308"/>
      <c r="B308"/>
      <c r="C308"/>
      <c r="D308"/>
      <c r="E308"/>
      <c r="F308"/>
      <c r="G308"/>
      <c r="H308"/>
      <c r="I308"/>
      <c r="J308"/>
      <c r="K308"/>
      <c r="L308"/>
      <c r="M308"/>
      <c r="N308"/>
      <c r="O308"/>
      <c r="P308"/>
      <c r="Q308"/>
      <c r="R308"/>
      <c r="S308"/>
      <c r="T308"/>
      <c r="U308"/>
      <c r="V308"/>
      <c r="W308"/>
      <c r="X308"/>
      <c r="Y308"/>
      <c r="Z308"/>
      <c r="AA308"/>
      <c r="AB308"/>
      <c r="AC308"/>
      <c r="AD308"/>
      <c r="AE308"/>
      <c r="AF308"/>
      <c r="AG308"/>
      <c r="AH308"/>
      <c r="AI308"/>
      <c r="AJ308"/>
      <c r="AK308"/>
      <c r="AL308"/>
      <c r="AM308"/>
      <c r="AN308"/>
      <c r="AO308"/>
      <c r="AP308"/>
      <c r="AQ308"/>
      <c r="AR308"/>
      <c r="AS308"/>
      <c r="AT308"/>
      <c r="AU308"/>
      <c r="AV308"/>
      <c r="AW308"/>
      <c r="AX308"/>
      <c r="AY308"/>
      <c r="AZ308"/>
      <c r="BA308"/>
      <c r="BB308"/>
      <c r="BC308"/>
      <c r="BD308"/>
      <c r="BE308"/>
      <c r="BF308"/>
      <c r="BG308"/>
      <c r="BH308"/>
      <c r="BI308"/>
      <c r="BJ308"/>
      <c r="BK308"/>
      <c r="BL308"/>
      <c r="BM308"/>
      <c r="BN308"/>
      <c r="BO308"/>
      <c r="BP308"/>
      <c r="BQ308"/>
      <c r="BR308"/>
      <c r="BS308"/>
      <c r="BT308"/>
      <c r="BU308"/>
      <c r="BV308"/>
      <c r="BW308"/>
      <c r="BX308"/>
      <c r="BY308"/>
      <c r="BZ308"/>
      <c r="CA308"/>
      <c r="CB308"/>
      <c r="CC308"/>
    </row>
    <row r="309" spans="1:81" x14ac:dyDescent="0.25">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c r="AI309"/>
      <c r="AJ309"/>
      <c r="AK309"/>
      <c r="AL309"/>
      <c r="AM309"/>
      <c r="AN309"/>
      <c r="AO309"/>
      <c r="AP309"/>
      <c r="AQ309"/>
      <c r="AR309"/>
      <c r="AS309"/>
      <c r="AT309"/>
      <c r="AU309"/>
      <c r="AV309"/>
      <c r="AW309"/>
      <c r="AX309"/>
      <c r="AY309"/>
      <c r="AZ309"/>
      <c r="BA309"/>
      <c r="BB309"/>
      <c r="BC309"/>
      <c r="BD309"/>
      <c r="BE309"/>
      <c r="BF309"/>
      <c r="BG309"/>
      <c r="BH309"/>
      <c r="BI309"/>
      <c r="BJ309"/>
      <c r="BK309"/>
      <c r="BL309"/>
      <c r="BM309"/>
      <c r="BN309"/>
      <c r="BO309"/>
      <c r="BP309"/>
      <c r="BQ309"/>
      <c r="BR309"/>
      <c r="BS309"/>
      <c r="BT309"/>
      <c r="BU309"/>
      <c r="BV309"/>
      <c r="BW309"/>
      <c r="BX309"/>
      <c r="BY309"/>
      <c r="BZ309"/>
      <c r="CA309"/>
      <c r="CB309"/>
      <c r="CC309"/>
    </row>
    <row r="310" spans="1:81" x14ac:dyDescent="0.25">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c r="AI310"/>
      <c r="AJ310"/>
      <c r="AK310"/>
      <c r="AL310"/>
      <c r="AM310"/>
      <c r="AN310"/>
      <c r="AO310"/>
      <c r="AP310"/>
      <c r="AQ310"/>
      <c r="AR310"/>
      <c r="AS310"/>
      <c r="AT310"/>
      <c r="AU310"/>
      <c r="AV310"/>
      <c r="AW310"/>
      <c r="AX310"/>
      <c r="AY310"/>
      <c r="AZ310"/>
      <c r="BA310"/>
      <c r="BB310"/>
      <c r="BC310"/>
      <c r="BD310"/>
      <c r="BE310"/>
      <c r="BF310"/>
      <c r="BG310"/>
      <c r="BH310"/>
      <c r="BI310"/>
      <c r="BJ310"/>
      <c r="BK310"/>
      <c r="BL310"/>
      <c r="BM310"/>
      <c r="BN310"/>
      <c r="BO310"/>
      <c r="BP310"/>
      <c r="BQ310"/>
      <c r="BR310"/>
      <c r="BS310"/>
      <c r="BT310"/>
      <c r="BU310"/>
      <c r="BV310"/>
      <c r="BW310"/>
      <c r="BX310"/>
      <c r="BY310"/>
      <c r="BZ310"/>
      <c r="CA310"/>
      <c r="CB310"/>
      <c r="CC310"/>
    </row>
    <row r="311" spans="1:81" x14ac:dyDescent="0.25">
      <c r="A311"/>
      <c r="B311"/>
      <c r="C311"/>
      <c r="D311"/>
      <c r="E311"/>
      <c r="F311"/>
      <c r="G311"/>
      <c r="H311"/>
      <c r="I311"/>
      <c r="J311"/>
      <c r="K311"/>
      <c r="L311"/>
      <c r="M311"/>
      <c r="N311"/>
      <c r="O311"/>
      <c r="P311"/>
      <c r="Q311"/>
      <c r="R311"/>
      <c r="S311"/>
      <c r="T311"/>
      <c r="U311"/>
      <c r="V311"/>
      <c r="W311"/>
      <c r="X311"/>
      <c r="Y311"/>
      <c r="Z311"/>
      <c r="AA311"/>
      <c r="AB311"/>
      <c r="AC311"/>
      <c r="AD311"/>
      <c r="AE311"/>
      <c r="AF311"/>
      <c r="AG311"/>
      <c r="AH311"/>
      <c r="AI311"/>
      <c r="AJ311"/>
      <c r="AK311"/>
      <c r="AL311"/>
      <c r="AM311"/>
      <c r="AN311"/>
      <c r="AO311"/>
      <c r="AP311"/>
      <c r="AQ311"/>
      <c r="AR311"/>
      <c r="AS311"/>
      <c r="AT311"/>
      <c r="AU311"/>
      <c r="AV311"/>
      <c r="AW311"/>
      <c r="AX311"/>
      <c r="AY311"/>
      <c r="AZ311"/>
      <c r="BA311"/>
      <c r="BB311"/>
      <c r="BC311"/>
      <c r="BD311"/>
      <c r="BE311"/>
      <c r="BF311"/>
      <c r="BG311"/>
      <c r="BH311"/>
      <c r="BI311"/>
      <c r="BJ311"/>
      <c r="BK311"/>
      <c r="BL311"/>
      <c r="BM311"/>
      <c r="BN311"/>
      <c r="BO311"/>
      <c r="BP311"/>
      <c r="BQ311"/>
      <c r="BR311"/>
      <c r="BS311"/>
      <c r="BT311"/>
      <c r="BU311"/>
      <c r="BV311"/>
      <c r="BW311"/>
      <c r="BX311"/>
      <c r="BY311"/>
      <c r="BZ311"/>
      <c r="CA311"/>
      <c r="CB311"/>
      <c r="CC311"/>
    </row>
    <row r="312" spans="1:81" x14ac:dyDescent="0.25">
      <c r="A312"/>
      <c r="B312"/>
      <c r="C312"/>
      <c r="D312"/>
      <c r="E312"/>
      <c r="F312"/>
      <c r="G312"/>
      <c r="H312"/>
      <c r="I312"/>
      <c r="J312"/>
      <c r="K312"/>
      <c r="L312"/>
      <c r="M312"/>
      <c r="N312"/>
      <c r="O312"/>
      <c r="P312"/>
      <c r="Q312"/>
      <c r="R312"/>
      <c r="S312"/>
      <c r="T312"/>
      <c r="U312"/>
      <c r="V312"/>
      <c r="W312"/>
      <c r="X312"/>
      <c r="Y312"/>
      <c r="Z312"/>
      <c r="AA312"/>
      <c r="AB312"/>
      <c r="AC312"/>
      <c r="AD312"/>
      <c r="AE312"/>
      <c r="AF312"/>
      <c r="AG312"/>
      <c r="AH312"/>
      <c r="AI312"/>
      <c r="AJ312"/>
      <c r="AK312"/>
      <c r="AL312"/>
      <c r="AM312"/>
      <c r="AN312"/>
      <c r="AO312"/>
      <c r="AP312"/>
      <c r="AQ312"/>
      <c r="AR312"/>
      <c r="AS312"/>
      <c r="AT312"/>
      <c r="AU312"/>
      <c r="AV312"/>
      <c r="AW312"/>
      <c r="AX312"/>
      <c r="AY312"/>
      <c r="AZ312"/>
      <c r="BA312"/>
      <c r="BB312"/>
      <c r="BC312"/>
      <c r="BD312"/>
      <c r="BE312"/>
      <c r="BF312"/>
      <c r="BG312"/>
      <c r="BH312"/>
      <c r="BI312"/>
      <c r="BJ312"/>
      <c r="BK312"/>
      <c r="BL312"/>
      <c r="BM312"/>
      <c r="BN312"/>
      <c r="BO312"/>
      <c r="BP312"/>
      <c r="BQ312"/>
      <c r="BR312"/>
      <c r="BS312"/>
      <c r="BT312"/>
      <c r="BU312"/>
      <c r="BV312"/>
      <c r="BW312"/>
      <c r="BX312"/>
      <c r="BY312"/>
      <c r="BZ312"/>
      <c r="CA312"/>
      <c r="CB312"/>
      <c r="CC312"/>
    </row>
    <row r="313" spans="1:81" x14ac:dyDescent="0.25">
      <c r="A313"/>
      <c r="B313"/>
      <c r="C313"/>
      <c r="D313"/>
      <c r="E313"/>
      <c r="F313"/>
      <c r="G313"/>
      <c r="H313"/>
      <c r="I313"/>
      <c r="J313"/>
      <c r="K313"/>
      <c r="L313"/>
      <c r="M313"/>
      <c r="N313"/>
      <c r="O313"/>
      <c r="P313"/>
      <c r="Q313"/>
      <c r="R313"/>
      <c r="S313"/>
      <c r="T313"/>
      <c r="U313"/>
      <c r="V313"/>
      <c r="W313"/>
      <c r="X313"/>
      <c r="Y313"/>
      <c r="Z313"/>
      <c r="AA313"/>
      <c r="AB313"/>
      <c r="AC313"/>
      <c r="AD313"/>
      <c r="AE313"/>
      <c r="AF313"/>
      <c r="AG313"/>
      <c r="AH313"/>
      <c r="AI313"/>
      <c r="AJ313"/>
      <c r="AK313"/>
      <c r="AL313"/>
      <c r="AM313"/>
      <c r="AN313"/>
      <c r="AO313"/>
      <c r="AP313"/>
      <c r="AQ313"/>
      <c r="AR313"/>
      <c r="AS313"/>
      <c r="AT313"/>
      <c r="AU313"/>
      <c r="AV313"/>
      <c r="AW313"/>
      <c r="AX313"/>
      <c r="AY313"/>
      <c r="AZ313"/>
      <c r="BA313"/>
      <c r="BB313"/>
      <c r="BC313"/>
      <c r="BD313"/>
      <c r="BE313"/>
      <c r="BF313"/>
      <c r="BG313"/>
      <c r="BH313"/>
      <c r="BI313"/>
      <c r="BJ313"/>
      <c r="BK313"/>
      <c r="BL313"/>
      <c r="BM313"/>
      <c r="BN313"/>
      <c r="BO313"/>
      <c r="BP313"/>
      <c r="BQ313"/>
      <c r="BR313"/>
      <c r="BS313"/>
      <c r="BT313"/>
      <c r="BU313"/>
      <c r="BV313"/>
      <c r="BW313"/>
      <c r="BX313"/>
      <c r="BY313"/>
      <c r="BZ313"/>
      <c r="CA313"/>
      <c r="CB313"/>
      <c r="CC313"/>
    </row>
    <row r="314" spans="1:81" x14ac:dyDescent="0.25">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c r="AI314"/>
      <c r="AJ314"/>
      <c r="AK314"/>
      <c r="AL314"/>
      <c r="AM314"/>
      <c r="AN314"/>
      <c r="AO314"/>
      <c r="AP314"/>
      <c r="AQ314"/>
      <c r="AR314"/>
      <c r="AS314"/>
      <c r="AT314"/>
      <c r="AU314"/>
      <c r="AV314"/>
      <c r="AW314"/>
      <c r="AX314"/>
      <c r="AY314"/>
      <c r="AZ314"/>
      <c r="BA314"/>
      <c r="BB314"/>
      <c r="BC314"/>
      <c r="BD314"/>
      <c r="BE314"/>
      <c r="BF314"/>
      <c r="BG314"/>
      <c r="BH314"/>
      <c r="BI314"/>
      <c r="BJ314"/>
      <c r="BK314"/>
      <c r="BL314"/>
      <c r="BM314"/>
      <c r="BN314"/>
      <c r="BO314"/>
      <c r="BP314"/>
      <c r="BQ314"/>
      <c r="BR314"/>
      <c r="BS314"/>
      <c r="BT314"/>
      <c r="BU314"/>
      <c r="BV314"/>
      <c r="BW314"/>
      <c r="BX314"/>
      <c r="BY314"/>
      <c r="BZ314"/>
      <c r="CA314"/>
      <c r="CB314"/>
      <c r="CC314"/>
    </row>
    <row r="315" spans="1:81" x14ac:dyDescent="0.25">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c r="AI315"/>
      <c r="AJ315"/>
      <c r="AK315"/>
      <c r="AL315"/>
      <c r="AM315"/>
      <c r="AN315"/>
      <c r="AO315"/>
      <c r="AP315"/>
      <c r="AQ315"/>
      <c r="AR315"/>
      <c r="AS315"/>
      <c r="AT315"/>
      <c r="AU315"/>
      <c r="AV315"/>
      <c r="AW315"/>
      <c r="AX315"/>
      <c r="AY315"/>
      <c r="AZ315"/>
      <c r="BA315"/>
      <c r="BB315"/>
      <c r="BC315"/>
      <c r="BD315"/>
      <c r="BE315"/>
      <c r="BF315"/>
      <c r="BG315"/>
      <c r="BH315"/>
      <c r="BI315"/>
      <c r="BJ315"/>
      <c r="BK315"/>
      <c r="BL315"/>
      <c r="BM315"/>
      <c r="BN315"/>
      <c r="BO315"/>
      <c r="BP315"/>
      <c r="BQ315"/>
      <c r="BR315"/>
      <c r="BS315"/>
      <c r="BT315"/>
      <c r="BU315"/>
      <c r="BV315"/>
      <c r="BW315"/>
      <c r="BX315"/>
      <c r="BY315"/>
      <c r="BZ315"/>
      <c r="CA315"/>
      <c r="CB315"/>
      <c r="CC315"/>
    </row>
    <row r="316" spans="1:81" x14ac:dyDescent="0.25">
      <c r="A316"/>
      <c r="B316"/>
      <c r="C316"/>
      <c r="D316"/>
      <c r="E316"/>
      <c r="F316"/>
      <c r="G316"/>
      <c r="H316"/>
      <c r="I316"/>
      <c r="J316"/>
      <c r="K316"/>
      <c r="L316"/>
      <c r="M316"/>
      <c r="N316"/>
      <c r="O316"/>
      <c r="P316"/>
      <c r="Q316"/>
      <c r="R316"/>
      <c r="S316"/>
      <c r="T316"/>
      <c r="U316"/>
      <c r="V316"/>
      <c r="W316"/>
      <c r="X316"/>
      <c r="Y316"/>
      <c r="Z316"/>
      <c r="AA316"/>
      <c r="AB316"/>
      <c r="AC316"/>
      <c r="AD316"/>
      <c r="AE316"/>
      <c r="AF316"/>
      <c r="AG316"/>
      <c r="AH316"/>
      <c r="AI316"/>
      <c r="AJ316"/>
      <c r="AK316"/>
      <c r="AL316"/>
      <c r="AM316"/>
      <c r="AN316"/>
      <c r="AO316"/>
      <c r="AP316"/>
      <c r="AQ316"/>
      <c r="AR316"/>
      <c r="AS316"/>
      <c r="AT316"/>
      <c r="AU316"/>
      <c r="AV316"/>
      <c r="AW316"/>
      <c r="AX316"/>
      <c r="AY316"/>
      <c r="AZ316"/>
      <c r="BA316"/>
      <c r="BB316"/>
      <c r="BC316"/>
      <c r="BD316"/>
      <c r="BE316"/>
      <c r="BF316"/>
      <c r="BG316"/>
      <c r="BH316"/>
      <c r="BI316"/>
      <c r="BJ316"/>
      <c r="BK316"/>
      <c r="BL316"/>
      <c r="BM316"/>
      <c r="BN316"/>
      <c r="BO316"/>
      <c r="BP316"/>
      <c r="BQ316"/>
      <c r="BR316"/>
      <c r="BS316"/>
      <c r="BT316"/>
      <c r="BU316"/>
      <c r="BV316"/>
      <c r="BW316"/>
      <c r="BX316"/>
      <c r="BY316"/>
      <c r="BZ316"/>
      <c r="CA316"/>
      <c r="CB316"/>
      <c r="CC316"/>
    </row>
    <row r="317" spans="1:81" x14ac:dyDescent="0.25">
      <c r="A317"/>
      <c r="B317"/>
      <c r="C317"/>
      <c r="D317"/>
      <c r="E317"/>
      <c r="F317"/>
      <c r="G317"/>
      <c r="H317"/>
      <c r="I317"/>
      <c r="J317"/>
      <c r="K317"/>
      <c r="L317"/>
      <c r="M317"/>
      <c r="N317"/>
      <c r="O317"/>
      <c r="P317"/>
      <c r="Q317"/>
      <c r="R317"/>
      <c r="S317"/>
      <c r="T317"/>
      <c r="U317"/>
      <c r="V317"/>
      <c r="W317"/>
      <c r="X317"/>
      <c r="Y317"/>
      <c r="Z317"/>
      <c r="AA317"/>
      <c r="AB317"/>
      <c r="AC317"/>
      <c r="AD317"/>
      <c r="AE317"/>
      <c r="AF317"/>
      <c r="AG317"/>
      <c r="AH317"/>
      <c r="AI317"/>
      <c r="AJ317"/>
      <c r="AK317"/>
      <c r="AL317"/>
      <c r="AM317"/>
      <c r="AN317"/>
      <c r="AO317"/>
      <c r="AP317"/>
      <c r="AQ317"/>
      <c r="AR317"/>
      <c r="AS317"/>
      <c r="AT317"/>
      <c r="AU317"/>
      <c r="AV317"/>
      <c r="AW317"/>
      <c r="AX317"/>
      <c r="AY317"/>
      <c r="AZ317"/>
      <c r="BA317"/>
      <c r="BB317"/>
      <c r="BC317"/>
      <c r="BD317"/>
      <c r="BE317"/>
      <c r="BF317"/>
      <c r="BG317"/>
      <c r="BH317"/>
      <c r="BI317"/>
      <c r="BJ317"/>
      <c r="BK317"/>
      <c r="BL317"/>
      <c r="BM317"/>
      <c r="BN317"/>
      <c r="BO317"/>
      <c r="BP317"/>
      <c r="BQ317"/>
      <c r="BR317"/>
      <c r="BS317"/>
      <c r="BT317"/>
      <c r="BU317"/>
      <c r="BV317"/>
      <c r="BW317"/>
      <c r="BX317"/>
      <c r="BY317"/>
      <c r="BZ317"/>
      <c r="CA317"/>
      <c r="CB317"/>
      <c r="CC317"/>
    </row>
    <row r="318" spans="1:81" x14ac:dyDescent="0.25">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c r="AI318"/>
      <c r="AJ318"/>
      <c r="AK318"/>
      <c r="AL318"/>
      <c r="AM318"/>
      <c r="AN318"/>
      <c r="AO318"/>
      <c r="AP318"/>
      <c r="AQ318"/>
      <c r="AR318"/>
      <c r="AS318"/>
      <c r="AT318"/>
      <c r="AU318"/>
      <c r="AV318"/>
      <c r="AW318"/>
      <c r="AX318"/>
      <c r="AY318"/>
      <c r="AZ318"/>
      <c r="BA318"/>
      <c r="BB318"/>
      <c r="BC318"/>
      <c r="BD318"/>
      <c r="BE318"/>
      <c r="BF318"/>
      <c r="BG318"/>
      <c r="BH318"/>
      <c r="BI318"/>
      <c r="BJ318"/>
      <c r="BK318"/>
      <c r="BL318"/>
      <c r="BM318"/>
      <c r="BN318"/>
      <c r="BO318"/>
      <c r="BP318"/>
      <c r="BQ318"/>
      <c r="BR318"/>
      <c r="BS318"/>
      <c r="BT318"/>
      <c r="BU318"/>
      <c r="BV318"/>
      <c r="BW318"/>
      <c r="BX318"/>
      <c r="BY318"/>
      <c r="BZ318"/>
      <c r="CA318"/>
      <c r="CB318"/>
      <c r="CC318"/>
    </row>
    <row r="319" spans="1:81" x14ac:dyDescent="0.25">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c r="AI319"/>
      <c r="AJ319"/>
      <c r="AK319"/>
      <c r="AL319"/>
      <c r="AM319"/>
      <c r="AN319"/>
      <c r="AO319"/>
      <c r="AP319"/>
      <c r="AQ319"/>
      <c r="AR319"/>
      <c r="AS319"/>
      <c r="AT319"/>
      <c r="AU319"/>
      <c r="AV319"/>
      <c r="AW319"/>
      <c r="AX319"/>
      <c r="AY319"/>
      <c r="AZ319"/>
      <c r="BA319"/>
      <c r="BB319"/>
      <c r="BC319"/>
      <c r="BD319"/>
      <c r="BE319"/>
      <c r="BF319"/>
      <c r="BG319"/>
      <c r="BH319"/>
      <c r="BI319"/>
      <c r="BJ319"/>
      <c r="BK319"/>
      <c r="BL319"/>
      <c r="BM319"/>
      <c r="BN319"/>
      <c r="BO319"/>
      <c r="BP319"/>
      <c r="BQ319"/>
      <c r="BR319"/>
      <c r="BS319"/>
      <c r="BT319"/>
      <c r="BU319"/>
      <c r="BV319"/>
      <c r="BW319"/>
      <c r="BX319"/>
      <c r="BY319"/>
      <c r="BZ319"/>
      <c r="CA319"/>
      <c r="CB319"/>
      <c r="CC319"/>
    </row>
    <row r="320" spans="1:81" x14ac:dyDescent="0.25">
      <c r="A320"/>
      <c r="B320"/>
      <c r="C320"/>
      <c r="D320"/>
      <c r="E320"/>
      <c r="F320"/>
      <c r="G320"/>
      <c r="H320"/>
      <c r="I320"/>
      <c r="J320"/>
      <c r="K320"/>
      <c r="L320"/>
      <c r="M320"/>
      <c r="N320"/>
      <c r="O320"/>
      <c r="P320"/>
      <c r="Q320"/>
      <c r="R320"/>
      <c r="S320"/>
      <c r="T320"/>
      <c r="U320"/>
      <c r="V320"/>
      <c r="W320"/>
      <c r="X320"/>
      <c r="Y320"/>
      <c r="Z320"/>
      <c r="AA320"/>
      <c r="AB320"/>
      <c r="AC320"/>
      <c r="AD320"/>
      <c r="AE320"/>
      <c r="AF320"/>
      <c r="AG320"/>
      <c r="AH320"/>
      <c r="AI320"/>
      <c r="AJ320"/>
      <c r="AK320"/>
      <c r="AL320"/>
      <c r="AM320"/>
      <c r="AN320"/>
      <c r="AO320"/>
      <c r="AP320"/>
      <c r="AQ320"/>
      <c r="AR320"/>
      <c r="AS320"/>
      <c r="AT320"/>
      <c r="AU320"/>
      <c r="AV320"/>
      <c r="AW320"/>
      <c r="AX320"/>
      <c r="AY320"/>
      <c r="AZ320"/>
      <c r="BA320"/>
      <c r="BB320"/>
      <c r="BC320"/>
      <c r="BD320"/>
      <c r="BE320"/>
      <c r="BF320"/>
      <c r="BG320"/>
      <c r="BH320"/>
      <c r="BI320"/>
      <c r="BJ320"/>
      <c r="BK320"/>
      <c r="BL320"/>
      <c r="BM320"/>
      <c r="BN320"/>
      <c r="BO320"/>
      <c r="BP320"/>
      <c r="BQ320"/>
      <c r="BR320"/>
      <c r="BS320"/>
      <c r="BT320"/>
      <c r="BU320"/>
      <c r="BV320"/>
      <c r="BW320"/>
      <c r="BX320"/>
      <c r="BY320"/>
      <c r="BZ320"/>
      <c r="CA320"/>
      <c r="CB320"/>
      <c r="CC320"/>
    </row>
    <row r="321" spans="1:81" x14ac:dyDescent="0.25">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c r="AI321"/>
      <c r="AJ321"/>
      <c r="AK321"/>
      <c r="AL321"/>
      <c r="AM321"/>
      <c r="AN321"/>
      <c r="AO321"/>
      <c r="AP321"/>
      <c r="AQ321"/>
      <c r="AR321"/>
      <c r="AS321"/>
      <c r="AT321"/>
      <c r="AU321"/>
      <c r="AV321"/>
      <c r="AW321"/>
      <c r="AX321"/>
      <c r="AY321"/>
      <c r="AZ321"/>
      <c r="BA321"/>
      <c r="BB321"/>
      <c r="BC321"/>
      <c r="BD321"/>
      <c r="BE321"/>
      <c r="BF321"/>
      <c r="BG321"/>
      <c r="BH321"/>
      <c r="BI321"/>
      <c r="BJ321"/>
      <c r="BK321"/>
      <c r="BL321"/>
      <c r="BM321"/>
      <c r="BN321"/>
      <c r="BO321"/>
      <c r="BP321"/>
      <c r="BQ321"/>
      <c r="BR321"/>
      <c r="BS321"/>
      <c r="BT321"/>
      <c r="BU321"/>
      <c r="BV321"/>
      <c r="BW321"/>
      <c r="BX321"/>
      <c r="BY321"/>
      <c r="BZ321"/>
      <c r="CA321"/>
      <c r="CB321"/>
      <c r="CC321"/>
    </row>
    <row r="322" spans="1:81" x14ac:dyDescent="0.25">
      <c r="A322"/>
      <c r="B322"/>
      <c r="C322"/>
      <c r="D322"/>
      <c r="E322"/>
      <c r="F322"/>
      <c r="G322"/>
      <c r="H322"/>
      <c r="I322"/>
      <c r="J322"/>
      <c r="K322"/>
      <c r="L322"/>
      <c r="M322"/>
      <c r="N322"/>
      <c r="O322"/>
      <c r="P322"/>
      <c r="Q322"/>
      <c r="R322"/>
      <c r="S322"/>
      <c r="T322"/>
      <c r="U322"/>
      <c r="V322"/>
      <c r="W322"/>
      <c r="X322"/>
      <c r="Y322"/>
      <c r="Z322"/>
      <c r="AA322"/>
      <c r="AB322"/>
      <c r="AC322"/>
      <c r="AD322"/>
      <c r="AE322"/>
      <c r="AF322"/>
      <c r="AG322"/>
      <c r="AH322"/>
      <c r="AI322"/>
      <c r="AJ322"/>
      <c r="AK322"/>
      <c r="AL322"/>
      <c r="AM322"/>
      <c r="AN322"/>
      <c r="AO322"/>
      <c r="AP322"/>
      <c r="AQ322"/>
      <c r="AR322"/>
      <c r="AS322"/>
      <c r="AT322"/>
      <c r="AU322"/>
      <c r="AV322"/>
      <c r="AW322"/>
      <c r="AX322"/>
      <c r="AY322"/>
      <c r="AZ322"/>
      <c r="BA322"/>
      <c r="BB322"/>
      <c r="BC322"/>
      <c r="BD322"/>
      <c r="BE322"/>
      <c r="BF322"/>
      <c r="BG322"/>
      <c r="BH322"/>
      <c r="BI322"/>
      <c r="BJ322"/>
      <c r="BK322"/>
      <c r="BL322"/>
      <c r="BM322"/>
      <c r="BN322"/>
      <c r="BO322"/>
      <c r="BP322"/>
      <c r="BQ322"/>
      <c r="BR322"/>
      <c r="BS322"/>
      <c r="BT322"/>
      <c r="BU322"/>
      <c r="BV322"/>
      <c r="BW322"/>
      <c r="BX322"/>
      <c r="BY322"/>
      <c r="BZ322"/>
      <c r="CA322"/>
      <c r="CB322"/>
      <c r="CC322"/>
    </row>
    <row r="323" spans="1:81" x14ac:dyDescent="0.25">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c r="AI323"/>
      <c r="AJ323"/>
      <c r="AK323"/>
      <c r="AL323"/>
      <c r="AM323"/>
      <c r="AN323"/>
      <c r="AO323"/>
      <c r="AP323"/>
      <c r="AQ323"/>
      <c r="AR323"/>
      <c r="AS323"/>
      <c r="AT323"/>
      <c r="AU323"/>
      <c r="AV323"/>
      <c r="AW323"/>
      <c r="AX323"/>
      <c r="AY323"/>
      <c r="AZ323"/>
      <c r="BA323"/>
      <c r="BB323"/>
      <c r="BC323"/>
      <c r="BD323"/>
      <c r="BE323"/>
      <c r="BF323"/>
      <c r="BG323"/>
      <c r="BH323"/>
      <c r="BI323"/>
      <c r="BJ323"/>
      <c r="BK323"/>
      <c r="BL323"/>
      <c r="BM323"/>
      <c r="BN323"/>
      <c r="BO323"/>
      <c r="BP323"/>
      <c r="BQ323"/>
      <c r="BR323"/>
      <c r="BS323"/>
      <c r="BT323"/>
      <c r="BU323"/>
      <c r="BV323"/>
      <c r="BW323"/>
      <c r="BX323"/>
      <c r="BY323"/>
      <c r="BZ323"/>
      <c r="CA323"/>
      <c r="CB323"/>
      <c r="CC323"/>
    </row>
    <row r="324" spans="1:81" x14ac:dyDescent="0.25">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c r="AI324"/>
      <c r="AJ324"/>
      <c r="AK324"/>
      <c r="AL324"/>
      <c r="AM324"/>
      <c r="AN324"/>
      <c r="AO324"/>
      <c r="AP324"/>
      <c r="AQ324"/>
      <c r="AR324"/>
      <c r="AS324"/>
      <c r="AT324"/>
      <c r="AU324"/>
      <c r="AV324"/>
      <c r="AW324"/>
      <c r="AX324"/>
      <c r="AY324"/>
      <c r="AZ324"/>
      <c r="BA324"/>
      <c r="BB324"/>
      <c r="BC324"/>
      <c r="BD324"/>
      <c r="BE324"/>
      <c r="BF324"/>
      <c r="BG324"/>
      <c r="BH324"/>
      <c r="BI324"/>
      <c r="BJ324"/>
      <c r="BK324"/>
      <c r="BL324"/>
      <c r="BM324"/>
      <c r="BN324"/>
      <c r="BO324"/>
      <c r="BP324"/>
      <c r="BQ324"/>
      <c r="BR324"/>
      <c r="BS324"/>
      <c r="BT324"/>
      <c r="BU324"/>
      <c r="BV324"/>
      <c r="BW324"/>
      <c r="BX324"/>
      <c r="BY324"/>
      <c r="BZ324"/>
      <c r="CA324"/>
      <c r="CB324"/>
      <c r="CC324"/>
    </row>
    <row r="325" spans="1:81" x14ac:dyDescent="0.25">
      <c r="A325"/>
      <c r="B325"/>
      <c r="C325"/>
      <c r="D325"/>
      <c r="E325"/>
      <c r="F325"/>
      <c r="G325"/>
      <c r="H325"/>
      <c r="I325"/>
      <c r="J325"/>
      <c r="K325"/>
      <c r="L325"/>
      <c r="M325"/>
      <c r="N325"/>
      <c r="O325"/>
      <c r="P325"/>
      <c r="Q325"/>
      <c r="R325"/>
      <c r="S325"/>
      <c r="T325"/>
      <c r="U325"/>
      <c r="V325"/>
      <c r="W325"/>
      <c r="X325"/>
      <c r="Y325"/>
      <c r="Z325"/>
      <c r="AA325"/>
      <c r="AB325"/>
      <c r="AC325"/>
      <c r="AD325"/>
      <c r="AE325"/>
      <c r="AF325"/>
      <c r="AG325"/>
      <c r="AH325"/>
      <c r="AI325"/>
      <c r="AJ325"/>
      <c r="AK325"/>
      <c r="AL325"/>
      <c r="AM325"/>
      <c r="AN325"/>
      <c r="AO325"/>
      <c r="AP325"/>
      <c r="AQ325"/>
      <c r="AR325"/>
      <c r="AS325"/>
      <c r="AT325"/>
      <c r="AU325"/>
      <c r="AV325"/>
      <c r="AW325"/>
      <c r="AX325"/>
      <c r="AY325"/>
      <c r="AZ325"/>
      <c r="BA325"/>
      <c r="BB325"/>
      <c r="BC325"/>
      <c r="BD325"/>
      <c r="BE325"/>
      <c r="BF325"/>
      <c r="BG325"/>
      <c r="BH325"/>
      <c r="BI325"/>
      <c r="BJ325"/>
      <c r="BK325"/>
      <c r="BL325"/>
      <c r="BM325"/>
      <c r="BN325"/>
      <c r="BO325"/>
      <c r="BP325"/>
      <c r="BQ325"/>
      <c r="BR325"/>
      <c r="BS325"/>
      <c r="BT325"/>
      <c r="BU325"/>
      <c r="BV325"/>
      <c r="BW325"/>
      <c r="BX325"/>
      <c r="BY325"/>
      <c r="BZ325"/>
      <c r="CA325"/>
      <c r="CB325"/>
      <c r="CC325"/>
    </row>
    <row r="326" spans="1:81" x14ac:dyDescent="0.25">
      <c r="A326"/>
      <c r="B326"/>
      <c r="C326"/>
      <c r="D326"/>
      <c r="E326"/>
      <c r="F326"/>
      <c r="G326"/>
      <c r="H326"/>
      <c r="I326"/>
      <c r="J326"/>
      <c r="K326"/>
      <c r="L326"/>
      <c r="M326"/>
      <c r="N326"/>
      <c r="O326"/>
      <c r="P326"/>
      <c r="Q326"/>
      <c r="R326"/>
      <c r="S326"/>
      <c r="T326"/>
      <c r="U326"/>
      <c r="V326"/>
      <c r="W326"/>
      <c r="X326"/>
      <c r="Y326"/>
      <c r="Z326"/>
      <c r="AA326"/>
      <c r="AB326"/>
      <c r="AC326"/>
      <c r="AD326"/>
      <c r="AE326"/>
      <c r="AF326"/>
      <c r="AG326"/>
      <c r="AH326"/>
      <c r="AI326"/>
      <c r="AJ326"/>
      <c r="AK326"/>
      <c r="AL326"/>
      <c r="AM326"/>
      <c r="AN326"/>
      <c r="AO326"/>
      <c r="AP326"/>
      <c r="AQ326"/>
      <c r="AR326"/>
      <c r="AS326"/>
      <c r="AT326"/>
      <c r="AU326"/>
      <c r="AV326"/>
      <c r="AW326"/>
      <c r="AX326"/>
      <c r="AY326"/>
      <c r="AZ326"/>
      <c r="BA326"/>
      <c r="BB326"/>
      <c r="BC326"/>
      <c r="BD326"/>
      <c r="BE326"/>
      <c r="BF326"/>
      <c r="BG326"/>
      <c r="BH326"/>
      <c r="BI326"/>
      <c r="BJ326"/>
      <c r="BK326"/>
      <c r="BL326"/>
      <c r="BM326"/>
      <c r="BN326"/>
      <c r="BO326"/>
      <c r="BP326"/>
      <c r="BQ326"/>
      <c r="BR326"/>
      <c r="BS326"/>
      <c r="BT326"/>
      <c r="BU326"/>
      <c r="BV326"/>
      <c r="BW326"/>
      <c r="BX326"/>
      <c r="BY326"/>
      <c r="BZ326"/>
      <c r="CA326"/>
      <c r="CB326"/>
      <c r="CC326"/>
    </row>
    <row r="327" spans="1:81" x14ac:dyDescent="0.25">
      <c r="A327"/>
      <c r="B327"/>
      <c r="C327"/>
      <c r="D327"/>
      <c r="E327"/>
      <c r="F327"/>
      <c r="G327"/>
      <c r="H327"/>
      <c r="I327"/>
      <c r="J327"/>
      <c r="K327"/>
      <c r="L327"/>
      <c r="M327"/>
      <c r="N327"/>
      <c r="O327"/>
      <c r="P327"/>
      <c r="Q327"/>
      <c r="R327"/>
      <c r="S327"/>
      <c r="T327"/>
      <c r="U327"/>
      <c r="V327"/>
      <c r="W327"/>
      <c r="X327"/>
      <c r="Y327"/>
      <c r="Z327"/>
      <c r="AA327"/>
      <c r="AB327"/>
      <c r="AC327"/>
      <c r="AD327"/>
      <c r="AE327"/>
      <c r="AF327"/>
      <c r="AG327"/>
      <c r="AH327"/>
      <c r="AI327"/>
      <c r="AJ327"/>
      <c r="AK327"/>
      <c r="AL327"/>
      <c r="AM327"/>
      <c r="AN327"/>
      <c r="AO327"/>
      <c r="AP327"/>
      <c r="AQ327"/>
      <c r="AR327"/>
      <c r="AS327"/>
      <c r="AT327"/>
      <c r="AU327"/>
      <c r="AV327"/>
      <c r="AW327"/>
      <c r="AX327"/>
      <c r="AY327"/>
      <c r="AZ327"/>
      <c r="BA327"/>
      <c r="BB327"/>
      <c r="BC327"/>
      <c r="BD327"/>
      <c r="BE327"/>
      <c r="BF327"/>
      <c r="BG327"/>
      <c r="BH327"/>
      <c r="BI327"/>
      <c r="BJ327"/>
      <c r="BK327"/>
      <c r="BL327"/>
      <c r="BM327"/>
      <c r="BN327"/>
      <c r="BO327"/>
      <c r="BP327"/>
      <c r="BQ327"/>
      <c r="BR327"/>
      <c r="BS327"/>
      <c r="BT327"/>
      <c r="BU327"/>
      <c r="BV327"/>
      <c r="BW327"/>
      <c r="BX327"/>
      <c r="BY327"/>
      <c r="BZ327"/>
      <c r="CA327"/>
      <c r="CB327"/>
      <c r="CC327"/>
    </row>
    <row r="328" spans="1:81" x14ac:dyDescent="0.25">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c r="AI328"/>
      <c r="AJ328"/>
      <c r="AK328"/>
      <c r="AL328"/>
      <c r="AM328"/>
      <c r="AN328"/>
      <c r="AO328"/>
      <c r="AP328"/>
      <c r="AQ328"/>
      <c r="AR328"/>
      <c r="AS328"/>
      <c r="AT328"/>
      <c r="AU328"/>
      <c r="AV328"/>
      <c r="AW328"/>
      <c r="AX328"/>
      <c r="AY328"/>
      <c r="AZ328"/>
      <c r="BA328"/>
      <c r="BB328"/>
      <c r="BC328"/>
      <c r="BD328"/>
      <c r="BE328"/>
      <c r="BF328"/>
      <c r="BG328"/>
      <c r="BH328"/>
      <c r="BI328"/>
      <c r="BJ328"/>
      <c r="BK328"/>
      <c r="BL328"/>
      <c r="BM328"/>
      <c r="BN328"/>
      <c r="BO328"/>
      <c r="BP328"/>
      <c r="BQ328"/>
      <c r="BR328"/>
      <c r="BS328"/>
      <c r="BT328"/>
      <c r="BU328"/>
      <c r="BV328"/>
      <c r="BW328"/>
      <c r="BX328"/>
      <c r="BY328"/>
      <c r="BZ328"/>
      <c r="CA328"/>
      <c r="CB328"/>
      <c r="CC328"/>
    </row>
    <row r="329" spans="1:81" x14ac:dyDescent="0.25">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c r="AI329"/>
      <c r="AJ329"/>
      <c r="AK329"/>
      <c r="AL329"/>
      <c r="AM329"/>
      <c r="AN329"/>
      <c r="AO329"/>
      <c r="AP329"/>
      <c r="AQ329"/>
      <c r="AR329"/>
      <c r="AS329"/>
      <c r="AT329"/>
      <c r="AU329"/>
      <c r="AV329"/>
      <c r="AW329"/>
      <c r="AX329"/>
      <c r="AY329"/>
      <c r="AZ329"/>
      <c r="BA329"/>
      <c r="BB329"/>
      <c r="BC329"/>
      <c r="BD329"/>
      <c r="BE329"/>
      <c r="BF329"/>
      <c r="BG329"/>
      <c r="BH329"/>
      <c r="BI329"/>
      <c r="BJ329"/>
      <c r="BK329"/>
      <c r="BL329"/>
      <c r="BM329"/>
      <c r="BN329"/>
      <c r="BO329"/>
      <c r="BP329"/>
      <c r="BQ329"/>
      <c r="BR329"/>
      <c r="BS329"/>
      <c r="BT329"/>
      <c r="BU329"/>
      <c r="BV329"/>
      <c r="BW329"/>
      <c r="BX329"/>
      <c r="BY329"/>
      <c r="BZ329"/>
      <c r="CA329"/>
      <c r="CB329"/>
      <c r="CC329"/>
    </row>
    <row r="330" spans="1:81" x14ac:dyDescent="0.25">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c r="AI330"/>
      <c r="AJ330"/>
      <c r="AK330"/>
      <c r="AL330"/>
      <c r="AM330"/>
      <c r="AN330"/>
      <c r="AO330"/>
      <c r="AP330"/>
      <c r="AQ330"/>
      <c r="AR330"/>
      <c r="AS330"/>
      <c r="AT330"/>
      <c r="AU330"/>
      <c r="AV330"/>
      <c r="AW330"/>
      <c r="AX330"/>
      <c r="AY330"/>
      <c r="AZ330"/>
      <c r="BA330"/>
      <c r="BB330"/>
      <c r="BC330"/>
      <c r="BD330"/>
      <c r="BE330"/>
      <c r="BF330"/>
      <c r="BG330"/>
      <c r="BH330"/>
      <c r="BI330"/>
      <c r="BJ330"/>
      <c r="BK330"/>
      <c r="BL330"/>
      <c r="BM330"/>
      <c r="BN330"/>
      <c r="BO330"/>
      <c r="BP330"/>
      <c r="BQ330"/>
      <c r="BR330"/>
      <c r="BS330"/>
      <c r="BT330"/>
      <c r="BU330"/>
      <c r="BV330"/>
      <c r="BW330"/>
      <c r="BX330"/>
      <c r="BY330"/>
      <c r="BZ330"/>
      <c r="CA330"/>
      <c r="CB330"/>
      <c r="CC330"/>
    </row>
    <row r="331" spans="1:81" x14ac:dyDescent="0.25">
      <c r="A331"/>
      <c r="B331"/>
      <c r="C331"/>
      <c r="D331"/>
      <c r="E331"/>
      <c r="F331"/>
      <c r="G331"/>
      <c r="H331"/>
      <c r="I331"/>
      <c r="J331"/>
      <c r="K331"/>
      <c r="L331"/>
      <c r="M331"/>
      <c r="N331"/>
      <c r="O331"/>
      <c r="P331"/>
      <c r="Q331"/>
      <c r="R331"/>
      <c r="S331"/>
      <c r="T331"/>
      <c r="U331"/>
      <c r="V331"/>
      <c r="W331"/>
      <c r="X331"/>
      <c r="Y331"/>
      <c r="Z331"/>
      <c r="AA331"/>
      <c r="AB331"/>
      <c r="AC331"/>
      <c r="AD331"/>
      <c r="AE331"/>
      <c r="AF331"/>
      <c r="AG331"/>
      <c r="AH331"/>
      <c r="AI331"/>
      <c r="AJ331"/>
      <c r="AK331"/>
      <c r="AL331"/>
      <c r="AM331"/>
      <c r="AN331"/>
      <c r="AO331"/>
      <c r="AP331"/>
      <c r="AQ331"/>
      <c r="AR331"/>
      <c r="AS331"/>
      <c r="AT331"/>
      <c r="AU331"/>
      <c r="AV331"/>
      <c r="AW331"/>
      <c r="AX331"/>
      <c r="AY331"/>
      <c r="AZ331"/>
      <c r="BA331"/>
      <c r="BB331"/>
      <c r="BC331"/>
      <c r="BD331"/>
      <c r="BE331"/>
      <c r="BF331"/>
      <c r="BG331"/>
      <c r="BH331"/>
      <c r="BI331"/>
      <c r="BJ331"/>
      <c r="BK331"/>
      <c r="BL331"/>
      <c r="BM331"/>
      <c r="BN331"/>
      <c r="BO331"/>
      <c r="BP331"/>
      <c r="BQ331"/>
      <c r="BR331"/>
      <c r="BS331"/>
      <c r="BT331"/>
      <c r="BU331"/>
      <c r="BV331"/>
      <c r="BW331"/>
      <c r="BX331"/>
      <c r="BY331"/>
      <c r="BZ331"/>
      <c r="CA331"/>
      <c r="CB331"/>
      <c r="CC331"/>
    </row>
    <row r="332" spans="1:81" x14ac:dyDescent="0.25">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c r="AI332"/>
      <c r="AJ332"/>
      <c r="AK332"/>
      <c r="AL332"/>
      <c r="AM332"/>
      <c r="AN332"/>
      <c r="AO332"/>
      <c r="AP332"/>
      <c r="AQ332"/>
      <c r="AR332"/>
      <c r="AS332"/>
      <c r="AT332"/>
      <c r="AU332"/>
      <c r="AV332"/>
      <c r="AW332"/>
      <c r="AX332"/>
      <c r="AY332"/>
      <c r="AZ332"/>
      <c r="BA332"/>
      <c r="BB332"/>
      <c r="BC332"/>
      <c r="BD332"/>
      <c r="BE332"/>
      <c r="BF332"/>
      <c r="BG332"/>
      <c r="BH332"/>
      <c r="BI332"/>
      <c r="BJ332"/>
      <c r="BK332"/>
      <c r="BL332"/>
      <c r="BM332"/>
      <c r="BN332"/>
      <c r="BO332"/>
      <c r="BP332"/>
      <c r="BQ332"/>
      <c r="BR332"/>
      <c r="BS332"/>
      <c r="BT332"/>
      <c r="BU332"/>
      <c r="BV332"/>
      <c r="BW332"/>
      <c r="BX332"/>
      <c r="BY332"/>
      <c r="BZ332"/>
      <c r="CA332"/>
      <c r="CB332"/>
      <c r="CC332"/>
    </row>
    <row r="333" spans="1:81" x14ac:dyDescent="0.25">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c r="AI333"/>
      <c r="AJ333"/>
      <c r="AK333"/>
      <c r="AL333"/>
      <c r="AM333"/>
      <c r="AN333"/>
      <c r="AO333"/>
      <c r="AP333"/>
      <c r="AQ333"/>
      <c r="AR333"/>
      <c r="AS333"/>
      <c r="AT333"/>
      <c r="AU333"/>
      <c r="AV333"/>
      <c r="AW333"/>
      <c r="AX333"/>
      <c r="AY333"/>
      <c r="AZ333"/>
      <c r="BA333"/>
      <c r="BB333"/>
      <c r="BC333"/>
      <c r="BD333"/>
      <c r="BE333"/>
      <c r="BF333"/>
      <c r="BG333"/>
      <c r="BH333"/>
      <c r="BI333"/>
      <c r="BJ333"/>
      <c r="BK333"/>
      <c r="BL333"/>
      <c r="BM333"/>
      <c r="BN333"/>
      <c r="BO333"/>
      <c r="BP333"/>
      <c r="BQ333"/>
      <c r="BR333"/>
      <c r="BS333"/>
      <c r="BT333"/>
      <c r="BU333"/>
      <c r="BV333"/>
      <c r="BW333"/>
      <c r="BX333"/>
      <c r="BY333"/>
      <c r="BZ333"/>
      <c r="CA333"/>
      <c r="CB333"/>
      <c r="CC333"/>
    </row>
    <row r="334" spans="1:81" x14ac:dyDescent="0.25">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c r="AI334"/>
      <c r="AJ334"/>
      <c r="AK334"/>
      <c r="AL334"/>
      <c r="AM334"/>
      <c r="AN334"/>
      <c r="AO334"/>
      <c r="AP334"/>
      <c r="AQ334"/>
      <c r="AR334"/>
      <c r="AS334"/>
      <c r="AT334"/>
      <c r="AU334"/>
      <c r="AV334"/>
      <c r="AW334"/>
      <c r="AX334"/>
      <c r="AY334"/>
      <c r="AZ334"/>
      <c r="BA334"/>
      <c r="BB334"/>
      <c r="BC334"/>
      <c r="BD334"/>
      <c r="BE334"/>
      <c r="BF334"/>
      <c r="BG334"/>
      <c r="BH334"/>
      <c r="BI334"/>
      <c r="BJ334"/>
      <c r="BK334"/>
      <c r="BL334"/>
      <c r="BM334"/>
      <c r="BN334"/>
      <c r="BO334"/>
      <c r="BP334"/>
      <c r="BQ334"/>
      <c r="BR334"/>
      <c r="BS334"/>
      <c r="BT334"/>
      <c r="BU334"/>
      <c r="BV334"/>
      <c r="BW334"/>
      <c r="BX334"/>
      <c r="BY334"/>
      <c r="BZ334"/>
      <c r="CA334"/>
      <c r="CB334"/>
      <c r="CC334"/>
    </row>
    <row r="335" spans="1:81" x14ac:dyDescent="0.25">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c r="AI335"/>
      <c r="AJ335"/>
      <c r="AK335"/>
      <c r="AL335"/>
      <c r="AM335"/>
      <c r="AN335"/>
      <c r="AO335"/>
      <c r="AP335"/>
      <c r="AQ335"/>
      <c r="AR335"/>
      <c r="AS335"/>
      <c r="AT335"/>
      <c r="AU335"/>
      <c r="AV335"/>
      <c r="AW335"/>
      <c r="AX335"/>
      <c r="AY335"/>
      <c r="AZ335"/>
      <c r="BA335"/>
      <c r="BB335"/>
      <c r="BC335"/>
      <c r="BD335"/>
      <c r="BE335"/>
      <c r="BF335"/>
      <c r="BG335"/>
      <c r="BH335"/>
      <c r="BI335"/>
      <c r="BJ335"/>
      <c r="BK335"/>
      <c r="BL335"/>
      <c r="BM335"/>
      <c r="BN335"/>
      <c r="BO335"/>
      <c r="BP335"/>
      <c r="BQ335"/>
      <c r="BR335"/>
      <c r="BS335"/>
      <c r="BT335"/>
      <c r="BU335"/>
      <c r="BV335"/>
      <c r="BW335"/>
      <c r="BX335"/>
      <c r="BY335"/>
      <c r="BZ335"/>
      <c r="CA335"/>
      <c r="CB335"/>
      <c r="CC335"/>
    </row>
    <row r="336" spans="1:81" x14ac:dyDescent="0.25">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c r="AJ336"/>
      <c r="AK336"/>
      <c r="AL336"/>
      <c r="AM336"/>
      <c r="AN336"/>
      <c r="AO336"/>
      <c r="AP336"/>
      <c r="AQ336"/>
      <c r="AR336"/>
      <c r="AS336"/>
      <c r="AT336"/>
      <c r="AU336"/>
      <c r="AV336"/>
      <c r="AW336"/>
      <c r="AX336"/>
      <c r="AY336"/>
      <c r="AZ336"/>
      <c r="BA336"/>
      <c r="BB336"/>
      <c r="BC336"/>
      <c r="BD336"/>
      <c r="BE336"/>
      <c r="BF336"/>
      <c r="BG336"/>
      <c r="BH336"/>
      <c r="BI336"/>
      <c r="BJ336"/>
      <c r="BK336"/>
      <c r="BL336"/>
      <c r="BM336"/>
      <c r="BN336"/>
      <c r="BO336"/>
      <c r="BP336"/>
      <c r="BQ336"/>
      <c r="BR336"/>
      <c r="BS336"/>
      <c r="BT336"/>
      <c r="BU336"/>
      <c r="BV336"/>
      <c r="BW336"/>
      <c r="BX336"/>
      <c r="BY336"/>
      <c r="BZ336"/>
      <c r="CA336"/>
      <c r="CB336"/>
      <c r="CC336"/>
    </row>
    <row r="337" spans="1:81" x14ac:dyDescent="0.25">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c r="AJ337"/>
      <c r="AK337"/>
      <c r="AL337"/>
      <c r="AM337"/>
      <c r="AN337"/>
      <c r="AO337"/>
      <c r="AP337"/>
      <c r="AQ337"/>
      <c r="AR337"/>
      <c r="AS337"/>
      <c r="AT337"/>
      <c r="AU337"/>
      <c r="AV337"/>
      <c r="AW337"/>
      <c r="AX337"/>
      <c r="AY337"/>
      <c r="AZ337"/>
      <c r="BA337"/>
      <c r="BB337"/>
      <c r="BC337"/>
      <c r="BD337"/>
      <c r="BE337"/>
      <c r="BF337"/>
      <c r="BG337"/>
      <c r="BH337"/>
      <c r="BI337"/>
      <c r="BJ337"/>
      <c r="BK337"/>
      <c r="BL337"/>
      <c r="BM337"/>
      <c r="BN337"/>
      <c r="BO337"/>
      <c r="BP337"/>
      <c r="BQ337"/>
      <c r="BR337"/>
      <c r="BS337"/>
      <c r="BT337"/>
      <c r="BU337"/>
      <c r="BV337"/>
      <c r="BW337"/>
      <c r="BX337"/>
      <c r="BY337"/>
      <c r="BZ337"/>
      <c r="CA337"/>
      <c r="CB337"/>
      <c r="CC337"/>
    </row>
    <row r="338" spans="1:81" x14ac:dyDescent="0.25">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c r="AI338"/>
      <c r="AJ338"/>
      <c r="AK338"/>
      <c r="AL338"/>
      <c r="AM338"/>
      <c r="AN338"/>
      <c r="AO338"/>
      <c r="AP338"/>
      <c r="AQ338"/>
      <c r="AR338"/>
      <c r="AS338"/>
      <c r="AT338"/>
      <c r="AU338"/>
      <c r="AV338"/>
      <c r="AW338"/>
      <c r="AX338"/>
      <c r="AY338"/>
      <c r="AZ338"/>
      <c r="BA338"/>
      <c r="BB338"/>
      <c r="BC338"/>
      <c r="BD338"/>
      <c r="BE338"/>
      <c r="BF338"/>
      <c r="BG338"/>
      <c r="BH338"/>
      <c r="BI338"/>
      <c r="BJ338"/>
      <c r="BK338"/>
      <c r="BL338"/>
      <c r="BM338"/>
      <c r="BN338"/>
      <c r="BO338"/>
      <c r="BP338"/>
      <c r="BQ338"/>
      <c r="BR338"/>
      <c r="BS338"/>
      <c r="BT338"/>
      <c r="BU338"/>
      <c r="BV338"/>
      <c r="BW338"/>
      <c r="BX338"/>
      <c r="BY338"/>
      <c r="BZ338"/>
      <c r="CA338"/>
      <c r="CB338"/>
      <c r="CC338"/>
    </row>
    <row r="339" spans="1:81" x14ac:dyDescent="0.25">
      <c r="A339"/>
      <c r="B339"/>
      <c r="C339"/>
      <c r="D339"/>
      <c r="E339"/>
      <c r="F339"/>
      <c r="G339"/>
      <c r="H339"/>
      <c r="I339"/>
      <c r="J339"/>
      <c r="K339"/>
      <c r="L339"/>
      <c r="M339"/>
      <c r="N339"/>
      <c r="O339"/>
      <c r="P339"/>
      <c r="Q339"/>
      <c r="R339"/>
      <c r="S339"/>
      <c r="T339"/>
      <c r="U339"/>
      <c r="V339"/>
      <c r="W339"/>
      <c r="X339"/>
      <c r="Y339"/>
      <c r="Z339"/>
      <c r="AA339"/>
      <c r="AB339"/>
      <c r="AC339"/>
      <c r="AD339"/>
      <c r="AE339"/>
      <c r="AF339"/>
      <c r="AG339"/>
      <c r="AH339"/>
      <c r="AI339"/>
      <c r="AJ339"/>
      <c r="AK339"/>
      <c r="AL339"/>
      <c r="AM339"/>
      <c r="AN339"/>
      <c r="AO339"/>
      <c r="AP339"/>
      <c r="AQ339"/>
      <c r="AR339"/>
      <c r="AS339"/>
      <c r="AT339"/>
      <c r="AU339"/>
      <c r="AV339"/>
      <c r="AW339"/>
      <c r="AX339"/>
      <c r="AY339"/>
      <c r="AZ339"/>
      <c r="BA339"/>
      <c r="BB339"/>
      <c r="BC339"/>
      <c r="BD339"/>
      <c r="BE339"/>
      <c r="BF339"/>
      <c r="BG339"/>
      <c r="BH339"/>
      <c r="BI339"/>
      <c r="BJ339"/>
      <c r="BK339"/>
      <c r="BL339"/>
      <c r="BM339"/>
      <c r="BN339"/>
      <c r="BO339"/>
      <c r="BP339"/>
      <c r="BQ339"/>
      <c r="BR339"/>
      <c r="BS339"/>
      <c r="BT339"/>
      <c r="BU339"/>
      <c r="BV339"/>
      <c r="BW339"/>
      <c r="BX339"/>
      <c r="BY339"/>
      <c r="BZ339"/>
      <c r="CA339"/>
      <c r="CB339"/>
      <c r="CC339"/>
    </row>
    <row r="340" spans="1:81" x14ac:dyDescent="0.25">
      <c r="A340"/>
      <c r="B340"/>
      <c r="C340"/>
      <c r="D340"/>
      <c r="E340"/>
      <c r="F340"/>
      <c r="G340"/>
      <c r="H340"/>
      <c r="I340"/>
      <c r="J340"/>
      <c r="K340"/>
      <c r="L340"/>
      <c r="M340"/>
      <c r="N340"/>
      <c r="O340"/>
      <c r="P340"/>
      <c r="Q340"/>
      <c r="R340"/>
      <c r="S340"/>
      <c r="T340"/>
      <c r="U340"/>
      <c r="V340"/>
      <c r="W340"/>
      <c r="X340"/>
      <c r="Y340"/>
      <c r="Z340"/>
      <c r="AA340"/>
      <c r="AB340"/>
      <c r="AC340"/>
      <c r="AD340"/>
      <c r="AE340"/>
      <c r="AF340"/>
      <c r="AG340"/>
      <c r="AH340"/>
      <c r="AI340"/>
      <c r="AJ340"/>
      <c r="AK340"/>
      <c r="AL340"/>
      <c r="AM340"/>
      <c r="AN340"/>
      <c r="AO340"/>
      <c r="AP340"/>
      <c r="AQ340"/>
      <c r="AR340"/>
      <c r="AS340"/>
      <c r="AT340"/>
      <c r="AU340"/>
      <c r="AV340"/>
      <c r="AW340"/>
      <c r="AX340"/>
      <c r="AY340"/>
      <c r="AZ340"/>
      <c r="BA340"/>
      <c r="BB340"/>
      <c r="BC340"/>
      <c r="BD340"/>
      <c r="BE340"/>
      <c r="BF340"/>
      <c r="BG340"/>
      <c r="BH340"/>
      <c r="BI340"/>
      <c r="BJ340"/>
      <c r="BK340"/>
      <c r="BL340"/>
      <c r="BM340"/>
      <c r="BN340"/>
      <c r="BO340"/>
      <c r="BP340"/>
      <c r="BQ340"/>
      <c r="BR340"/>
      <c r="BS340"/>
      <c r="BT340"/>
      <c r="BU340"/>
      <c r="BV340"/>
      <c r="BW340"/>
      <c r="BX340"/>
      <c r="BY340"/>
      <c r="BZ340"/>
      <c r="CA340"/>
      <c r="CB340"/>
      <c r="CC340"/>
    </row>
    <row r="341" spans="1:81" x14ac:dyDescent="0.25">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c r="AI341"/>
      <c r="AJ341"/>
      <c r="AK341"/>
      <c r="AL341"/>
      <c r="AM341"/>
      <c r="AN341"/>
      <c r="AO341"/>
      <c r="AP341"/>
      <c r="AQ341"/>
      <c r="AR341"/>
      <c r="AS341"/>
      <c r="AT341"/>
      <c r="AU341"/>
      <c r="AV341"/>
      <c r="AW341"/>
      <c r="AX341"/>
      <c r="AY341"/>
      <c r="AZ341"/>
      <c r="BA341"/>
      <c r="BB341"/>
      <c r="BC341"/>
      <c r="BD341"/>
      <c r="BE341"/>
      <c r="BF341"/>
      <c r="BG341"/>
      <c r="BH341"/>
      <c r="BI341"/>
      <c r="BJ341"/>
      <c r="BK341"/>
      <c r="BL341"/>
      <c r="BM341"/>
      <c r="BN341"/>
      <c r="BO341"/>
      <c r="BP341"/>
      <c r="BQ341"/>
      <c r="BR341"/>
      <c r="BS341"/>
      <c r="BT341"/>
      <c r="BU341"/>
      <c r="BV341"/>
      <c r="BW341"/>
      <c r="BX341"/>
      <c r="BY341"/>
      <c r="BZ341"/>
      <c r="CA341"/>
      <c r="CB341"/>
      <c r="CC341"/>
    </row>
    <row r="342" spans="1:81" x14ac:dyDescent="0.25">
      <c r="A342"/>
      <c r="B342"/>
      <c r="C342"/>
      <c r="D342"/>
      <c r="E342"/>
      <c r="F342"/>
      <c r="G342"/>
      <c r="H342"/>
      <c r="I342"/>
      <c r="J342"/>
      <c r="K342"/>
      <c r="L342"/>
      <c r="M342"/>
      <c r="N342"/>
      <c r="O342"/>
      <c r="P342"/>
      <c r="Q342"/>
      <c r="R342"/>
      <c r="S342"/>
      <c r="T342"/>
      <c r="U342"/>
      <c r="V342"/>
      <c r="W342"/>
      <c r="X342"/>
      <c r="Y342"/>
      <c r="Z342"/>
      <c r="AA342"/>
      <c r="AB342"/>
      <c r="AC342"/>
      <c r="AD342"/>
      <c r="AE342"/>
      <c r="AF342"/>
      <c r="AG342"/>
      <c r="AH342"/>
      <c r="AI342"/>
      <c r="AJ342"/>
      <c r="AK342"/>
      <c r="AL342"/>
      <c r="AM342"/>
      <c r="AN342"/>
      <c r="AO342"/>
      <c r="AP342"/>
      <c r="AQ342"/>
      <c r="AR342"/>
      <c r="AS342"/>
      <c r="AT342"/>
      <c r="AU342"/>
      <c r="AV342"/>
      <c r="AW342"/>
      <c r="AX342"/>
      <c r="AY342"/>
      <c r="AZ342"/>
      <c r="BA342"/>
      <c r="BB342"/>
      <c r="BC342"/>
      <c r="BD342"/>
      <c r="BE342"/>
      <c r="BF342"/>
      <c r="BG342"/>
      <c r="BH342"/>
      <c r="BI342"/>
      <c r="BJ342"/>
      <c r="BK342"/>
      <c r="BL342"/>
      <c r="BM342"/>
      <c r="BN342"/>
      <c r="BO342"/>
      <c r="BP342"/>
      <c r="BQ342"/>
      <c r="BR342"/>
      <c r="BS342"/>
      <c r="BT342"/>
      <c r="BU342"/>
      <c r="BV342"/>
      <c r="BW342"/>
      <c r="BX342"/>
      <c r="BY342"/>
      <c r="BZ342"/>
      <c r="CA342"/>
      <c r="CB342"/>
      <c r="CC342"/>
    </row>
    <row r="343" spans="1:81" x14ac:dyDescent="0.25">
      <c r="A343"/>
      <c r="B343"/>
      <c r="C343"/>
      <c r="D343"/>
      <c r="E343"/>
      <c r="F343"/>
      <c r="G343"/>
      <c r="H343"/>
      <c r="I343"/>
      <c r="J343"/>
      <c r="K343"/>
      <c r="L343"/>
      <c r="M343"/>
      <c r="N343"/>
      <c r="O343"/>
      <c r="P343"/>
      <c r="Q343"/>
      <c r="R343"/>
      <c r="S343"/>
      <c r="T343"/>
      <c r="U343"/>
      <c r="V343"/>
      <c r="W343"/>
      <c r="X343"/>
      <c r="Y343"/>
      <c r="Z343"/>
      <c r="AA343"/>
      <c r="AB343"/>
      <c r="AC343"/>
      <c r="AD343"/>
      <c r="AE343"/>
      <c r="AF343"/>
      <c r="AG343"/>
      <c r="AH343"/>
      <c r="AI343"/>
      <c r="AJ343"/>
      <c r="AK343"/>
      <c r="AL343"/>
      <c r="AM343"/>
      <c r="AN343"/>
      <c r="AO343"/>
      <c r="AP343"/>
      <c r="AQ343"/>
      <c r="AR343"/>
      <c r="AS343"/>
      <c r="AT343"/>
      <c r="AU343"/>
      <c r="AV343"/>
      <c r="AW343"/>
      <c r="AX343"/>
      <c r="AY343"/>
      <c r="AZ343"/>
      <c r="BA343"/>
      <c r="BB343"/>
      <c r="BC343"/>
      <c r="BD343"/>
      <c r="BE343"/>
      <c r="BF343"/>
      <c r="BG343"/>
      <c r="BH343"/>
      <c r="BI343"/>
      <c r="BJ343"/>
      <c r="BK343"/>
      <c r="BL343"/>
      <c r="BM343"/>
      <c r="BN343"/>
      <c r="BO343"/>
      <c r="BP343"/>
      <c r="BQ343"/>
      <c r="BR343"/>
      <c r="BS343"/>
      <c r="BT343"/>
      <c r="BU343"/>
      <c r="BV343"/>
      <c r="BW343"/>
      <c r="BX343"/>
      <c r="BY343"/>
      <c r="BZ343"/>
      <c r="CA343"/>
      <c r="CB343"/>
      <c r="CC343"/>
    </row>
    <row r="344" spans="1:81" x14ac:dyDescent="0.25">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c r="AI344"/>
      <c r="AJ344"/>
      <c r="AK344"/>
      <c r="AL344"/>
      <c r="AM344"/>
      <c r="AN344"/>
      <c r="AO344"/>
      <c r="AP344"/>
      <c r="AQ344"/>
      <c r="AR344"/>
      <c r="AS344"/>
      <c r="AT344"/>
      <c r="AU344"/>
      <c r="AV344"/>
      <c r="AW344"/>
      <c r="AX344"/>
      <c r="AY344"/>
      <c r="AZ344"/>
      <c r="BA344"/>
      <c r="BB344"/>
      <c r="BC344"/>
      <c r="BD344"/>
      <c r="BE344"/>
      <c r="BF344"/>
      <c r="BG344"/>
      <c r="BH344"/>
      <c r="BI344"/>
      <c r="BJ344"/>
      <c r="BK344"/>
      <c r="BL344"/>
      <c r="BM344"/>
      <c r="BN344"/>
      <c r="BO344"/>
      <c r="BP344"/>
      <c r="BQ344"/>
      <c r="BR344"/>
      <c r="BS344"/>
      <c r="BT344"/>
      <c r="BU344"/>
      <c r="BV344"/>
      <c r="BW344"/>
      <c r="BX344"/>
      <c r="BY344"/>
      <c r="BZ344"/>
      <c r="CA344"/>
      <c r="CB344"/>
      <c r="CC344"/>
    </row>
    <row r="345" spans="1:81" x14ac:dyDescent="0.25">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c r="AI345"/>
      <c r="AJ345"/>
      <c r="AK345"/>
      <c r="AL345"/>
      <c r="AM345"/>
      <c r="AN345"/>
      <c r="AO345"/>
      <c r="AP345"/>
      <c r="AQ345"/>
      <c r="AR345"/>
      <c r="AS345"/>
      <c r="AT345"/>
      <c r="AU345"/>
      <c r="AV345"/>
      <c r="AW345"/>
      <c r="AX345"/>
      <c r="AY345"/>
      <c r="AZ345"/>
      <c r="BA345"/>
      <c r="BB345"/>
      <c r="BC345"/>
      <c r="BD345"/>
      <c r="BE345"/>
      <c r="BF345"/>
      <c r="BG345"/>
      <c r="BH345"/>
      <c r="BI345"/>
      <c r="BJ345"/>
      <c r="BK345"/>
      <c r="BL345"/>
      <c r="BM345"/>
      <c r="BN345"/>
      <c r="BO345"/>
      <c r="BP345"/>
      <c r="BQ345"/>
      <c r="BR345"/>
      <c r="BS345"/>
      <c r="BT345"/>
      <c r="BU345"/>
      <c r="BV345"/>
      <c r="BW345"/>
      <c r="BX345"/>
      <c r="BY345"/>
      <c r="BZ345"/>
      <c r="CA345"/>
      <c r="CB345"/>
      <c r="CC345"/>
    </row>
    <row r="346" spans="1:81" x14ac:dyDescent="0.25">
      <c r="A346"/>
      <c r="B346"/>
      <c r="C346"/>
      <c r="D346"/>
      <c r="E346"/>
      <c r="F346"/>
      <c r="G346"/>
      <c r="H346"/>
      <c r="I346"/>
      <c r="J346"/>
      <c r="K346"/>
      <c r="L346"/>
      <c r="M346"/>
      <c r="N346"/>
      <c r="O346"/>
      <c r="P346"/>
      <c r="Q346"/>
      <c r="R346"/>
      <c r="S346"/>
      <c r="T346"/>
      <c r="U346"/>
      <c r="V346"/>
      <c r="W346"/>
      <c r="X346"/>
      <c r="Y346"/>
      <c r="Z346"/>
      <c r="AA346"/>
      <c r="AB346"/>
      <c r="AC346"/>
      <c r="AD346"/>
      <c r="AE346"/>
      <c r="AF346"/>
      <c r="AG346"/>
      <c r="AH346"/>
      <c r="AI346"/>
      <c r="AJ346"/>
      <c r="AK346"/>
      <c r="AL346"/>
      <c r="AM346"/>
      <c r="AN346"/>
      <c r="AO346"/>
      <c r="AP346"/>
      <c r="AQ346"/>
      <c r="AR346"/>
      <c r="AS346"/>
      <c r="AT346"/>
      <c r="AU346"/>
      <c r="AV346"/>
      <c r="AW346"/>
      <c r="AX346"/>
      <c r="AY346"/>
      <c r="AZ346"/>
      <c r="BA346"/>
      <c r="BB346"/>
      <c r="BC346"/>
      <c r="BD346"/>
      <c r="BE346"/>
      <c r="BF346"/>
      <c r="BG346"/>
      <c r="BH346"/>
      <c r="BI346"/>
      <c r="BJ346"/>
      <c r="BK346"/>
      <c r="BL346"/>
      <c r="BM346"/>
      <c r="BN346"/>
      <c r="BO346"/>
      <c r="BP346"/>
      <c r="BQ346"/>
      <c r="BR346"/>
      <c r="BS346"/>
      <c r="BT346"/>
      <c r="BU346"/>
      <c r="BV346"/>
      <c r="BW346"/>
      <c r="BX346"/>
      <c r="BY346"/>
      <c r="BZ346"/>
      <c r="CA346"/>
      <c r="CB346"/>
      <c r="CC346"/>
    </row>
    <row r="347" spans="1:81" x14ac:dyDescent="0.25">
      <c r="A347"/>
      <c r="B347"/>
      <c r="C347"/>
      <c r="D347"/>
      <c r="E347"/>
      <c r="F347"/>
      <c r="G347"/>
      <c r="H347"/>
      <c r="I347"/>
      <c r="J347"/>
      <c r="K347"/>
      <c r="L347"/>
      <c r="M347"/>
      <c r="N347"/>
      <c r="O347"/>
      <c r="P347"/>
      <c r="Q347"/>
      <c r="R347"/>
      <c r="S347"/>
      <c r="T347"/>
      <c r="U347"/>
      <c r="V347"/>
      <c r="W347"/>
      <c r="X347"/>
      <c r="Y347"/>
      <c r="Z347"/>
      <c r="AA347"/>
      <c r="AB347"/>
      <c r="AC347"/>
      <c r="AD347"/>
      <c r="AE347"/>
      <c r="AF347"/>
      <c r="AG347"/>
      <c r="AH347"/>
      <c r="AI347"/>
      <c r="AJ347"/>
      <c r="AK347"/>
      <c r="AL347"/>
      <c r="AM347"/>
      <c r="AN347"/>
      <c r="AO347"/>
      <c r="AP347"/>
      <c r="AQ347"/>
      <c r="AR347"/>
      <c r="AS347"/>
      <c r="AT347"/>
      <c r="AU347"/>
      <c r="AV347"/>
      <c r="AW347"/>
      <c r="AX347"/>
      <c r="AY347"/>
      <c r="AZ347"/>
      <c r="BA347"/>
      <c r="BB347"/>
      <c r="BC347"/>
      <c r="BD347"/>
      <c r="BE347"/>
      <c r="BF347"/>
      <c r="BG347"/>
      <c r="BH347"/>
      <c r="BI347"/>
      <c r="BJ347"/>
      <c r="BK347"/>
      <c r="BL347"/>
      <c r="BM347"/>
      <c r="BN347"/>
      <c r="BO347"/>
      <c r="BP347"/>
      <c r="BQ347"/>
      <c r="BR347"/>
      <c r="BS347"/>
      <c r="BT347"/>
      <c r="BU347"/>
      <c r="BV347"/>
      <c r="BW347"/>
      <c r="BX347"/>
      <c r="BY347"/>
      <c r="BZ347"/>
      <c r="CA347"/>
      <c r="CB347"/>
      <c r="CC347"/>
    </row>
    <row r="348" spans="1:81" x14ac:dyDescent="0.25">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c r="AI348"/>
      <c r="AJ348"/>
      <c r="AK348"/>
      <c r="AL348"/>
      <c r="AM348"/>
      <c r="AN348"/>
      <c r="AO348"/>
      <c r="AP348"/>
      <c r="AQ348"/>
      <c r="AR348"/>
      <c r="AS348"/>
      <c r="AT348"/>
      <c r="AU348"/>
      <c r="AV348"/>
      <c r="AW348"/>
      <c r="AX348"/>
      <c r="AY348"/>
      <c r="AZ348"/>
      <c r="BA348"/>
      <c r="BB348"/>
      <c r="BC348"/>
      <c r="BD348"/>
      <c r="BE348"/>
      <c r="BF348"/>
      <c r="BG348"/>
      <c r="BH348"/>
      <c r="BI348"/>
      <c r="BJ348"/>
      <c r="BK348"/>
      <c r="BL348"/>
      <c r="BM348"/>
      <c r="BN348"/>
      <c r="BO348"/>
      <c r="BP348"/>
      <c r="BQ348"/>
      <c r="BR348"/>
      <c r="BS348"/>
      <c r="BT348"/>
      <c r="BU348"/>
      <c r="BV348"/>
      <c r="BW348"/>
      <c r="BX348"/>
      <c r="BY348"/>
      <c r="BZ348"/>
      <c r="CA348"/>
      <c r="CB348"/>
      <c r="CC348"/>
    </row>
    <row r="349" spans="1:81" x14ac:dyDescent="0.25">
      <c r="A349"/>
      <c r="B349"/>
      <c r="C349"/>
      <c r="D349"/>
      <c r="E349"/>
      <c r="F349"/>
      <c r="G349"/>
      <c r="H349"/>
      <c r="I349"/>
      <c r="J349"/>
      <c r="K349"/>
      <c r="L349"/>
      <c r="M349"/>
      <c r="N349"/>
      <c r="O349"/>
      <c r="P349"/>
      <c r="Q349"/>
      <c r="R349"/>
      <c r="S349"/>
      <c r="T349"/>
      <c r="U349"/>
      <c r="V349"/>
      <c r="W349"/>
      <c r="X349"/>
      <c r="Y349"/>
      <c r="Z349"/>
      <c r="AA349"/>
      <c r="AB349"/>
      <c r="AC349"/>
      <c r="AD349"/>
      <c r="AE349"/>
      <c r="AF349"/>
      <c r="AG349"/>
      <c r="AH349"/>
      <c r="AI349"/>
      <c r="AJ349"/>
      <c r="AK349"/>
      <c r="AL349"/>
      <c r="AM349"/>
      <c r="AN349"/>
      <c r="AO349"/>
      <c r="AP349"/>
      <c r="AQ349"/>
      <c r="AR349"/>
      <c r="AS349"/>
      <c r="AT349"/>
      <c r="AU349"/>
      <c r="AV349"/>
      <c r="AW349"/>
      <c r="AX349"/>
      <c r="AY349"/>
      <c r="AZ349"/>
      <c r="BA349"/>
      <c r="BB349"/>
      <c r="BC349"/>
      <c r="BD349"/>
      <c r="BE349"/>
      <c r="BF349"/>
      <c r="BG349"/>
      <c r="BH349"/>
      <c r="BI349"/>
      <c r="BJ349"/>
      <c r="BK349"/>
      <c r="BL349"/>
      <c r="BM349"/>
      <c r="BN349"/>
      <c r="BO349"/>
      <c r="BP349"/>
      <c r="BQ349"/>
      <c r="BR349"/>
      <c r="BS349"/>
      <c r="BT349"/>
      <c r="BU349"/>
      <c r="BV349"/>
      <c r="BW349"/>
      <c r="BX349"/>
      <c r="BY349"/>
      <c r="BZ349"/>
      <c r="CA349"/>
      <c r="CB349"/>
      <c r="CC349"/>
    </row>
    <row r="350" spans="1:81" x14ac:dyDescent="0.25">
      <c r="A350"/>
      <c r="B350"/>
      <c r="C350"/>
      <c r="D350"/>
      <c r="E350"/>
      <c r="F350"/>
      <c r="G350"/>
      <c r="H350"/>
      <c r="I350"/>
      <c r="J350"/>
      <c r="K350"/>
      <c r="L350"/>
      <c r="M350"/>
      <c r="N350"/>
      <c r="O350"/>
      <c r="P350"/>
      <c r="Q350"/>
      <c r="R350"/>
      <c r="S350"/>
      <c r="T350"/>
      <c r="U350"/>
      <c r="V350"/>
      <c r="W350"/>
      <c r="X350"/>
      <c r="Y350"/>
      <c r="Z350"/>
      <c r="AA350"/>
      <c r="AB350"/>
      <c r="AC350"/>
      <c r="AD350"/>
      <c r="AE350"/>
      <c r="AF350"/>
      <c r="AG350"/>
      <c r="AH350"/>
      <c r="AI350"/>
      <c r="AJ350"/>
      <c r="AK350"/>
      <c r="AL350"/>
      <c r="AM350"/>
      <c r="AN350"/>
      <c r="AO350"/>
      <c r="AP350"/>
      <c r="AQ350"/>
      <c r="AR350"/>
      <c r="AS350"/>
      <c r="AT350"/>
      <c r="AU350"/>
      <c r="AV350"/>
      <c r="AW350"/>
      <c r="AX350"/>
      <c r="AY350"/>
      <c r="AZ350"/>
      <c r="BA350"/>
      <c r="BB350"/>
      <c r="BC350"/>
      <c r="BD350"/>
      <c r="BE350"/>
      <c r="BF350"/>
      <c r="BG350"/>
      <c r="BH350"/>
      <c r="BI350"/>
      <c r="BJ350"/>
      <c r="BK350"/>
      <c r="BL350"/>
      <c r="BM350"/>
      <c r="BN350"/>
      <c r="BO350"/>
      <c r="BP350"/>
      <c r="BQ350"/>
      <c r="BR350"/>
      <c r="BS350"/>
      <c r="BT350"/>
      <c r="BU350"/>
      <c r="BV350"/>
      <c r="BW350"/>
      <c r="BX350"/>
      <c r="BY350"/>
      <c r="BZ350"/>
      <c r="CA350"/>
      <c r="CB350"/>
      <c r="CC350"/>
    </row>
    <row r="351" spans="1:81" x14ac:dyDescent="0.25">
      <c r="A351"/>
      <c r="B351"/>
      <c r="C351"/>
      <c r="D351"/>
      <c r="E351"/>
      <c r="F351"/>
      <c r="G351"/>
      <c r="H351"/>
      <c r="I351"/>
      <c r="J351"/>
      <c r="K351"/>
      <c r="L351"/>
      <c r="M351"/>
      <c r="N351"/>
      <c r="O351"/>
      <c r="P351"/>
      <c r="Q351"/>
      <c r="R351"/>
      <c r="S351"/>
      <c r="T351"/>
      <c r="U351"/>
      <c r="V351"/>
      <c r="W351"/>
      <c r="X351"/>
      <c r="Y351"/>
      <c r="Z351"/>
      <c r="AA351"/>
      <c r="AB351"/>
      <c r="AC351"/>
      <c r="AD351"/>
      <c r="AE351"/>
      <c r="AF351"/>
      <c r="AG351"/>
      <c r="AH351"/>
      <c r="AI351"/>
      <c r="AJ351"/>
      <c r="AK351"/>
      <c r="AL351"/>
      <c r="AM351"/>
      <c r="AN351"/>
      <c r="AO351"/>
      <c r="AP351"/>
      <c r="AQ351"/>
      <c r="AR351"/>
      <c r="AS351"/>
      <c r="AT351"/>
      <c r="AU351"/>
      <c r="AV351"/>
      <c r="AW351"/>
      <c r="AX351"/>
      <c r="AY351"/>
      <c r="AZ351"/>
      <c r="BA351"/>
      <c r="BB351"/>
      <c r="BC351"/>
      <c r="BD351"/>
      <c r="BE351"/>
      <c r="BF351"/>
      <c r="BG351"/>
      <c r="BH351"/>
      <c r="BI351"/>
      <c r="BJ351"/>
      <c r="BK351"/>
      <c r="BL351"/>
      <c r="BM351"/>
      <c r="BN351"/>
      <c r="BO351"/>
      <c r="BP351"/>
      <c r="BQ351"/>
      <c r="BR351"/>
      <c r="BS351"/>
      <c r="BT351"/>
      <c r="BU351"/>
      <c r="BV351"/>
      <c r="BW351"/>
      <c r="BX351"/>
      <c r="BY351"/>
      <c r="BZ351"/>
      <c r="CA351"/>
      <c r="CB351"/>
      <c r="CC351"/>
    </row>
    <row r="352" spans="1:81" x14ac:dyDescent="0.25">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c r="AI352"/>
      <c r="AJ352"/>
      <c r="AK352"/>
      <c r="AL352"/>
      <c r="AM352"/>
      <c r="AN352"/>
      <c r="AO352"/>
      <c r="AP352"/>
      <c r="AQ352"/>
      <c r="AR352"/>
      <c r="AS352"/>
      <c r="AT352"/>
      <c r="AU352"/>
      <c r="AV352"/>
      <c r="AW352"/>
      <c r="AX352"/>
      <c r="AY352"/>
      <c r="AZ352"/>
      <c r="BA352"/>
      <c r="BB352"/>
      <c r="BC352"/>
      <c r="BD352"/>
      <c r="BE352"/>
      <c r="BF352"/>
      <c r="BG352"/>
      <c r="BH352"/>
      <c r="BI352"/>
      <c r="BJ352"/>
      <c r="BK352"/>
      <c r="BL352"/>
      <c r="BM352"/>
      <c r="BN352"/>
      <c r="BO352"/>
      <c r="BP352"/>
      <c r="BQ352"/>
      <c r="BR352"/>
      <c r="BS352"/>
      <c r="BT352"/>
      <c r="BU352"/>
      <c r="BV352"/>
      <c r="BW352"/>
      <c r="BX352"/>
      <c r="BY352"/>
      <c r="BZ352"/>
      <c r="CA352"/>
      <c r="CB352"/>
      <c r="CC352"/>
    </row>
    <row r="353" spans="1:81" x14ac:dyDescent="0.25">
      <c r="A353"/>
      <c r="B353"/>
      <c r="C353"/>
      <c r="D353"/>
      <c r="E353"/>
      <c r="F353"/>
      <c r="G353"/>
      <c r="H353"/>
      <c r="I353"/>
      <c r="J353"/>
      <c r="K353"/>
      <c r="L353"/>
      <c r="M353"/>
      <c r="N353"/>
      <c r="O353"/>
      <c r="P353"/>
      <c r="Q353"/>
      <c r="R353"/>
      <c r="S353"/>
      <c r="T353"/>
      <c r="U353"/>
      <c r="V353"/>
      <c r="W353"/>
      <c r="X353"/>
      <c r="Y353"/>
      <c r="Z353"/>
      <c r="AA353"/>
      <c r="AB353"/>
      <c r="AC353"/>
      <c r="AD353"/>
      <c r="AE353"/>
      <c r="AF353"/>
      <c r="AG353"/>
      <c r="AH353"/>
      <c r="AI353"/>
      <c r="AJ353"/>
      <c r="AK353"/>
      <c r="AL353"/>
      <c r="AM353"/>
      <c r="AN353"/>
      <c r="AO353"/>
      <c r="AP353"/>
      <c r="AQ353"/>
      <c r="AR353"/>
      <c r="AS353"/>
      <c r="AT353"/>
      <c r="AU353"/>
      <c r="AV353"/>
      <c r="AW353"/>
      <c r="AX353"/>
      <c r="AY353"/>
      <c r="AZ353"/>
      <c r="BA353"/>
      <c r="BB353"/>
      <c r="BC353"/>
      <c r="BD353"/>
      <c r="BE353"/>
      <c r="BF353"/>
      <c r="BG353"/>
      <c r="BH353"/>
      <c r="BI353"/>
      <c r="BJ353"/>
      <c r="BK353"/>
      <c r="BL353"/>
      <c r="BM353"/>
      <c r="BN353"/>
      <c r="BO353"/>
      <c r="BP353"/>
      <c r="BQ353"/>
      <c r="BR353"/>
      <c r="BS353"/>
      <c r="BT353"/>
      <c r="BU353"/>
      <c r="BV353"/>
      <c r="BW353"/>
      <c r="BX353"/>
      <c r="BY353"/>
      <c r="BZ353"/>
      <c r="CA353"/>
      <c r="CB353"/>
      <c r="CC353"/>
    </row>
    <row r="354" spans="1:81" x14ac:dyDescent="0.25">
      <c r="A354"/>
      <c r="B354"/>
      <c r="C354"/>
      <c r="D354"/>
      <c r="E354"/>
      <c r="F354"/>
      <c r="G354"/>
      <c r="H354"/>
      <c r="I354"/>
      <c r="J354"/>
      <c r="K354"/>
      <c r="L354"/>
      <c r="M354"/>
      <c r="N354"/>
      <c r="O354"/>
      <c r="P354"/>
      <c r="Q354"/>
      <c r="R354"/>
      <c r="S354"/>
      <c r="T354"/>
      <c r="U354"/>
      <c r="V354"/>
      <c r="W354"/>
      <c r="X354"/>
      <c r="Y354"/>
      <c r="Z354"/>
      <c r="AA354"/>
      <c r="AB354"/>
      <c r="AC354"/>
      <c r="AD354"/>
      <c r="AE354"/>
      <c r="AF354"/>
      <c r="AG354"/>
      <c r="AH354"/>
      <c r="AI354"/>
      <c r="AJ354"/>
      <c r="AK354"/>
      <c r="AL354"/>
      <c r="AM354"/>
      <c r="AN354"/>
      <c r="AO354"/>
      <c r="AP354"/>
      <c r="AQ354"/>
      <c r="AR354"/>
      <c r="AS354"/>
      <c r="AT354"/>
      <c r="AU354"/>
      <c r="AV354"/>
      <c r="AW354"/>
      <c r="AX354"/>
      <c r="AY354"/>
      <c r="AZ354"/>
      <c r="BA354"/>
      <c r="BB354"/>
      <c r="BC354"/>
      <c r="BD354"/>
      <c r="BE354"/>
      <c r="BF354"/>
      <c r="BG354"/>
      <c r="BH354"/>
      <c r="BI354"/>
      <c r="BJ354"/>
      <c r="BK354"/>
      <c r="BL354"/>
      <c r="BM354"/>
      <c r="BN354"/>
      <c r="BO354"/>
      <c r="BP354"/>
      <c r="BQ354"/>
      <c r="BR354"/>
      <c r="BS354"/>
      <c r="BT354"/>
      <c r="BU354"/>
      <c r="BV354"/>
      <c r="BW354"/>
      <c r="BX354"/>
      <c r="BY354"/>
      <c r="BZ354"/>
      <c r="CA354"/>
      <c r="CB354"/>
      <c r="CC354"/>
    </row>
    <row r="355" spans="1:81" x14ac:dyDescent="0.25">
      <c r="A355"/>
      <c r="B355"/>
      <c r="C355"/>
      <c r="D355"/>
      <c r="E355"/>
      <c r="F355"/>
      <c r="G355"/>
      <c r="H355"/>
      <c r="I355"/>
      <c r="J355"/>
      <c r="K355"/>
      <c r="L355"/>
      <c r="M355"/>
      <c r="N355"/>
      <c r="O355"/>
      <c r="P355"/>
      <c r="Q355"/>
      <c r="R355"/>
      <c r="S355"/>
      <c r="T355"/>
      <c r="U355"/>
      <c r="V355"/>
      <c r="W355"/>
      <c r="X355"/>
      <c r="Y355"/>
      <c r="Z355"/>
      <c r="AA355"/>
      <c r="AB355"/>
      <c r="AC355"/>
      <c r="AD355"/>
      <c r="AE355"/>
      <c r="AF355"/>
      <c r="AG355"/>
      <c r="AH355"/>
      <c r="AI355"/>
      <c r="AJ355"/>
      <c r="AK355"/>
      <c r="AL355"/>
      <c r="AM355"/>
      <c r="AN355"/>
      <c r="AO355"/>
      <c r="AP355"/>
      <c r="AQ355"/>
      <c r="AR355"/>
      <c r="AS355"/>
      <c r="AT355"/>
      <c r="AU355"/>
      <c r="AV355"/>
      <c r="AW355"/>
      <c r="AX355"/>
      <c r="AY355"/>
      <c r="AZ355"/>
      <c r="BA355"/>
      <c r="BB355"/>
      <c r="BC355"/>
      <c r="BD355"/>
      <c r="BE355"/>
      <c r="BF355"/>
      <c r="BG355"/>
      <c r="BH355"/>
      <c r="BI355"/>
      <c r="BJ355"/>
      <c r="BK355"/>
      <c r="BL355"/>
      <c r="BM355"/>
      <c r="BN355"/>
      <c r="BO355"/>
      <c r="BP355"/>
      <c r="BQ355"/>
      <c r="BR355"/>
      <c r="BS355"/>
      <c r="BT355"/>
      <c r="BU355"/>
      <c r="BV355"/>
      <c r="BW355"/>
      <c r="BX355"/>
      <c r="BY355"/>
      <c r="BZ355"/>
      <c r="CA355"/>
      <c r="CB355"/>
      <c r="CC355"/>
    </row>
    <row r="356" spans="1:81" x14ac:dyDescent="0.25">
      <c r="A356"/>
      <c r="B356"/>
      <c r="C356"/>
      <c r="D356"/>
      <c r="E356"/>
      <c r="F356"/>
      <c r="G356"/>
      <c r="H356"/>
      <c r="I356"/>
      <c r="J356"/>
      <c r="K356"/>
      <c r="L356"/>
      <c r="M356"/>
      <c r="N356"/>
      <c r="O356"/>
      <c r="P356"/>
      <c r="Q356"/>
      <c r="R356"/>
      <c r="S356"/>
      <c r="T356"/>
      <c r="U356"/>
      <c r="V356"/>
      <c r="W356"/>
      <c r="X356"/>
      <c r="Y356"/>
      <c r="Z356"/>
      <c r="AA356"/>
      <c r="AB356"/>
      <c r="AC356"/>
      <c r="AD356"/>
      <c r="AE356"/>
      <c r="AF356"/>
      <c r="AG356"/>
      <c r="AH356"/>
      <c r="AI356"/>
      <c r="AJ356"/>
      <c r="AK356"/>
      <c r="AL356"/>
      <c r="AM356"/>
      <c r="AN356"/>
      <c r="AO356"/>
      <c r="AP356"/>
      <c r="AQ356"/>
      <c r="AR356"/>
      <c r="AS356"/>
      <c r="AT356"/>
      <c r="AU356"/>
      <c r="AV356"/>
      <c r="AW356"/>
      <c r="AX356"/>
      <c r="AY356"/>
      <c r="AZ356"/>
      <c r="BA356"/>
      <c r="BB356"/>
      <c r="BC356"/>
      <c r="BD356"/>
      <c r="BE356"/>
      <c r="BF356"/>
      <c r="BG356"/>
      <c r="BH356"/>
      <c r="BI356"/>
      <c r="BJ356"/>
      <c r="BK356"/>
      <c r="BL356"/>
      <c r="BM356"/>
      <c r="BN356"/>
      <c r="BO356"/>
      <c r="BP356"/>
      <c r="BQ356"/>
      <c r="BR356"/>
      <c r="BS356"/>
      <c r="BT356"/>
      <c r="BU356"/>
      <c r="BV356"/>
      <c r="BW356"/>
      <c r="BX356"/>
      <c r="BY356"/>
      <c r="BZ356"/>
      <c r="CA356"/>
      <c r="CB356"/>
      <c r="CC356"/>
    </row>
    <row r="357" spans="1:81" x14ac:dyDescent="0.25">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c r="AI357"/>
      <c r="AJ357"/>
      <c r="AK357"/>
      <c r="AL357"/>
      <c r="AM357"/>
      <c r="AN357"/>
      <c r="AO357"/>
      <c r="AP357"/>
      <c r="AQ357"/>
      <c r="AR357"/>
      <c r="AS357"/>
      <c r="AT357"/>
      <c r="AU357"/>
      <c r="AV357"/>
      <c r="AW357"/>
      <c r="AX357"/>
      <c r="AY357"/>
      <c r="AZ357"/>
      <c r="BA357"/>
      <c r="BB357"/>
      <c r="BC357"/>
      <c r="BD357"/>
      <c r="BE357"/>
      <c r="BF357"/>
      <c r="BG357"/>
      <c r="BH357"/>
      <c r="BI357"/>
      <c r="BJ357"/>
      <c r="BK357"/>
      <c r="BL357"/>
      <c r="BM357"/>
      <c r="BN357"/>
      <c r="BO357"/>
      <c r="BP357"/>
      <c r="BQ357"/>
      <c r="BR357"/>
      <c r="BS357"/>
      <c r="BT357"/>
      <c r="BU357"/>
      <c r="BV357"/>
      <c r="BW357"/>
      <c r="BX357"/>
      <c r="BY357"/>
      <c r="BZ357"/>
      <c r="CA357"/>
      <c r="CB357"/>
      <c r="CC357"/>
    </row>
    <row r="358" spans="1:81" x14ac:dyDescent="0.25">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c r="AI358"/>
      <c r="AJ358"/>
      <c r="AK358"/>
      <c r="AL358"/>
      <c r="AM358"/>
      <c r="AN358"/>
      <c r="AO358"/>
      <c r="AP358"/>
      <c r="AQ358"/>
      <c r="AR358"/>
      <c r="AS358"/>
      <c r="AT358"/>
      <c r="AU358"/>
      <c r="AV358"/>
      <c r="AW358"/>
      <c r="AX358"/>
      <c r="AY358"/>
      <c r="AZ358"/>
      <c r="BA358"/>
      <c r="BB358"/>
      <c r="BC358"/>
      <c r="BD358"/>
      <c r="BE358"/>
      <c r="BF358"/>
      <c r="BG358"/>
      <c r="BH358"/>
      <c r="BI358"/>
      <c r="BJ358"/>
      <c r="BK358"/>
      <c r="BL358"/>
      <c r="BM358"/>
      <c r="BN358"/>
      <c r="BO358"/>
      <c r="BP358"/>
      <c r="BQ358"/>
      <c r="BR358"/>
      <c r="BS358"/>
      <c r="BT358"/>
      <c r="BU358"/>
      <c r="BV358"/>
      <c r="BW358"/>
      <c r="BX358"/>
      <c r="BY358"/>
      <c r="BZ358"/>
      <c r="CA358"/>
      <c r="CB358"/>
      <c r="CC358"/>
    </row>
    <row r="359" spans="1:81" x14ac:dyDescent="0.25">
      <c r="A359"/>
      <c r="B359"/>
      <c r="C359"/>
      <c r="D359"/>
      <c r="E359"/>
      <c r="F359"/>
      <c r="G359"/>
      <c r="H359"/>
      <c r="I359"/>
      <c r="J359"/>
      <c r="K359"/>
      <c r="L359"/>
      <c r="M359"/>
      <c r="N359"/>
      <c r="O359"/>
      <c r="P359"/>
      <c r="Q359"/>
      <c r="R359"/>
      <c r="S359"/>
      <c r="T359"/>
      <c r="U359"/>
      <c r="V359"/>
      <c r="W359"/>
      <c r="X359"/>
      <c r="Y359"/>
      <c r="Z359"/>
      <c r="AA359"/>
      <c r="AB359"/>
      <c r="AC359"/>
      <c r="AD359"/>
      <c r="AE359"/>
      <c r="AF359"/>
      <c r="AG359"/>
      <c r="AH359"/>
      <c r="AI359"/>
      <c r="AJ359"/>
      <c r="AK359"/>
      <c r="AL359"/>
      <c r="AM359"/>
      <c r="AN359"/>
      <c r="AO359"/>
      <c r="AP359"/>
      <c r="AQ359"/>
      <c r="AR359"/>
      <c r="AS359"/>
      <c r="AT359"/>
      <c r="AU359"/>
      <c r="AV359"/>
      <c r="AW359"/>
      <c r="AX359"/>
      <c r="AY359"/>
      <c r="AZ359"/>
      <c r="BA359"/>
      <c r="BB359"/>
      <c r="BC359"/>
      <c r="BD359"/>
      <c r="BE359"/>
      <c r="BF359"/>
      <c r="BG359"/>
      <c r="BH359"/>
      <c r="BI359"/>
      <c r="BJ359"/>
      <c r="BK359"/>
      <c r="BL359"/>
      <c r="BM359"/>
      <c r="BN359"/>
      <c r="BO359"/>
      <c r="BP359"/>
      <c r="BQ359"/>
      <c r="BR359"/>
      <c r="BS359"/>
      <c r="BT359"/>
      <c r="BU359"/>
      <c r="BV359"/>
      <c r="BW359"/>
      <c r="BX359"/>
      <c r="BY359"/>
      <c r="BZ359"/>
      <c r="CA359"/>
      <c r="CB359"/>
      <c r="CC359"/>
    </row>
    <row r="360" spans="1:81" x14ac:dyDescent="0.25">
      <c r="A360"/>
      <c r="B360"/>
      <c r="C360"/>
      <c r="D360"/>
      <c r="E360"/>
      <c r="F360"/>
      <c r="G360"/>
      <c r="H360"/>
      <c r="I360"/>
      <c r="J360"/>
      <c r="K360"/>
      <c r="L360"/>
      <c r="M360"/>
      <c r="N360"/>
      <c r="O360"/>
      <c r="P360"/>
      <c r="Q360"/>
      <c r="R360"/>
      <c r="S360"/>
      <c r="T360"/>
      <c r="U360"/>
      <c r="V360"/>
      <c r="W360"/>
      <c r="X360"/>
      <c r="Y360"/>
      <c r="Z360"/>
      <c r="AA360"/>
      <c r="AB360"/>
      <c r="AC360"/>
      <c r="AD360"/>
      <c r="AE360"/>
      <c r="AF360"/>
      <c r="AG360"/>
      <c r="AH360"/>
      <c r="AI360"/>
      <c r="AJ360"/>
      <c r="AK360"/>
      <c r="AL360"/>
      <c r="AM360"/>
      <c r="AN360"/>
      <c r="AO360"/>
      <c r="AP360"/>
      <c r="AQ360"/>
      <c r="AR360"/>
      <c r="AS360"/>
      <c r="AT360"/>
      <c r="AU360"/>
      <c r="AV360"/>
      <c r="AW360"/>
      <c r="AX360"/>
      <c r="AY360"/>
      <c r="AZ360"/>
      <c r="BA360"/>
      <c r="BB360"/>
      <c r="BC360"/>
      <c r="BD360"/>
      <c r="BE360"/>
      <c r="BF360"/>
      <c r="BG360"/>
      <c r="BH360"/>
      <c r="BI360"/>
      <c r="BJ360"/>
      <c r="BK360"/>
      <c r="BL360"/>
      <c r="BM360"/>
      <c r="BN360"/>
      <c r="BO360"/>
      <c r="BP360"/>
      <c r="BQ360"/>
      <c r="BR360"/>
      <c r="BS360"/>
      <c r="BT360"/>
      <c r="BU360"/>
      <c r="BV360"/>
      <c r="BW360"/>
      <c r="BX360"/>
      <c r="BY360"/>
      <c r="BZ360"/>
      <c r="CA360"/>
      <c r="CB360"/>
      <c r="CC360"/>
    </row>
    <row r="361" spans="1:81" x14ac:dyDescent="0.25">
      <c r="A361"/>
      <c r="B361"/>
      <c r="C361"/>
      <c r="D361"/>
      <c r="E361"/>
      <c r="F361"/>
      <c r="G361"/>
      <c r="H361"/>
      <c r="I361"/>
      <c r="J361"/>
      <c r="K361"/>
      <c r="L361"/>
      <c r="M361"/>
      <c r="N361"/>
      <c r="O361"/>
      <c r="P361"/>
      <c r="Q361"/>
      <c r="R361"/>
      <c r="S361"/>
      <c r="T361"/>
      <c r="U361"/>
      <c r="V361"/>
      <c r="W361"/>
      <c r="X361"/>
      <c r="Y361"/>
      <c r="Z361"/>
      <c r="AA361"/>
      <c r="AB361"/>
      <c r="AC361"/>
      <c r="AD361"/>
      <c r="AE361"/>
      <c r="AF361"/>
      <c r="AG361"/>
      <c r="AH361"/>
      <c r="AI361"/>
      <c r="AJ361"/>
      <c r="AK361"/>
      <c r="AL361"/>
      <c r="AM361"/>
      <c r="AN361"/>
      <c r="AO361"/>
      <c r="AP361"/>
      <c r="AQ361"/>
      <c r="AR361"/>
      <c r="AS361"/>
      <c r="AT361"/>
      <c r="AU361"/>
      <c r="AV361"/>
      <c r="AW361"/>
      <c r="AX361"/>
      <c r="AY361"/>
      <c r="AZ361"/>
      <c r="BA361"/>
      <c r="BB361"/>
      <c r="BC361"/>
      <c r="BD361"/>
      <c r="BE361"/>
      <c r="BF361"/>
      <c r="BG361"/>
      <c r="BH361"/>
      <c r="BI361"/>
      <c r="BJ361"/>
      <c r="BK361"/>
      <c r="BL361"/>
      <c r="BM361"/>
      <c r="BN361"/>
      <c r="BO361"/>
      <c r="BP361"/>
      <c r="BQ361"/>
      <c r="BR361"/>
      <c r="BS361"/>
      <c r="BT361"/>
      <c r="BU361"/>
      <c r="BV361"/>
      <c r="BW361"/>
      <c r="BX361"/>
      <c r="BY361"/>
      <c r="BZ361"/>
      <c r="CA361"/>
      <c r="CB361"/>
      <c r="CC361"/>
    </row>
    <row r="362" spans="1:81" x14ac:dyDescent="0.25">
      <c r="A362"/>
      <c r="B362"/>
      <c r="C362"/>
      <c r="D362"/>
      <c r="E362"/>
      <c r="F362"/>
      <c r="G362"/>
      <c r="H362"/>
      <c r="I362"/>
      <c r="J362"/>
      <c r="K362"/>
      <c r="L362"/>
      <c r="M362"/>
      <c r="N362"/>
      <c r="O362"/>
      <c r="P362"/>
      <c r="Q362"/>
      <c r="R362"/>
      <c r="S362"/>
      <c r="T362"/>
      <c r="U362"/>
      <c r="V362"/>
      <c r="W362"/>
      <c r="X362"/>
      <c r="Y362"/>
      <c r="Z362"/>
      <c r="AA362"/>
      <c r="AB362"/>
      <c r="AC362"/>
      <c r="AD362"/>
      <c r="AE362"/>
      <c r="AF362"/>
      <c r="AG362"/>
      <c r="AH362"/>
      <c r="AI362"/>
      <c r="AJ362"/>
      <c r="AK362"/>
      <c r="AL362"/>
      <c r="AM362"/>
      <c r="AN362"/>
      <c r="AO362"/>
      <c r="AP362"/>
      <c r="AQ362"/>
      <c r="AR362"/>
      <c r="AS362"/>
      <c r="AT362"/>
      <c r="AU362"/>
      <c r="AV362"/>
      <c r="AW362"/>
      <c r="AX362"/>
      <c r="AY362"/>
      <c r="AZ362"/>
      <c r="BA362"/>
      <c r="BB362"/>
      <c r="BC362"/>
      <c r="BD362"/>
      <c r="BE362"/>
      <c r="BF362"/>
      <c r="BG362"/>
      <c r="BH362"/>
      <c r="BI362"/>
      <c r="BJ362"/>
      <c r="BK362"/>
      <c r="BL362"/>
      <c r="BM362"/>
      <c r="BN362"/>
      <c r="BO362"/>
      <c r="BP362"/>
      <c r="BQ362"/>
      <c r="BR362"/>
      <c r="BS362"/>
      <c r="BT362"/>
      <c r="BU362"/>
      <c r="BV362"/>
      <c r="BW362"/>
      <c r="BX362"/>
      <c r="BY362"/>
      <c r="BZ362"/>
      <c r="CA362"/>
      <c r="CB362"/>
      <c r="CC362"/>
    </row>
    <row r="363" spans="1:81" x14ac:dyDescent="0.25">
      <c r="A363"/>
      <c r="B363"/>
      <c r="C363"/>
      <c r="D363"/>
      <c r="E363"/>
      <c r="F363"/>
      <c r="G363"/>
      <c r="H363"/>
      <c r="I363"/>
      <c r="J363"/>
      <c r="K363"/>
      <c r="L363"/>
      <c r="M363"/>
      <c r="N363"/>
      <c r="O363"/>
      <c r="P363"/>
      <c r="Q363"/>
      <c r="R363"/>
      <c r="S363"/>
      <c r="T363"/>
      <c r="U363"/>
      <c r="V363"/>
      <c r="W363"/>
      <c r="X363"/>
      <c r="Y363"/>
      <c r="Z363"/>
      <c r="AA363"/>
      <c r="AB363"/>
      <c r="AC363"/>
      <c r="AD363"/>
      <c r="AE363"/>
      <c r="AF363"/>
      <c r="AG363"/>
      <c r="AH363"/>
      <c r="AI363"/>
      <c r="AJ363"/>
      <c r="AK363"/>
      <c r="AL363"/>
      <c r="AM363"/>
      <c r="AN363"/>
      <c r="AO363"/>
      <c r="AP363"/>
      <c r="AQ363"/>
      <c r="AR363"/>
      <c r="AS363"/>
      <c r="AT363"/>
      <c r="AU363"/>
      <c r="AV363"/>
      <c r="AW363"/>
      <c r="AX363"/>
      <c r="AY363"/>
      <c r="AZ363"/>
      <c r="BA363"/>
      <c r="BB363"/>
      <c r="BC363"/>
      <c r="BD363"/>
      <c r="BE363"/>
      <c r="BF363"/>
      <c r="BG363"/>
      <c r="BH363"/>
      <c r="BI363"/>
      <c r="BJ363"/>
      <c r="BK363"/>
      <c r="BL363"/>
      <c r="BM363"/>
      <c r="BN363"/>
      <c r="BO363"/>
      <c r="BP363"/>
      <c r="BQ363"/>
      <c r="BR363"/>
      <c r="BS363"/>
      <c r="BT363"/>
      <c r="BU363"/>
      <c r="BV363"/>
      <c r="BW363"/>
      <c r="BX363"/>
      <c r="BY363"/>
      <c r="BZ363"/>
      <c r="CA363"/>
      <c r="CB363"/>
      <c r="CC363"/>
    </row>
    <row r="364" spans="1:81" x14ac:dyDescent="0.25">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c r="AI364"/>
      <c r="AJ364"/>
      <c r="AK364"/>
      <c r="AL364"/>
      <c r="AM364"/>
      <c r="AN364"/>
      <c r="AO364"/>
      <c r="AP364"/>
      <c r="AQ364"/>
      <c r="AR364"/>
      <c r="AS364"/>
      <c r="AT364"/>
      <c r="AU364"/>
      <c r="AV364"/>
      <c r="AW364"/>
      <c r="AX364"/>
      <c r="AY364"/>
      <c r="AZ364"/>
      <c r="BA364"/>
      <c r="BB364"/>
      <c r="BC364"/>
      <c r="BD364"/>
      <c r="BE364"/>
      <c r="BF364"/>
      <c r="BG364"/>
      <c r="BH364"/>
      <c r="BI364"/>
      <c r="BJ364"/>
      <c r="BK364"/>
      <c r="BL364"/>
      <c r="BM364"/>
      <c r="BN364"/>
      <c r="BO364"/>
      <c r="BP364"/>
      <c r="BQ364"/>
      <c r="BR364"/>
      <c r="BS364"/>
      <c r="BT364"/>
      <c r="BU364"/>
      <c r="BV364"/>
      <c r="BW364"/>
      <c r="BX364"/>
      <c r="BY364"/>
      <c r="BZ364"/>
      <c r="CA364"/>
      <c r="CB364"/>
      <c r="CC364"/>
    </row>
    <row r="365" spans="1:81" x14ac:dyDescent="0.25">
      <c r="A365"/>
      <c r="B365"/>
      <c r="C365"/>
      <c r="D365"/>
      <c r="E365"/>
      <c r="F365"/>
      <c r="G365"/>
      <c r="H365"/>
      <c r="I365"/>
      <c r="J365"/>
      <c r="K365"/>
      <c r="L365"/>
      <c r="M365"/>
      <c r="N365"/>
      <c r="O365"/>
      <c r="P365"/>
      <c r="Q365"/>
      <c r="R365"/>
      <c r="S365"/>
      <c r="T365"/>
      <c r="U365"/>
      <c r="V365"/>
      <c r="W365"/>
      <c r="X365"/>
      <c r="Y365"/>
      <c r="Z365"/>
      <c r="AA365"/>
      <c r="AB365"/>
      <c r="AC365"/>
      <c r="AD365"/>
      <c r="AE365"/>
      <c r="AF365"/>
      <c r="AG365"/>
      <c r="AH365"/>
      <c r="AI365"/>
      <c r="AJ365"/>
      <c r="AK365"/>
      <c r="AL365"/>
      <c r="AM365"/>
      <c r="AN365"/>
      <c r="AO365"/>
      <c r="AP365"/>
      <c r="AQ365"/>
      <c r="AR365"/>
      <c r="AS365"/>
      <c r="AT365"/>
      <c r="AU365"/>
      <c r="AV365"/>
      <c r="AW365"/>
      <c r="AX365"/>
      <c r="AY365"/>
      <c r="AZ365"/>
      <c r="BA365"/>
      <c r="BB365"/>
      <c r="BC365"/>
      <c r="BD365"/>
      <c r="BE365"/>
      <c r="BF365"/>
      <c r="BG365"/>
      <c r="BH365"/>
      <c r="BI365"/>
      <c r="BJ365"/>
      <c r="BK365"/>
      <c r="BL365"/>
      <c r="BM365"/>
      <c r="BN365"/>
      <c r="BO365"/>
      <c r="BP365"/>
      <c r="BQ365"/>
      <c r="BR365"/>
      <c r="BS365"/>
      <c r="BT365"/>
      <c r="BU365"/>
      <c r="BV365"/>
      <c r="BW365"/>
      <c r="BX365"/>
      <c r="BY365"/>
      <c r="BZ365"/>
      <c r="CA365"/>
      <c r="CB365"/>
      <c r="CC365"/>
    </row>
    <row r="366" spans="1:81" x14ac:dyDescent="0.25">
      <c r="A366"/>
      <c r="B366"/>
      <c r="C366"/>
      <c r="D366"/>
      <c r="E366"/>
      <c r="F366"/>
      <c r="G366"/>
      <c r="H366"/>
      <c r="I366"/>
      <c r="J366"/>
      <c r="K366"/>
      <c r="L366"/>
      <c r="M366"/>
      <c r="N366"/>
      <c r="O366"/>
      <c r="P366"/>
      <c r="Q366"/>
      <c r="R366"/>
      <c r="S366"/>
      <c r="T366"/>
      <c r="U366"/>
      <c r="V366"/>
      <c r="W366"/>
      <c r="X366"/>
      <c r="Y366"/>
      <c r="Z366"/>
      <c r="AA366"/>
      <c r="AB366"/>
      <c r="AC366"/>
      <c r="AD366"/>
      <c r="AE366"/>
      <c r="AF366"/>
      <c r="AG366"/>
      <c r="AH366"/>
      <c r="AI366"/>
      <c r="AJ366"/>
      <c r="AK366"/>
      <c r="AL366"/>
      <c r="AM366"/>
      <c r="AN366"/>
      <c r="AO366"/>
      <c r="AP366"/>
      <c r="AQ366"/>
      <c r="AR366"/>
      <c r="AS366"/>
      <c r="AT366"/>
      <c r="AU366"/>
      <c r="AV366"/>
      <c r="AW366"/>
      <c r="AX366"/>
      <c r="AY366"/>
      <c r="AZ366"/>
      <c r="BA366"/>
      <c r="BB366"/>
      <c r="BC366"/>
      <c r="BD366"/>
      <c r="BE366"/>
      <c r="BF366"/>
      <c r="BG366"/>
      <c r="BH366"/>
      <c r="BI366"/>
      <c r="BJ366"/>
      <c r="BK366"/>
      <c r="BL366"/>
      <c r="BM366"/>
      <c r="BN366"/>
      <c r="BO366"/>
      <c r="BP366"/>
      <c r="BQ366"/>
      <c r="BR366"/>
      <c r="BS366"/>
      <c r="BT366"/>
      <c r="BU366"/>
      <c r="BV366"/>
      <c r="BW366"/>
      <c r="BX366"/>
      <c r="BY366"/>
      <c r="BZ366"/>
      <c r="CA366"/>
      <c r="CB366"/>
      <c r="CC366"/>
    </row>
    <row r="367" spans="1:81" x14ac:dyDescent="0.25">
      <c r="A367"/>
      <c r="B367"/>
      <c r="C367"/>
      <c r="D367"/>
      <c r="E367"/>
      <c r="F367"/>
      <c r="G367"/>
      <c r="H367"/>
      <c r="I367"/>
      <c r="J367"/>
      <c r="K367"/>
      <c r="L367"/>
      <c r="M367"/>
      <c r="N367"/>
      <c r="O367"/>
      <c r="P367"/>
      <c r="Q367"/>
      <c r="R367"/>
      <c r="S367"/>
      <c r="T367"/>
      <c r="U367"/>
      <c r="V367"/>
      <c r="W367"/>
      <c r="X367"/>
      <c r="Y367"/>
      <c r="Z367"/>
      <c r="AA367"/>
      <c r="AB367"/>
      <c r="AC367"/>
      <c r="AD367"/>
      <c r="AE367"/>
      <c r="AF367"/>
      <c r="AG367"/>
      <c r="AH367"/>
      <c r="AI367"/>
      <c r="AJ367"/>
      <c r="AK367"/>
      <c r="AL367"/>
      <c r="AM367"/>
      <c r="AN367"/>
      <c r="AO367"/>
      <c r="AP367"/>
      <c r="AQ367"/>
      <c r="AR367"/>
      <c r="AS367"/>
      <c r="AT367"/>
      <c r="AU367"/>
      <c r="AV367"/>
      <c r="AW367"/>
      <c r="AX367"/>
      <c r="AY367"/>
      <c r="AZ367"/>
      <c r="BA367"/>
      <c r="BB367"/>
      <c r="BC367"/>
      <c r="BD367"/>
      <c r="BE367"/>
      <c r="BF367"/>
      <c r="BG367"/>
      <c r="BH367"/>
      <c r="BI367"/>
      <c r="BJ367"/>
      <c r="BK367"/>
      <c r="BL367"/>
      <c r="BM367"/>
      <c r="BN367"/>
      <c r="BO367"/>
      <c r="BP367"/>
      <c r="BQ367"/>
      <c r="BR367"/>
      <c r="BS367"/>
      <c r="BT367"/>
      <c r="BU367"/>
      <c r="BV367"/>
      <c r="BW367"/>
      <c r="BX367"/>
      <c r="BY367"/>
      <c r="BZ367"/>
      <c r="CA367"/>
      <c r="CB367"/>
      <c r="CC367"/>
    </row>
    <row r="368" spans="1:81" x14ac:dyDescent="0.25">
      <c r="A368"/>
      <c r="B368"/>
      <c r="C368"/>
      <c r="D368"/>
      <c r="E368"/>
      <c r="F368"/>
      <c r="G368"/>
      <c r="H368"/>
      <c r="I368"/>
      <c r="J368"/>
      <c r="K368"/>
      <c r="L368"/>
      <c r="M368"/>
      <c r="N368"/>
      <c r="O368"/>
      <c r="P368"/>
      <c r="Q368"/>
      <c r="R368"/>
      <c r="S368"/>
      <c r="T368"/>
      <c r="U368"/>
      <c r="V368"/>
      <c r="W368"/>
      <c r="X368"/>
      <c r="Y368"/>
      <c r="Z368"/>
      <c r="AA368"/>
      <c r="AB368"/>
      <c r="AC368"/>
      <c r="AD368"/>
      <c r="AE368"/>
      <c r="AF368"/>
      <c r="AG368"/>
      <c r="AH368"/>
      <c r="AI368"/>
      <c r="AJ368"/>
      <c r="AK368"/>
      <c r="AL368"/>
      <c r="AM368"/>
      <c r="AN368"/>
      <c r="AO368"/>
      <c r="AP368"/>
      <c r="AQ368"/>
      <c r="AR368"/>
      <c r="AS368"/>
      <c r="AT368"/>
      <c r="AU368"/>
      <c r="AV368"/>
      <c r="AW368"/>
      <c r="AX368"/>
      <c r="AY368"/>
      <c r="AZ368"/>
      <c r="BA368"/>
      <c r="BB368"/>
      <c r="BC368"/>
      <c r="BD368"/>
      <c r="BE368"/>
      <c r="BF368"/>
      <c r="BG368"/>
      <c r="BH368"/>
      <c r="BI368"/>
      <c r="BJ368"/>
      <c r="BK368"/>
      <c r="BL368"/>
      <c r="BM368"/>
      <c r="BN368"/>
      <c r="BO368"/>
      <c r="BP368"/>
      <c r="BQ368"/>
      <c r="BR368"/>
      <c r="BS368"/>
      <c r="BT368"/>
      <c r="BU368"/>
      <c r="BV368"/>
      <c r="BW368"/>
      <c r="BX368"/>
      <c r="BY368"/>
      <c r="BZ368"/>
      <c r="CA368"/>
      <c r="CB368"/>
      <c r="CC368"/>
    </row>
    <row r="369" spans="1:81" x14ac:dyDescent="0.25">
      <c r="A369"/>
      <c r="B369"/>
      <c r="C369"/>
      <c r="D369"/>
      <c r="E369"/>
      <c r="F369"/>
      <c r="G369"/>
      <c r="H369"/>
      <c r="I369"/>
      <c r="J369"/>
      <c r="K369"/>
      <c r="L369"/>
      <c r="M369"/>
      <c r="N369"/>
      <c r="O369"/>
      <c r="P369"/>
      <c r="Q369"/>
      <c r="R369"/>
      <c r="S369"/>
      <c r="T369"/>
      <c r="U369"/>
      <c r="V369"/>
      <c r="W369"/>
      <c r="X369"/>
      <c r="Y369"/>
      <c r="Z369"/>
      <c r="AA369"/>
      <c r="AB369"/>
      <c r="AC369"/>
      <c r="AD369"/>
      <c r="AE369"/>
      <c r="AF369"/>
      <c r="AG369"/>
      <c r="AH369"/>
      <c r="AI369"/>
      <c r="AJ369"/>
      <c r="AK369"/>
      <c r="AL369"/>
      <c r="AM369"/>
      <c r="AN369"/>
      <c r="AO369"/>
      <c r="AP369"/>
      <c r="AQ369"/>
      <c r="AR369"/>
      <c r="AS369"/>
      <c r="AT369"/>
      <c r="AU369"/>
      <c r="AV369"/>
      <c r="AW369"/>
      <c r="AX369"/>
      <c r="AY369"/>
      <c r="AZ369"/>
      <c r="BA369"/>
      <c r="BB369"/>
      <c r="BC369"/>
      <c r="BD369"/>
      <c r="BE369"/>
      <c r="BF369"/>
      <c r="BG369"/>
      <c r="BH369"/>
      <c r="BI369"/>
      <c r="BJ369"/>
      <c r="BK369"/>
      <c r="BL369"/>
      <c r="BM369"/>
      <c r="BN369"/>
      <c r="BO369"/>
      <c r="BP369"/>
      <c r="BQ369"/>
      <c r="BR369"/>
      <c r="BS369"/>
      <c r="BT369"/>
      <c r="BU369"/>
      <c r="BV369"/>
      <c r="BW369"/>
      <c r="BX369"/>
      <c r="BY369"/>
      <c r="BZ369"/>
      <c r="CA369"/>
      <c r="CB369"/>
      <c r="CC369"/>
    </row>
    <row r="370" spans="1:81" x14ac:dyDescent="0.25">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c r="AI370"/>
      <c r="AJ370"/>
      <c r="AK370"/>
      <c r="AL370"/>
      <c r="AM370"/>
      <c r="AN370"/>
      <c r="AO370"/>
      <c r="AP370"/>
      <c r="AQ370"/>
      <c r="AR370"/>
      <c r="AS370"/>
      <c r="AT370"/>
      <c r="AU370"/>
      <c r="AV370"/>
      <c r="AW370"/>
      <c r="AX370"/>
      <c r="AY370"/>
      <c r="AZ370"/>
      <c r="BA370"/>
      <c r="BB370"/>
      <c r="BC370"/>
      <c r="BD370"/>
      <c r="BE370"/>
      <c r="BF370"/>
      <c r="BG370"/>
      <c r="BH370"/>
      <c r="BI370"/>
      <c r="BJ370"/>
      <c r="BK370"/>
      <c r="BL370"/>
      <c r="BM370"/>
      <c r="BN370"/>
      <c r="BO370"/>
      <c r="BP370"/>
      <c r="BQ370"/>
      <c r="BR370"/>
      <c r="BS370"/>
      <c r="BT370"/>
      <c r="BU370"/>
      <c r="BV370"/>
      <c r="BW370"/>
      <c r="BX370"/>
      <c r="BY370"/>
      <c r="BZ370"/>
      <c r="CA370"/>
      <c r="CB370"/>
      <c r="CC370"/>
    </row>
    <row r="371" spans="1:81" x14ac:dyDescent="0.25">
      <c r="A371"/>
      <c r="B371"/>
      <c r="C371"/>
      <c r="D371"/>
      <c r="E371"/>
      <c r="F371"/>
      <c r="G371"/>
      <c r="H371"/>
      <c r="I371"/>
      <c r="J371"/>
      <c r="K371"/>
      <c r="L371"/>
      <c r="M371"/>
      <c r="N371"/>
      <c r="O371"/>
      <c r="P371"/>
      <c r="Q371"/>
      <c r="R371"/>
      <c r="S371"/>
      <c r="T371"/>
      <c r="U371"/>
      <c r="V371"/>
      <c r="W371"/>
      <c r="X371"/>
      <c r="Y371"/>
      <c r="Z371"/>
      <c r="AA371"/>
      <c r="AB371"/>
      <c r="AC371"/>
      <c r="AD371"/>
      <c r="AE371"/>
      <c r="AF371"/>
      <c r="AG371"/>
      <c r="AH371"/>
      <c r="AI371"/>
      <c r="AJ371"/>
      <c r="AK371"/>
      <c r="AL371"/>
      <c r="AM371"/>
      <c r="AN371"/>
      <c r="AO371"/>
      <c r="AP371"/>
      <c r="AQ371"/>
      <c r="AR371"/>
      <c r="AS371"/>
      <c r="AT371"/>
      <c r="AU371"/>
      <c r="AV371"/>
      <c r="AW371"/>
      <c r="AX371"/>
      <c r="AY371"/>
      <c r="AZ371"/>
      <c r="BA371"/>
      <c r="BB371"/>
      <c r="BC371"/>
      <c r="BD371"/>
      <c r="BE371"/>
      <c r="BF371"/>
      <c r="BG371"/>
      <c r="BH371"/>
      <c r="BI371"/>
      <c r="BJ371"/>
      <c r="BK371"/>
      <c r="BL371"/>
      <c r="BM371"/>
      <c r="BN371"/>
      <c r="BO371"/>
      <c r="BP371"/>
      <c r="BQ371"/>
      <c r="BR371"/>
      <c r="BS371"/>
      <c r="BT371"/>
      <c r="BU371"/>
      <c r="BV371"/>
      <c r="BW371"/>
      <c r="BX371"/>
      <c r="BY371"/>
      <c r="BZ371"/>
      <c r="CA371"/>
      <c r="CB371"/>
      <c r="CC371"/>
    </row>
    <row r="372" spans="1:81" x14ac:dyDescent="0.25">
      <c r="A372"/>
      <c r="B372"/>
      <c r="C372"/>
      <c r="D372"/>
      <c r="E372"/>
      <c r="F372"/>
      <c r="G372"/>
      <c r="H372"/>
      <c r="I372"/>
      <c r="J372"/>
      <c r="K372"/>
      <c r="L372"/>
      <c r="M372"/>
      <c r="N372"/>
      <c r="O372"/>
      <c r="P372"/>
      <c r="Q372"/>
      <c r="R372"/>
      <c r="S372"/>
      <c r="T372"/>
      <c r="U372"/>
      <c r="V372"/>
      <c r="W372"/>
      <c r="X372"/>
      <c r="Y372"/>
      <c r="Z372"/>
      <c r="AA372"/>
      <c r="AB372"/>
      <c r="AC372"/>
      <c r="AD372"/>
      <c r="AE372"/>
      <c r="AF372"/>
      <c r="AG372"/>
      <c r="AH372"/>
      <c r="AI372"/>
      <c r="AJ372"/>
      <c r="AK372"/>
      <c r="AL372"/>
      <c r="AM372"/>
      <c r="AN372"/>
      <c r="AO372"/>
      <c r="AP372"/>
      <c r="AQ372"/>
      <c r="AR372"/>
      <c r="AS372"/>
      <c r="AT372"/>
      <c r="AU372"/>
      <c r="AV372"/>
      <c r="AW372"/>
      <c r="AX372"/>
      <c r="AY372"/>
      <c r="AZ372"/>
      <c r="BA372"/>
      <c r="BB372"/>
      <c r="BC372"/>
      <c r="BD372"/>
      <c r="BE372"/>
      <c r="BF372"/>
      <c r="BG372"/>
      <c r="BH372"/>
      <c r="BI372"/>
      <c r="BJ372"/>
      <c r="BK372"/>
      <c r="BL372"/>
      <c r="BM372"/>
      <c r="BN372"/>
      <c r="BO372"/>
      <c r="BP372"/>
      <c r="BQ372"/>
      <c r="BR372"/>
      <c r="BS372"/>
      <c r="BT372"/>
      <c r="BU372"/>
      <c r="BV372"/>
      <c r="BW372"/>
      <c r="BX372"/>
      <c r="BY372"/>
      <c r="BZ372"/>
      <c r="CA372"/>
      <c r="CB372"/>
      <c r="CC372"/>
    </row>
    <row r="373" spans="1:81" x14ac:dyDescent="0.25">
      <c r="A373"/>
      <c r="B373"/>
      <c r="C373"/>
      <c r="D373"/>
      <c r="E373"/>
      <c r="F373"/>
      <c r="G373"/>
      <c r="H373"/>
      <c r="I373"/>
      <c r="J373"/>
      <c r="K373"/>
      <c r="L373"/>
      <c r="M373"/>
      <c r="N373"/>
      <c r="O373"/>
      <c r="P373"/>
      <c r="Q373"/>
      <c r="R373"/>
      <c r="S373"/>
      <c r="T373"/>
      <c r="U373"/>
      <c r="V373"/>
      <c r="W373"/>
      <c r="X373"/>
      <c r="Y373"/>
      <c r="Z373"/>
      <c r="AA373"/>
      <c r="AB373"/>
      <c r="AC373"/>
      <c r="AD373"/>
      <c r="AE373"/>
      <c r="AF373"/>
      <c r="AG373"/>
      <c r="AH373"/>
      <c r="AI373"/>
      <c r="AJ373"/>
      <c r="AK373"/>
      <c r="AL373"/>
      <c r="AM373"/>
      <c r="AN373"/>
      <c r="AO373"/>
      <c r="AP373"/>
      <c r="AQ373"/>
      <c r="AR373"/>
      <c r="AS373"/>
      <c r="AT373"/>
      <c r="AU373"/>
      <c r="AV373"/>
      <c r="AW373"/>
      <c r="AX373"/>
      <c r="AY373"/>
      <c r="AZ373"/>
      <c r="BA373"/>
      <c r="BB373"/>
      <c r="BC373"/>
      <c r="BD373"/>
      <c r="BE373"/>
      <c r="BF373"/>
      <c r="BG373"/>
      <c r="BH373"/>
      <c r="BI373"/>
      <c r="BJ373"/>
      <c r="BK373"/>
      <c r="BL373"/>
      <c r="BM373"/>
      <c r="BN373"/>
      <c r="BO373"/>
      <c r="BP373"/>
      <c r="BQ373"/>
      <c r="BR373"/>
      <c r="BS373"/>
      <c r="BT373"/>
      <c r="BU373"/>
      <c r="BV373"/>
      <c r="BW373"/>
      <c r="BX373"/>
      <c r="BY373"/>
      <c r="BZ373"/>
      <c r="CA373"/>
      <c r="CB373"/>
      <c r="CC373"/>
    </row>
    <row r="374" spans="1:81" x14ac:dyDescent="0.25">
      <c r="A374"/>
      <c r="B374"/>
      <c r="C374"/>
      <c r="D374"/>
      <c r="E374"/>
      <c r="F374"/>
      <c r="G374"/>
      <c r="H374"/>
      <c r="I374"/>
      <c r="J374"/>
      <c r="K374"/>
      <c r="L374"/>
      <c r="M374"/>
      <c r="N374"/>
      <c r="O374"/>
      <c r="P374"/>
      <c r="Q374"/>
      <c r="R374"/>
      <c r="S374"/>
      <c r="T374"/>
      <c r="U374"/>
      <c r="V374"/>
      <c r="W374"/>
      <c r="X374"/>
      <c r="Y374"/>
      <c r="Z374"/>
      <c r="AA374"/>
      <c r="AB374"/>
      <c r="AC374"/>
      <c r="AD374"/>
      <c r="AE374"/>
      <c r="AF374"/>
      <c r="AG374"/>
      <c r="AH374"/>
      <c r="AI374"/>
      <c r="AJ374"/>
      <c r="AK374"/>
      <c r="AL374"/>
      <c r="AM374"/>
      <c r="AN374"/>
      <c r="AO374"/>
      <c r="AP374"/>
      <c r="AQ374"/>
      <c r="AR374"/>
      <c r="AS374"/>
      <c r="AT374"/>
      <c r="AU374"/>
      <c r="AV374"/>
      <c r="AW374"/>
      <c r="AX374"/>
      <c r="AY374"/>
      <c r="AZ374"/>
      <c r="BA374"/>
      <c r="BB374"/>
      <c r="BC374"/>
      <c r="BD374"/>
      <c r="BE374"/>
      <c r="BF374"/>
      <c r="BG374"/>
      <c r="BH374"/>
      <c r="BI374"/>
      <c r="BJ374"/>
      <c r="BK374"/>
      <c r="BL374"/>
      <c r="BM374"/>
      <c r="BN374"/>
      <c r="BO374"/>
      <c r="BP374"/>
      <c r="BQ374"/>
      <c r="BR374"/>
      <c r="BS374"/>
      <c r="BT374"/>
      <c r="BU374"/>
      <c r="BV374"/>
      <c r="BW374"/>
      <c r="BX374"/>
      <c r="BY374"/>
      <c r="BZ374"/>
      <c r="CA374"/>
      <c r="CB374"/>
      <c r="CC374"/>
    </row>
    <row r="375" spans="1:81" x14ac:dyDescent="0.25">
      <c r="A375"/>
      <c r="B375"/>
      <c r="C375"/>
      <c r="D375"/>
      <c r="E375"/>
      <c r="F375"/>
      <c r="G375"/>
      <c r="H375"/>
      <c r="I375"/>
      <c r="J375"/>
      <c r="K375"/>
      <c r="L375"/>
      <c r="M375"/>
      <c r="N375"/>
      <c r="O375"/>
      <c r="P375"/>
      <c r="Q375"/>
      <c r="R375"/>
      <c r="S375"/>
      <c r="T375"/>
      <c r="U375"/>
      <c r="V375"/>
      <c r="W375"/>
      <c r="X375"/>
      <c r="Y375"/>
      <c r="Z375"/>
      <c r="AA375"/>
      <c r="AB375"/>
      <c r="AC375"/>
      <c r="AD375"/>
      <c r="AE375"/>
      <c r="AF375"/>
      <c r="AG375"/>
      <c r="AH375"/>
      <c r="AI375"/>
      <c r="AJ375"/>
      <c r="AK375"/>
      <c r="AL375"/>
      <c r="AM375"/>
      <c r="AN375"/>
      <c r="AO375"/>
      <c r="AP375"/>
      <c r="AQ375"/>
      <c r="AR375"/>
      <c r="AS375"/>
      <c r="AT375"/>
      <c r="AU375"/>
      <c r="AV375"/>
      <c r="AW375"/>
      <c r="AX375"/>
      <c r="AY375"/>
      <c r="AZ375"/>
      <c r="BA375"/>
      <c r="BB375"/>
      <c r="BC375"/>
      <c r="BD375"/>
      <c r="BE375"/>
      <c r="BF375"/>
      <c r="BG375"/>
      <c r="BH375"/>
      <c r="BI375"/>
      <c r="BJ375"/>
      <c r="BK375"/>
      <c r="BL375"/>
      <c r="BM375"/>
      <c r="BN375"/>
      <c r="BO375"/>
      <c r="BP375"/>
      <c r="BQ375"/>
      <c r="BR375"/>
      <c r="BS375"/>
      <c r="BT375"/>
      <c r="BU375"/>
      <c r="BV375"/>
      <c r="BW375"/>
      <c r="BX375"/>
      <c r="BY375"/>
      <c r="BZ375"/>
      <c r="CA375"/>
      <c r="CB375"/>
      <c r="CC375"/>
    </row>
    <row r="376" spans="1:81" x14ac:dyDescent="0.25">
      <c r="A376"/>
      <c r="B376"/>
      <c r="C376"/>
      <c r="D376"/>
      <c r="E376"/>
      <c r="F376"/>
      <c r="G376"/>
      <c r="H376"/>
      <c r="I376"/>
      <c r="J376"/>
      <c r="K376"/>
      <c r="L376"/>
      <c r="M376"/>
      <c r="N376"/>
      <c r="O376"/>
      <c r="P376"/>
      <c r="Q376"/>
      <c r="R376"/>
      <c r="S376"/>
      <c r="T376"/>
      <c r="U376"/>
      <c r="V376"/>
      <c r="W376"/>
      <c r="X376"/>
      <c r="Y376"/>
      <c r="Z376"/>
      <c r="AA376"/>
      <c r="AB376"/>
      <c r="AC376"/>
      <c r="AD376"/>
      <c r="AE376"/>
      <c r="AF376"/>
      <c r="AG376"/>
      <c r="AH376"/>
      <c r="AI376"/>
      <c r="AJ376"/>
      <c r="AK376"/>
      <c r="AL376"/>
      <c r="AM376"/>
      <c r="AN376"/>
      <c r="AO376"/>
      <c r="AP376"/>
      <c r="AQ376"/>
      <c r="AR376"/>
      <c r="AS376"/>
      <c r="AT376"/>
      <c r="AU376"/>
      <c r="AV376"/>
      <c r="AW376"/>
      <c r="AX376"/>
      <c r="AY376"/>
      <c r="AZ376"/>
      <c r="BA376"/>
      <c r="BB376"/>
      <c r="BC376"/>
      <c r="BD376"/>
      <c r="BE376"/>
      <c r="BF376"/>
      <c r="BG376"/>
      <c r="BH376"/>
      <c r="BI376"/>
      <c r="BJ376"/>
      <c r="BK376"/>
      <c r="BL376"/>
      <c r="BM376"/>
      <c r="BN376"/>
      <c r="BO376"/>
      <c r="BP376"/>
      <c r="BQ376"/>
      <c r="BR376"/>
      <c r="BS376"/>
      <c r="BT376"/>
      <c r="BU376"/>
      <c r="BV376"/>
      <c r="BW376"/>
      <c r="BX376"/>
      <c r="BY376"/>
      <c r="BZ376"/>
      <c r="CA376"/>
      <c r="CB376"/>
      <c r="CC376"/>
    </row>
    <row r="377" spans="1:81" x14ac:dyDescent="0.25">
      <c r="A377"/>
      <c r="B377"/>
      <c r="C377"/>
      <c r="D377"/>
      <c r="E377"/>
      <c r="F377"/>
      <c r="G377"/>
      <c r="H377"/>
      <c r="I377"/>
      <c r="J377"/>
      <c r="K377"/>
      <c r="L377"/>
      <c r="M377"/>
      <c r="N377"/>
      <c r="O377"/>
      <c r="P377"/>
      <c r="Q377"/>
      <c r="R377"/>
      <c r="S377"/>
      <c r="T377"/>
      <c r="U377"/>
      <c r="V377"/>
      <c r="W377"/>
      <c r="X377"/>
      <c r="Y377"/>
      <c r="Z377"/>
      <c r="AA377"/>
      <c r="AB377"/>
      <c r="AC377"/>
      <c r="AD377"/>
      <c r="AE377"/>
      <c r="AF377"/>
      <c r="AG377"/>
      <c r="AH377"/>
      <c r="AI377"/>
      <c r="AJ377"/>
      <c r="AK377"/>
      <c r="AL377"/>
      <c r="AM377"/>
      <c r="AN377"/>
      <c r="AO377"/>
      <c r="AP377"/>
      <c r="AQ377"/>
      <c r="AR377"/>
      <c r="AS377"/>
      <c r="AT377"/>
      <c r="AU377"/>
      <c r="AV377"/>
      <c r="AW377"/>
      <c r="AX377"/>
      <c r="AY377"/>
      <c r="AZ377"/>
      <c r="BA377"/>
      <c r="BB377"/>
      <c r="BC377"/>
      <c r="BD377"/>
      <c r="BE377"/>
      <c r="BF377"/>
      <c r="BG377"/>
      <c r="BH377"/>
      <c r="BI377"/>
      <c r="BJ377"/>
      <c r="BK377"/>
      <c r="BL377"/>
      <c r="BM377"/>
      <c r="BN377"/>
      <c r="BO377"/>
      <c r="BP377"/>
      <c r="BQ377"/>
      <c r="BR377"/>
      <c r="BS377"/>
      <c r="BT377"/>
      <c r="BU377"/>
      <c r="BV377"/>
      <c r="BW377"/>
      <c r="BX377"/>
      <c r="BY377"/>
      <c r="BZ377"/>
      <c r="CA377"/>
      <c r="CB377"/>
      <c r="CC377"/>
    </row>
    <row r="378" spans="1:81" x14ac:dyDescent="0.25">
      <c r="A378"/>
      <c r="B378"/>
      <c r="C378"/>
      <c r="D378"/>
      <c r="E378"/>
      <c r="F378"/>
      <c r="G378"/>
      <c r="H378"/>
      <c r="I378"/>
      <c r="J378"/>
      <c r="K378"/>
      <c r="L378"/>
      <c r="M378"/>
      <c r="N378"/>
      <c r="O378"/>
      <c r="P378"/>
      <c r="Q378"/>
      <c r="R378"/>
      <c r="S378"/>
      <c r="T378"/>
      <c r="U378"/>
      <c r="V378"/>
      <c r="W378"/>
      <c r="X378"/>
      <c r="Y378"/>
      <c r="Z378"/>
      <c r="AA378"/>
      <c r="AB378"/>
      <c r="AC378"/>
      <c r="AD378"/>
      <c r="AE378"/>
      <c r="AF378"/>
      <c r="AG378"/>
      <c r="AH378"/>
      <c r="AI378"/>
      <c r="AJ378"/>
      <c r="AK378"/>
      <c r="AL378"/>
      <c r="AM378"/>
      <c r="AN378"/>
      <c r="AO378"/>
      <c r="AP378"/>
      <c r="AQ378"/>
      <c r="AR378"/>
      <c r="AS378"/>
      <c r="AT378"/>
      <c r="AU378"/>
      <c r="AV378"/>
      <c r="AW378"/>
      <c r="AX378"/>
      <c r="AY378"/>
      <c r="AZ378"/>
      <c r="BA378"/>
      <c r="BB378"/>
      <c r="BC378"/>
      <c r="BD378"/>
      <c r="BE378"/>
      <c r="BF378"/>
      <c r="BG378"/>
      <c r="BH378"/>
      <c r="BI378"/>
      <c r="BJ378"/>
      <c r="BK378"/>
      <c r="BL378"/>
      <c r="BM378"/>
      <c r="BN378"/>
      <c r="BO378"/>
      <c r="BP378"/>
      <c r="BQ378"/>
      <c r="BR378"/>
      <c r="BS378"/>
      <c r="BT378"/>
      <c r="BU378"/>
      <c r="BV378"/>
      <c r="BW378"/>
      <c r="BX378"/>
      <c r="BY378"/>
      <c r="BZ378"/>
      <c r="CA378"/>
      <c r="CB378"/>
      <c r="CC378"/>
    </row>
    <row r="379" spans="1:81" x14ac:dyDescent="0.25">
      <c r="A379"/>
      <c r="B379"/>
      <c r="C379"/>
      <c r="D379"/>
      <c r="E379"/>
      <c r="F379"/>
      <c r="G379"/>
      <c r="H379"/>
      <c r="I379"/>
      <c r="J379"/>
      <c r="K379"/>
      <c r="L379"/>
      <c r="M379"/>
      <c r="N379"/>
      <c r="O379"/>
      <c r="P379"/>
      <c r="Q379"/>
      <c r="R379"/>
      <c r="S379"/>
      <c r="T379"/>
      <c r="U379"/>
      <c r="V379"/>
      <c r="W379"/>
      <c r="X379"/>
      <c r="Y379"/>
      <c r="Z379"/>
      <c r="AA379"/>
      <c r="AB379"/>
      <c r="AC379"/>
      <c r="AD379"/>
      <c r="AE379"/>
      <c r="AF379"/>
      <c r="AG379"/>
      <c r="AH379"/>
      <c r="AI379"/>
      <c r="AJ379"/>
      <c r="AK379"/>
      <c r="AL379"/>
      <c r="AM379"/>
      <c r="AN379"/>
      <c r="AO379"/>
      <c r="AP379"/>
      <c r="AQ379"/>
      <c r="AR379"/>
      <c r="AS379"/>
      <c r="AT379"/>
      <c r="AU379"/>
      <c r="AV379"/>
      <c r="AW379"/>
      <c r="AX379"/>
      <c r="AY379"/>
      <c r="AZ379"/>
      <c r="BA379"/>
      <c r="BB379"/>
      <c r="BC379"/>
      <c r="BD379"/>
      <c r="BE379"/>
      <c r="BF379"/>
      <c r="BG379"/>
      <c r="BH379"/>
      <c r="BI379"/>
      <c r="BJ379"/>
      <c r="BK379"/>
      <c r="BL379"/>
      <c r="BM379"/>
      <c r="BN379"/>
      <c r="BO379"/>
      <c r="BP379"/>
      <c r="BQ379"/>
      <c r="BR379"/>
      <c r="BS379"/>
      <c r="BT379"/>
      <c r="BU379"/>
      <c r="BV379"/>
      <c r="BW379"/>
      <c r="BX379"/>
      <c r="BY379"/>
      <c r="BZ379"/>
      <c r="CA379"/>
      <c r="CB379"/>
      <c r="CC379"/>
    </row>
    <row r="380" spans="1:81" x14ac:dyDescent="0.25">
      <c r="A380"/>
      <c r="B380"/>
      <c r="C380"/>
      <c r="D380"/>
      <c r="E380"/>
      <c r="F380"/>
      <c r="G380"/>
      <c r="H380"/>
      <c r="I380"/>
      <c r="J380"/>
      <c r="K380"/>
      <c r="L380"/>
      <c r="M380"/>
      <c r="N380"/>
      <c r="O380"/>
      <c r="P380"/>
      <c r="Q380"/>
      <c r="R380"/>
      <c r="S380"/>
      <c r="T380"/>
      <c r="U380"/>
      <c r="V380"/>
      <c r="W380"/>
      <c r="X380"/>
      <c r="Y380"/>
      <c r="Z380"/>
      <c r="AA380"/>
      <c r="AB380"/>
      <c r="AC380"/>
      <c r="AD380"/>
      <c r="AE380"/>
      <c r="AF380"/>
      <c r="AG380"/>
      <c r="AH380"/>
      <c r="AI380"/>
      <c r="AJ380"/>
      <c r="AK380"/>
      <c r="AL380"/>
      <c r="AM380"/>
      <c r="AN380"/>
      <c r="AO380"/>
      <c r="AP380"/>
      <c r="AQ380"/>
      <c r="AR380"/>
      <c r="AS380"/>
      <c r="AT380"/>
      <c r="AU380"/>
      <c r="AV380"/>
      <c r="AW380"/>
      <c r="AX380"/>
      <c r="AY380"/>
      <c r="AZ380"/>
      <c r="BA380"/>
      <c r="BB380"/>
      <c r="BC380"/>
      <c r="BD380"/>
      <c r="BE380"/>
      <c r="BF380"/>
      <c r="BG380"/>
      <c r="BH380"/>
      <c r="BI380"/>
      <c r="BJ380"/>
      <c r="BK380"/>
      <c r="BL380"/>
      <c r="BM380"/>
      <c r="BN380"/>
      <c r="BO380"/>
      <c r="BP380"/>
      <c r="BQ380"/>
      <c r="BR380"/>
      <c r="BS380"/>
      <c r="BT380"/>
      <c r="BU380"/>
      <c r="BV380"/>
      <c r="BW380"/>
      <c r="BX380"/>
      <c r="BY380"/>
      <c r="BZ380"/>
      <c r="CA380"/>
      <c r="CB380"/>
      <c r="CC380"/>
    </row>
    <row r="381" spans="1:81" x14ac:dyDescent="0.25">
      <c r="A381"/>
      <c r="B381"/>
      <c r="C381"/>
      <c r="D381"/>
      <c r="E381"/>
      <c r="F381"/>
      <c r="G381"/>
      <c r="H381"/>
      <c r="I381"/>
      <c r="J381"/>
      <c r="K381"/>
      <c r="L381"/>
      <c r="M381"/>
      <c r="N381"/>
      <c r="O381"/>
      <c r="P381"/>
      <c r="Q381"/>
      <c r="R381"/>
      <c r="S381"/>
      <c r="T381"/>
      <c r="U381"/>
      <c r="V381"/>
      <c r="W381"/>
      <c r="X381"/>
      <c r="Y381"/>
      <c r="Z381"/>
      <c r="AA381"/>
      <c r="AB381"/>
      <c r="AC381"/>
      <c r="AD381"/>
      <c r="AE381"/>
      <c r="AF381"/>
      <c r="AG381"/>
      <c r="AH381"/>
      <c r="AI381"/>
      <c r="AJ381"/>
      <c r="AK381"/>
      <c r="AL381"/>
      <c r="AM381"/>
      <c r="AN381"/>
      <c r="AO381"/>
      <c r="AP381"/>
      <c r="AQ381"/>
      <c r="AR381"/>
      <c r="AS381"/>
      <c r="AT381"/>
      <c r="AU381"/>
      <c r="AV381"/>
      <c r="AW381"/>
      <c r="AX381"/>
      <c r="AY381"/>
      <c r="AZ381"/>
      <c r="BA381"/>
      <c r="BB381"/>
      <c r="BC381"/>
      <c r="BD381"/>
      <c r="BE381"/>
      <c r="BF381"/>
      <c r="BG381"/>
      <c r="BH381"/>
      <c r="BI381"/>
      <c r="BJ381"/>
      <c r="BK381"/>
      <c r="BL381"/>
      <c r="BM381"/>
      <c r="BN381"/>
      <c r="BO381"/>
      <c r="BP381"/>
      <c r="BQ381"/>
      <c r="BR381"/>
      <c r="BS381"/>
      <c r="BT381"/>
      <c r="BU381"/>
      <c r="BV381"/>
      <c r="BW381"/>
      <c r="BX381"/>
      <c r="BY381"/>
      <c r="BZ381"/>
      <c r="CA381"/>
      <c r="CB381"/>
      <c r="CC381"/>
    </row>
    <row r="382" spans="1:81" x14ac:dyDescent="0.25">
      <c r="A382"/>
      <c r="B382"/>
      <c r="C382"/>
      <c r="D382"/>
      <c r="E382"/>
      <c r="F382"/>
      <c r="G382"/>
      <c r="H382"/>
      <c r="I382"/>
      <c r="J382"/>
      <c r="K382"/>
      <c r="L382"/>
      <c r="M382"/>
      <c r="N382"/>
      <c r="O382"/>
      <c r="P382"/>
      <c r="Q382"/>
      <c r="R382"/>
      <c r="S382"/>
      <c r="T382"/>
      <c r="U382"/>
      <c r="V382"/>
      <c r="W382"/>
      <c r="X382"/>
      <c r="Y382"/>
      <c r="Z382"/>
      <c r="AA382"/>
      <c r="AB382"/>
      <c r="AC382"/>
      <c r="AD382"/>
      <c r="AE382"/>
      <c r="AF382"/>
      <c r="AG382"/>
      <c r="AH382"/>
      <c r="AI382"/>
      <c r="AJ382"/>
      <c r="AK382"/>
      <c r="AL382"/>
      <c r="AM382"/>
      <c r="AN382"/>
      <c r="AO382"/>
      <c r="AP382"/>
      <c r="AQ382"/>
      <c r="AR382"/>
      <c r="AS382"/>
      <c r="AT382"/>
      <c r="AU382"/>
      <c r="AV382"/>
      <c r="AW382"/>
      <c r="AX382"/>
      <c r="AY382"/>
      <c r="AZ382"/>
      <c r="BA382"/>
      <c r="BB382"/>
      <c r="BC382"/>
      <c r="BD382"/>
      <c r="BE382"/>
      <c r="BF382"/>
      <c r="BG382"/>
      <c r="BH382"/>
      <c r="BI382"/>
      <c r="BJ382"/>
      <c r="BK382"/>
      <c r="BL382"/>
      <c r="BM382"/>
      <c r="BN382"/>
      <c r="BO382"/>
      <c r="BP382"/>
      <c r="BQ382"/>
      <c r="BR382"/>
      <c r="BS382"/>
      <c r="BT382"/>
      <c r="BU382"/>
      <c r="BV382"/>
      <c r="BW382"/>
      <c r="BX382"/>
      <c r="BY382"/>
      <c r="BZ382"/>
      <c r="CA382"/>
      <c r="CB382"/>
      <c r="CC382"/>
    </row>
    <row r="383" spans="1:81" x14ac:dyDescent="0.25">
      <c r="A383"/>
      <c r="B383"/>
      <c r="C383"/>
      <c r="D383"/>
      <c r="E383"/>
      <c r="F383"/>
      <c r="G383"/>
      <c r="H383"/>
      <c r="I383"/>
      <c r="J383"/>
      <c r="K383"/>
      <c r="L383"/>
      <c r="M383"/>
      <c r="N383"/>
      <c r="O383"/>
      <c r="P383"/>
      <c r="Q383"/>
      <c r="R383"/>
      <c r="S383"/>
      <c r="T383"/>
      <c r="U383"/>
      <c r="V383"/>
      <c r="W383"/>
      <c r="X383"/>
      <c r="Y383"/>
      <c r="Z383"/>
      <c r="AA383"/>
      <c r="AB383"/>
      <c r="AC383"/>
      <c r="AD383"/>
      <c r="AE383"/>
      <c r="AF383"/>
      <c r="AG383"/>
      <c r="AH383"/>
      <c r="AI383"/>
      <c r="AJ383"/>
      <c r="AK383"/>
      <c r="AL383"/>
      <c r="AM383"/>
      <c r="AN383"/>
      <c r="AO383"/>
      <c r="AP383"/>
      <c r="AQ383"/>
      <c r="AR383"/>
      <c r="AS383"/>
      <c r="AT383"/>
      <c r="AU383"/>
      <c r="AV383"/>
      <c r="AW383"/>
      <c r="AX383"/>
      <c r="AY383"/>
      <c r="AZ383"/>
      <c r="BA383"/>
      <c r="BB383"/>
      <c r="BC383"/>
      <c r="BD383"/>
      <c r="BE383"/>
      <c r="BF383"/>
      <c r="BG383"/>
      <c r="BH383"/>
      <c r="BI383"/>
      <c r="BJ383"/>
      <c r="BK383"/>
      <c r="BL383"/>
      <c r="BM383"/>
      <c r="BN383"/>
      <c r="BO383"/>
      <c r="BP383"/>
      <c r="BQ383"/>
      <c r="BR383"/>
      <c r="BS383"/>
      <c r="BT383"/>
      <c r="BU383"/>
      <c r="BV383"/>
      <c r="BW383"/>
      <c r="BX383"/>
      <c r="BY383"/>
      <c r="BZ383"/>
      <c r="CA383"/>
      <c r="CB383"/>
      <c r="CC383"/>
    </row>
    <row r="384" spans="1:81" x14ac:dyDescent="0.25">
      <c r="A384"/>
      <c r="B384"/>
      <c r="C384"/>
      <c r="D384"/>
      <c r="E384"/>
      <c r="F384"/>
      <c r="G384"/>
      <c r="H384"/>
      <c r="I384"/>
      <c r="J384"/>
      <c r="K384"/>
      <c r="L384"/>
      <c r="M384"/>
      <c r="N384"/>
      <c r="O384"/>
      <c r="P384"/>
      <c r="Q384"/>
      <c r="R384"/>
      <c r="S384"/>
      <c r="T384"/>
      <c r="U384"/>
      <c r="V384"/>
      <c r="W384"/>
      <c r="X384"/>
      <c r="Y384"/>
      <c r="Z384"/>
      <c r="AA384"/>
      <c r="AB384"/>
      <c r="AC384"/>
      <c r="AD384"/>
      <c r="AE384"/>
      <c r="AF384"/>
      <c r="AG384"/>
      <c r="AH384"/>
      <c r="AI384"/>
      <c r="AJ384"/>
      <c r="AK384"/>
      <c r="AL384"/>
      <c r="AM384"/>
      <c r="AN384"/>
      <c r="AO384"/>
      <c r="AP384"/>
      <c r="AQ384"/>
      <c r="AR384"/>
      <c r="AS384"/>
      <c r="AT384"/>
      <c r="AU384"/>
      <c r="AV384"/>
      <c r="AW384"/>
      <c r="AX384"/>
      <c r="AY384"/>
      <c r="AZ384"/>
      <c r="BA384"/>
      <c r="BB384"/>
      <c r="BC384"/>
      <c r="BD384"/>
      <c r="BE384"/>
      <c r="BF384"/>
      <c r="BG384"/>
      <c r="BH384"/>
      <c r="BI384"/>
      <c r="BJ384"/>
      <c r="BK384"/>
      <c r="BL384"/>
      <c r="BM384"/>
      <c r="BN384"/>
      <c r="BO384"/>
      <c r="BP384"/>
      <c r="BQ384"/>
      <c r="BR384"/>
      <c r="BS384"/>
      <c r="BT384"/>
      <c r="BU384"/>
      <c r="BV384"/>
      <c r="BW384"/>
      <c r="BX384"/>
      <c r="BY384"/>
      <c r="BZ384"/>
      <c r="CA384"/>
      <c r="CB384"/>
      <c r="CC384"/>
    </row>
    <row r="385" spans="1:81" x14ac:dyDescent="0.25">
      <c r="A385"/>
      <c r="B385"/>
      <c r="C385"/>
      <c r="D385"/>
      <c r="E385"/>
      <c r="F385"/>
      <c r="G385"/>
      <c r="H385"/>
      <c r="I385"/>
      <c r="J385"/>
      <c r="K385"/>
      <c r="L385"/>
      <c r="M385"/>
      <c r="N385"/>
      <c r="O385"/>
      <c r="P385"/>
      <c r="Q385"/>
      <c r="R385"/>
      <c r="S385"/>
      <c r="T385"/>
      <c r="U385"/>
      <c r="V385"/>
      <c r="W385"/>
      <c r="X385"/>
      <c r="Y385"/>
      <c r="Z385"/>
      <c r="AA385"/>
      <c r="AB385"/>
      <c r="AC385"/>
      <c r="AD385"/>
      <c r="AE385"/>
      <c r="AF385"/>
      <c r="AG385"/>
      <c r="AH385"/>
      <c r="AI385"/>
      <c r="AJ385"/>
      <c r="AK385"/>
      <c r="AL385"/>
      <c r="AM385"/>
      <c r="AN385"/>
      <c r="AO385"/>
      <c r="AP385"/>
      <c r="AQ385"/>
      <c r="AR385"/>
      <c r="AS385"/>
      <c r="AT385"/>
      <c r="AU385"/>
      <c r="AV385"/>
      <c r="AW385"/>
      <c r="AX385"/>
      <c r="AY385"/>
      <c r="AZ385"/>
      <c r="BA385"/>
      <c r="BB385"/>
      <c r="BC385"/>
      <c r="BD385"/>
      <c r="BE385"/>
      <c r="BF385"/>
      <c r="BG385"/>
      <c r="BH385"/>
      <c r="BI385"/>
      <c r="BJ385"/>
      <c r="BK385"/>
      <c r="BL385"/>
      <c r="BM385"/>
      <c r="BN385"/>
      <c r="BO385"/>
      <c r="BP385"/>
      <c r="BQ385"/>
      <c r="BR385"/>
      <c r="BS385"/>
      <c r="BT385"/>
      <c r="BU385"/>
      <c r="BV385"/>
      <c r="BW385"/>
      <c r="BX385"/>
      <c r="BY385"/>
      <c r="BZ385"/>
      <c r="CA385"/>
      <c r="CB385"/>
      <c r="CC385"/>
    </row>
    <row r="386" spans="1:81" x14ac:dyDescent="0.25">
      <c r="A386"/>
      <c r="B386"/>
      <c r="C386"/>
      <c r="D386"/>
      <c r="E386"/>
      <c r="F386"/>
      <c r="G386"/>
      <c r="H386"/>
      <c r="I386"/>
      <c r="J386"/>
      <c r="K386"/>
      <c r="L386"/>
      <c r="M386"/>
      <c r="N386"/>
      <c r="O386"/>
      <c r="P386"/>
      <c r="Q386"/>
      <c r="R386"/>
      <c r="S386"/>
      <c r="T386"/>
      <c r="U386"/>
      <c r="V386"/>
      <c r="W386"/>
      <c r="X386"/>
      <c r="Y386"/>
      <c r="Z386"/>
      <c r="AA386"/>
      <c r="AB386"/>
      <c r="AC386"/>
      <c r="AD386"/>
      <c r="AE386"/>
      <c r="AF386"/>
      <c r="AG386"/>
      <c r="AH386"/>
      <c r="AI386"/>
      <c r="AJ386"/>
      <c r="AK386"/>
      <c r="AL386"/>
      <c r="AM386"/>
      <c r="AN386"/>
      <c r="AO386"/>
      <c r="AP386"/>
      <c r="AQ386"/>
      <c r="AR386"/>
      <c r="AS386"/>
      <c r="AT386"/>
      <c r="AU386"/>
      <c r="AV386"/>
      <c r="AW386"/>
      <c r="AX386"/>
      <c r="AY386"/>
      <c r="AZ386"/>
      <c r="BA386"/>
      <c r="BB386"/>
      <c r="BC386"/>
      <c r="BD386"/>
      <c r="BE386"/>
      <c r="BF386"/>
      <c r="BG386"/>
      <c r="BH386"/>
      <c r="BI386"/>
      <c r="BJ386"/>
      <c r="BK386"/>
      <c r="BL386"/>
      <c r="BM386"/>
      <c r="BN386"/>
      <c r="BO386"/>
      <c r="BP386"/>
      <c r="BQ386"/>
      <c r="BR386"/>
      <c r="BS386"/>
      <c r="BT386"/>
      <c r="BU386"/>
      <c r="BV386"/>
      <c r="BW386"/>
      <c r="BX386"/>
      <c r="BY386"/>
      <c r="BZ386"/>
      <c r="CA386"/>
      <c r="CB386"/>
      <c r="CC386"/>
    </row>
    <row r="387" spans="1:81" x14ac:dyDescent="0.25">
      <c r="A387"/>
      <c r="B387"/>
      <c r="C387"/>
      <c r="D387"/>
      <c r="E387"/>
      <c r="F387"/>
      <c r="G387"/>
      <c r="H387"/>
      <c r="I387"/>
      <c r="J387"/>
      <c r="K387"/>
      <c r="L387"/>
      <c r="M387"/>
      <c r="N387"/>
      <c r="O387"/>
      <c r="P387"/>
      <c r="Q387"/>
      <c r="R387"/>
      <c r="S387"/>
      <c r="T387"/>
      <c r="U387"/>
      <c r="V387"/>
      <c r="W387"/>
      <c r="X387"/>
      <c r="Y387"/>
      <c r="Z387"/>
      <c r="AA387"/>
      <c r="AB387"/>
      <c r="AC387"/>
      <c r="AD387"/>
      <c r="AE387"/>
      <c r="AF387"/>
      <c r="AG387"/>
      <c r="AH387"/>
      <c r="AI387"/>
      <c r="AJ387"/>
      <c r="AK387"/>
      <c r="AL387"/>
      <c r="AM387"/>
      <c r="AN387"/>
      <c r="AO387"/>
      <c r="AP387"/>
      <c r="AQ387"/>
      <c r="AR387"/>
      <c r="AS387"/>
      <c r="AT387"/>
      <c r="AU387"/>
      <c r="AV387"/>
      <c r="AW387"/>
      <c r="AX387"/>
      <c r="AY387"/>
      <c r="AZ387"/>
      <c r="BA387"/>
      <c r="BB387"/>
      <c r="BC387"/>
      <c r="BD387"/>
      <c r="BE387"/>
      <c r="BF387"/>
      <c r="BG387"/>
      <c r="BH387"/>
      <c r="BI387"/>
      <c r="BJ387"/>
      <c r="BK387"/>
      <c r="BL387"/>
      <c r="BM387"/>
      <c r="BN387"/>
      <c r="BO387"/>
      <c r="BP387"/>
      <c r="BQ387"/>
      <c r="BR387"/>
      <c r="BS387"/>
      <c r="BT387"/>
      <c r="BU387"/>
      <c r="BV387"/>
      <c r="BW387"/>
      <c r="BX387"/>
      <c r="BY387"/>
      <c r="BZ387"/>
      <c r="CA387"/>
      <c r="CB387"/>
      <c r="CC387"/>
    </row>
    <row r="388" spans="1:81" x14ac:dyDescent="0.25">
      <c r="A388"/>
      <c r="B388"/>
      <c r="C388"/>
      <c r="D388"/>
      <c r="E388"/>
      <c r="F388"/>
      <c r="G388"/>
      <c r="H388"/>
      <c r="I388"/>
      <c r="J388"/>
      <c r="K388"/>
      <c r="L388"/>
      <c r="M388"/>
      <c r="N388"/>
      <c r="O388"/>
      <c r="P388"/>
      <c r="Q388"/>
      <c r="R388"/>
      <c r="S388"/>
      <c r="T388"/>
      <c r="U388"/>
      <c r="V388"/>
      <c r="W388"/>
      <c r="X388"/>
      <c r="Y388"/>
      <c r="Z388"/>
      <c r="AA388"/>
      <c r="AB388"/>
      <c r="AC388"/>
      <c r="AD388"/>
      <c r="AE388"/>
      <c r="AF388"/>
      <c r="AG388"/>
      <c r="AH388"/>
      <c r="AI388"/>
      <c r="AJ388"/>
      <c r="AK388"/>
      <c r="AL388"/>
      <c r="AM388"/>
      <c r="AN388"/>
      <c r="AO388"/>
      <c r="AP388"/>
      <c r="AQ388"/>
      <c r="AR388"/>
      <c r="AS388"/>
      <c r="AT388"/>
      <c r="AU388"/>
      <c r="AV388"/>
      <c r="AW388"/>
      <c r="AX388"/>
      <c r="AY388"/>
      <c r="AZ388"/>
      <c r="BA388"/>
      <c r="BB388"/>
      <c r="BC388"/>
      <c r="BD388"/>
      <c r="BE388"/>
      <c r="BF388"/>
      <c r="BG388"/>
      <c r="BH388"/>
      <c r="BI388"/>
      <c r="BJ388"/>
      <c r="BK388"/>
      <c r="BL388"/>
      <c r="BM388"/>
      <c r="BN388"/>
      <c r="BO388"/>
      <c r="BP388"/>
      <c r="BQ388"/>
      <c r="BR388"/>
      <c r="BS388"/>
      <c r="BT388"/>
      <c r="BU388"/>
      <c r="BV388"/>
      <c r="BW388"/>
      <c r="BX388"/>
      <c r="BY388"/>
      <c r="BZ388"/>
      <c r="CA388"/>
      <c r="CB388"/>
      <c r="CC388"/>
    </row>
    <row r="389" spans="1:81" x14ac:dyDescent="0.25">
      <c r="A389"/>
      <c r="B389"/>
      <c r="C389"/>
      <c r="D389"/>
      <c r="E389"/>
      <c r="F389"/>
      <c r="G389"/>
      <c r="H389"/>
      <c r="I389"/>
      <c r="J389"/>
      <c r="K389"/>
      <c r="L389"/>
      <c r="M389"/>
      <c r="N389"/>
      <c r="O389"/>
      <c r="P389"/>
      <c r="Q389"/>
      <c r="R389"/>
      <c r="S389"/>
      <c r="T389"/>
      <c r="U389"/>
      <c r="V389"/>
      <c r="W389"/>
      <c r="X389"/>
      <c r="Y389"/>
      <c r="Z389"/>
      <c r="AA389"/>
      <c r="AB389"/>
      <c r="AC389"/>
      <c r="AD389"/>
      <c r="AE389"/>
      <c r="AF389"/>
      <c r="AG389"/>
      <c r="AH389"/>
      <c r="AI389"/>
      <c r="AJ389"/>
      <c r="AK389"/>
      <c r="AL389"/>
      <c r="AM389"/>
      <c r="AN389"/>
      <c r="AO389"/>
      <c r="AP389"/>
      <c r="AQ389"/>
      <c r="AR389"/>
      <c r="AS389"/>
      <c r="AT389"/>
      <c r="AU389"/>
      <c r="AV389"/>
      <c r="AW389"/>
      <c r="AX389"/>
      <c r="AY389"/>
      <c r="AZ389"/>
      <c r="BA389"/>
      <c r="BB389"/>
      <c r="BC389"/>
      <c r="BD389"/>
      <c r="BE389"/>
      <c r="BF389"/>
      <c r="BG389"/>
      <c r="BH389"/>
      <c r="BI389"/>
      <c r="BJ389"/>
      <c r="BK389"/>
      <c r="BL389"/>
      <c r="BM389"/>
      <c r="BN389"/>
      <c r="BO389"/>
      <c r="BP389"/>
      <c r="BQ389"/>
      <c r="BR389"/>
      <c r="BS389"/>
      <c r="BT389"/>
      <c r="BU389"/>
      <c r="BV389"/>
      <c r="BW389"/>
      <c r="BX389"/>
      <c r="BY389"/>
      <c r="BZ389"/>
      <c r="CA389"/>
      <c r="CB389"/>
      <c r="CC389"/>
    </row>
    <row r="390" spans="1:81" x14ac:dyDescent="0.25">
      <c r="A390"/>
      <c r="B390"/>
      <c r="C390"/>
      <c r="D390"/>
      <c r="E390"/>
      <c r="F390"/>
      <c r="G390"/>
      <c r="H390"/>
      <c r="I390"/>
      <c r="J390"/>
      <c r="K390"/>
      <c r="L390"/>
      <c r="M390"/>
      <c r="N390"/>
      <c r="O390"/>
      <c r="P390"/>
      <c r="Q390"/>
      <c r="R390"/>
      <c r="S390"/>
      <c r="T390"/>
      <c r="U390"/>
      <c r="V390"/>
      <c r="W390"/>
      <c r="X390"/>
      <c r="Y390"/>
      <c r="Z390"/>
      <c r="AA390"/>
      <c r="AB390"/>
      <c r="AC390"/>
      <c r="AD390"/>
      <c r="AE390"/>
      <c r="AF390"/>
      <c r="AG390"/>
      <c r="AH390"/>
      <c r="AI390"/>
      <c r="AJ390"/>
      <c r="AK390"/>
      <c r="AL390"/>
      <c r="AM390"/>
      <c r="AN390"/>
      <c r="AO390"/>
      <c r="AP390"/>
      <c r="AQ390"/>
      <c r="AR390"/>
      <c r="AS390"/>
      <c r="AT390"/>
      <c r="AU390"/>
      <c r="AV390"/>
      <c r="AW390"/>
      <c r="AX390"/>
      <c r="AY390"/>
      <c r="AZ390"/>
      <c r="BA390"/>
      <c r="BB390"/>
      <c r="BC390"/>
      <c r="BD390"/>
      <c r="BE390"/>
      <c r="BF390"/>
      <c r="BG390"/>
      <c r="BH390"/>
      <c r="BI390"/>
      <c r="BJ390"/>
      <c r="BK390"/>
      <c r="BL390"/>
      <c r="BM390"/>
      <c r="BN390"/>
      <c r="BO390"/>
      <c r="BP390"/>
      <c r="BQ390"/>
      <c r="BR390"/>
      <c r="BS390"/>
      <c r="BT390"/>
      <c r="BU390"/>
      <c r="BV390"/>
      <c r="BW390"/>
      <c r="BX390"/>
      <c r="BY390"/>
      <c r="BZ390"/>
      <c r="CA390"/>
      <c r="CB390"/>
      <c r="CC390"/>
    </row>
    <row r="391" spans="1:81" x14ac:dyDescent="0.25">
      <c r="A391"/>
      <c r="B391"/>
      <c r="C391"/>
      <c r="D391"/>
      <c r="E391"/>
      <c r="F391"/>
      <c r="G391"/>
      <c r="H391"/>
      <c r="I391"/>
      <c r="J391"/>
      <c r="K391"/>
      <c r="L391"/>
      <c r="M391"/>
      <c r="N391"/>
      <c r="O391"/>
      <c r="P391"/>
      <c r="Q391"/>
      <c r="R391"/>
      <c r="S391"/>
      <c r="T391"/>
      <c r="U391"/>
      <c r="V391"/>
      <c r="W391"/>
      <c r="X391"/>
      <c r="Y391"/>
      <c r="Z391"/>
      <c r="AA391"/>
      <c r="AB391"/>
      <c r="AC391"/>
      <c r="AD391"/>
      <c r="AE391"/>
      <c r="AF391"/>
      <c r="AG391"/>
      <c r="AH391"/>
      <c r="AI391"/>
      <c r="AJ391"/>
      <c r="AK391"/>
      <c r="AL391"/>
      <c r="AM391"/>
      <c r="AN391"/>
      <c r="AO391"/>
      <c r="AP391"/>
      <c r="AQ391"/>
      <c r="AR391"/>
      <c r="AS391"/>
      <c r="AT391"/>
      <c r="AU391"/>
      <c r="AV391"/>
      <c r="AW391"/>
      <c r="AX391"/>
      <c r="AY391"/>
      <c r="AZ391"/>
      <c r="BA391"/>
      <c r="BB391"/>
      <c r="BC391"/>
      <c r="BD391"/>
      <c r="BE391"/>
      <c r="BF391"/>
      <c r="BG391"/>
      <c r="BH391"/>
      <c r="BI391"/>
      <c r="BJ391"/>
      <c r="BK391"/>
      <c r="BL391"/>
      <c r="BM391"/>
      <c r="BN391"/>
      <c r="BO391"/>
      <c r="BP391"/>
      <c r="BQ391"/>
      <c r="BR391"/>
      <c r="BS391"/>
      <c r="BT391"/>
      <c r="BU391"/>
      <c r="BV391"/>
      <c r="BW391"/>
      <c r="BX391"/>
      <c r="BY391"/>
      <c r="BZ391"/>
      <c r="CA391"/>
      <c r="CB391"/>
      <c r="CC391"/>
    </row>
    <row r="392" spans="1:81" x14ac:dyDescent="0.25">
      <c r="A392"/>
      <c r="B392"/>
      <c r="C392"/>
      <c r="D392"/>
      <c r="E392"/>
      <c r="F392"/>
      <c r="G392"/>
      <c r="H392"/>
      <c r="I392"/>
      <c r="J392"/>
      <c r="K392"/>
      <c r="L392"/>
      <c r="M392"/>
      <c r="N392"/>
      <c r="O392"/>
      <c r="P392"/>
      <c r="Q392"/>
      <c r="R392"/>
      <c r="S392"/>
      <c r="T392"/>
      <c r="U392"/>
      <c r="V392"/>
      <c r="W392"/>
      <c r="X392"/>
      <c r="Y392"/>
      <c r="Z392"/>
      <c r="AA392"/>
      <c r="AB392"/>
      <c r="AC392"/>
      <c r="AD392"/>
      <c r="AE392"/>
      <c r="AF392"/>
      <c r="AG392"/>
      <c r="AH392"/>
      <c r="AI392"/>
      <c r="AJ392"/>
      <c r="AK392"/>
      <c r="AL392"/>
      <c r="AM392"/>
      <c r="AN392"/>
      <c r="AO392"/>
      <c r="AP392"/>
      <c r="AQ392"/>
      <c r="AR392"/>
      <c r="AS392"/>
      <c r="AT392"/>
      <c r="AU392"/>
      <c r="AV392"/>
      <c r="AW392"/>
      <c r="AX392"/>
      <c r="AY392"/>
      <c r="AZ392"/>
      <c r="BA392"/>
      <c r="BB392"/>
      <c r="BC392"/>
      <c r="BD392"/>
      <c r="BE392"/>
      <c r="BF392"/>
      <c r="BG392"/>
      <c r="BH392"/>
      <c r="BI392"/>
      <c r="BJ392"/>
      <c r="BK392"/>
      <c r="BL392"/>
      <c r="BM392"/>
      <c r="BN392"/>
      <c r="BO392"/>
      <c r="BP392"/>
      <c r="BQ392"/>
      <c r="BR392"/>
      <c r="BS392"/>
      <c r="BT392"/>
      <c r="BU392"/>
      <c r="BV392"/>
      <c r="BW392"/>
      <c r="BX392"/>
      <c r="BY392"/>
      <c r="BZ392"/>
      <c r="CA392"/>
      <c r="CB392"/>
      <c r="CC392"/>
    </row>
    <row r="393" spans="1:81" x14ac:dyDescent="0.25">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c r="AI393"/>
      <c r="AJ393"/>
      <c r="AK393"/>
      <c r="AL393"/>
      <c r="AM393"/>
      <c r="AN393"/>
      <c r="AO393"/>
      <c r="AP393"/>
      <c r="AQ393"/>
      <c r="AR393"/>
      <c r="AS393"/>
      <c r="AT393"/>
      <c r="AU393"/>
      <c r="AV393"/>
      <c r="AW393"/>
      <c r="AX393"/>
      <c r="AY393"/>
      <c r="AZ393"/>
      <c r="BA393"/>
      <c r="BB393"/>
      <c r="BC393"/>
      <c r="BD393"/>
      <c r="BE393"/>
      <c r="BF393"/>
      <c r="BG393"/>
      <c r="BH393"/>
      <c r="BI393"/>
      <c r="BJ393"/>
      <c r="BK393"/>
      <c r="BL393"/>
      <c r="BM393"/>
      <c r="BN393"/>
      <c r="BO393"/>
      <c r="BP393"/>
      <c r="BQ393"/>
      <c r="BR393"/>
      <c r="BS393"/>
      <c r="BT393"/>
      <c r="BU393"/>
      <c r="BV393"/>
      <c r="BW393"/>
      <c r="BX393"/>
      <c r="BY393"/>
      <c r="BZ393"/>
      <c r="CA393"/>
      <c r="CB393"/>
      <c r="CC393"/>
    </row>
    <row r="394" spans="1:81" x14ac:dyDescent="0.25">
      <c r="A394"/>
      <c r="B394"/>
      <c r="C394"/>
      <c r="D394"/>
      <c r="E394"/>
      <c r="F394"/>
      <c r="G394"/>
      <c r="H394"/>
      <c r="I394"/>
      <c r="J394"/>
      <c r="K394"/>
      <c r="L394"/>
      <c r="M394"/>
      <c r="N394"/>
      <c r="O394"/>
      <c r="P394"/>
      <c r="Q394"/>
      <c r="R394"/>
      <c r="S394"/>
      <c r="T394"/>
      <c r="U394"/>
      <c r="V394"/>
      <c r="W394"/>
      <c r="X394"/>
      <c r="Y394"/>
      <c r="Z394"/>
      <c r="AA394"/>
      <c r="AB394"/>
      <c r="AC394"/>
      <c r="AD394"/>
      <c r="AE394"/>
      <c r="AF394"/>
      <c r="AG394"/>
      <c r="AH394"/>
      <c r="AI394"/>
      <c r="AJ394"/>
      <c r="AK394"/>
      <c r="AL394"/>
      <c r="AM394"/>
      <c r="AN394"/>
      <c r="AO394"/>
      <c r="AP394"/>
      <c r="AQ394"/>
      <c r="AR394"/>
      <c r="AS394"/>
      <c r="AT394"/>
      <c r="AU394"/>
      <c r="AV394"/>
      <c r="AW394"/>
      <c r="AX394"/>
      <c r="AY394"/>
      <c r="AZ394"/>
      <c r="BA394"/>
      <c r="BB394"/>
      <c r="BC394"/>
      <c r="BD394"/>
      <c r="BE394"/>
      <c r="BF394"/>
      <c r="BG394"/>
      <c r="BH394"/>
      <c r="BI394"/>
      <c r="BJ394"/>
      <c r="BK394"/>
      <c r="BL394"/>
      <c r="BM394"/>
      <c r="BN394"/>
      <c r="BO394"/>
      <c r="BP394"/>
      <c r="BQ394"/>
      <c r="BR394"/>
      <c r="BS394"/>
      <c r="BT394"/>
      <c r="BU394"/>
      <c r="BV394"/>
      <c r="BW394"/>
      <c r="BX394"/>
      <c r="BY394"/>
      <c r="BZ394"/>
      <c r="CA394"/>
      <c r="CB394"/>
      <c r="CC394"/>
    </row>
    <row r="395" spans="1:81" x14ac:dyDescent="0.25">
      <c r="A395"/>
      <c r="B395"/>
      <c r="C395"/>
      <c r="D395"/>
      <c r="E395"/>
      <c r="F395"/>
      <c r="G395"/>
      <c r="H395"/>
      <c r="I395"/>
      <c r="J395"/>
      <c r="K395"/>
      <c r="L395"/>
      <c r="M395"/>
      <c r="N395"/>
      <c r="O395"/>
      <c r="P395"/>
      <c r="Q395"/>
      <c r="R395"/>
      <c r="S395"/>
      <c r="T395"/>
      <c r="U395"/>
      <c r="V395"/>
      <c r="W395"/>
      <c r="X395"/>
      <c r="Y395"/>
      <c r="Z395"/>
      <c r="AA395"/>
      <c r="AB395"/>
      <c r="AC395"/>
      <c r="AD395"/>
      <c r="AE395"/>
      <c r="AF395"/>
      <c r="AG395"/>
      <c r="AH395"/>
      <c r="AI395"/>
      <c r="AJ395"/>
      <c r="AK395"/>
      <c r="AL395"/>
      <c r="AM395"/>
      <c r="AN395"/>
      <c r="AO395"/>
      <c r="AP395"/>
      <c r="AQ395"/>
      <c r="AR395"/>
      <c r="AS395"/>
      <c r="AT395"/>
      <c r="AU395"/>
      <c r="AV395"/>
      <c r="AW395"/>
      <c r="AX395"/>
      <c r="AY395"/>
      <c r="AZ395"/>
      <c r="BA395"/>
      <c r="BB395"/>
      <c r="BC395"/>
      <c r="BD395"/>
      <c r="BE395"/>
      <c r="BF395"/>
      <c r="BG395"/>
      <c r="BH395"/>
      <c r="BI395"/>
      <c r="BJ395"/>
      <c r="BK395"/>
      <c r="BL395"/>
      <c r="BM395"/>
      <c r="BN395"/>
      <c r="BO395"/>
      <c r="BP395"/>
      <c r="BQ395"/>
      <c r="BR395"/>
      <c r="BS395"/>
      <c r="BT395"/>
      <c r="BU395"/>
      <c r="BV395"/>
      <c r="BW395"/>
      <c r="BX395"/>
      <c r="BY395"/>
      <c r="BZ395"/>
      <c r="CA395"/>
      <c r="CB395"/>
      <c r="CC395"/>
    </row>
    <row r="396" spans="1:81" x14ac:dyDescent="0.25">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c r="AI396"/>
      <c r="AJ396"/>
      <c r="AK396"/>
      <c r="AL396"/>
      <c r="AM396"/>
      <c r="AN396"/>
      <c r="AO396"/>
      <c r="AP396"/>
      <c r="AQ396"/>
      <c r="AR396"/>
      <c r="AS396"/>
      <c r="AT396"/>
      <c r="AU396"/>
      <c r="AV396"/>
      <c r="AW396"/>
      <c r="AX396"/>
      <c r="AY396"/>
      <c r="AZ396"/>
      <c r="BA396"/>
      <c r="BB396"/>
      <c r="BC396"/>
      <c r="BD396"/>
      <c r="BE396"/>
      <c r="BF396"/>
      <c r="BG396"/>
      <c r="BH396"/>
      <c r="BI396"/>
      <c r="BJ396"/>
      <c r="BK396"/>
      <c r="BL396"/>
      <c r="BM396"/>
      <c r="BN396"/>
      <c r="BO396"/>
      <c r="BP396"/>
      <c r="BQ396"/>
      <c r="BR396"/>
      <c r="BS396"/>
      <c r="BT396"/>
      <c r="BU396"/>
      <c r="BV396"/>
      <c r="BW396"/>
      <c r="BX396"/>
      <c r="BY396"/>
      <c r="BZ396"/>
      <c r="CA396"/>
      <c r="CB396"/>
      <c r="CC396"/>
    </row>
    <row r="397" spans="1:81" x14ac:dyDescent="0.25">
      <c r="A397"/>
      <c r="B397"/>
      <c r="C397"/>
      <c r="D397"/>
      <c r="E397"/>
      <c r="F397"/>
      <c r="G397"/>
      <c r="H397"/>
      <c r="I397"/>
      <c r="J397"/>
      <c r="K397"/>
      <c r="L397"/>
      <c r="M397"/>
      <c r="N397"/>
      <c r="O397"/>
      <c r="P397"/>
      <c r="Q397"/>
      <c r="R397"/>
      <c r="S397"/>
      <c r="T397"/>
      <c r="U397"/>
      <c r="V397"/>
      <c r="W397"/>
      <c r="X397"/>
      <c r="Y397"/>
      <c r="Z397"/>
      <c r="AA397"/>
      <c r="AB397"/>
      <c r="AC397"/>
      <c r="AD397"/>
      <c r="AE397"/>
      <c r="AF397"/>
      <c r="AG397"/>
      <c r="AH397"/>
      <c r="AI397"/>
      <c r="AJ397"/>
      <c r="AK397"/>
      <c r="AL397"/>
      <c r="AM397"/>
      <c r="AN397"/>
      <c r="AO397"/>
      <c r="AP397"/>
      <c r="AQ397"/>
      <c r="AR397"/>
      <c r="AS397"/>
      <c r="AT397"/>
      <c r="AU397"/>
      <c r="AV397"/>
      <c r="AW397"/>
      <c r="AX397"/>
      <c r="AY397"/>
      <c r="AZ397"/>
      <c r="BA397"/>
      <c r="BB397"/>
      <c r="BC397"/>
      <c r="BD397"/>
      <c r="BE397"/>
      <c r="BF397"/>
      <c r="BG397"/>
      <c r="BH397"/>
      <c r="BI397"/>
      <c r="BJ397"/>
      <c r="BK397"/>
      <c r="BL397"/>
      <c r="BM397"/>
      <c r="BN397"/>
      <c r="BO397"/>
      <c r="BP397"/>
      <c r="BQ397"/>
      <c r="BR397"/>
      <c r="BS397"/>
      <c r="BT397"/>
      <c r="BU397"/>
      <c r="BV397"/>
      <c r="BW397"/>
      <c r="BX397"/>
      <c r="BY397"/>
      <c r="BZ397"/>
      <c r="CA397"/>
      <c r="CB397"/>
      <c r="CC397"/>
    </row>
    <row r="398" spans="1:81" x14ac:dyDescent="0.25">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c r="AI398"/>
      <c r="AJ398"/>
      <c r="AK398"/>
      <c r="AL398"/>
      <c r="AM398"/>
      <c r="AN398"/>
      <c r="AO398"/>
      <c r="AP398"/>
      <c r="AQ398"/>
      <c r="AR398"/>
      <c r="AS398"/>
      <c r="AT398"/>
      <c r="AU398"/>
      <c r="AV398"/>
      <c r="AW398"/>
      <c r="AX398"/>
      <c r="AY398"/>
      <c r="AZ398"/>
      <c r="BA398"/>
      <c r="BB398"/>
      <c r="BC398"/>
      <c r="BD398"/>
      <c r="BE398"/>
      <c r="BF398"/>
      <c r="BG398"/>
      <c r="BH398"/>
      <c r="BI398"/>
      <c r="BJ398"/>
      <c r="BK398"/>
      <c r="BL398"/>
      <c r="BM398"/>
      <c r="BN398"/>
      <c r="BO398"/>
      <c r="BP398"/>
      <c r="BQ398"/>
      <c r="BR398"/>
      <c r="BS398"/>
      <c r="BT398"/>
      <c r="BU398"/>
      <c r="BV398"/>
      <c r="BW398"/>
      <c r="BX398"/>
      <c r="BY398"/>
      <c r="BZ398"/>
      <c r="CA398"/>
      <c r="CB398"/>
      <c r="CC398"/>
    </row>
    <row r="399" spans="1:81" x14ac:dyDescent="0.25">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c r="AI399"/>
      <c r="AJ399"/>
      <c r="AK399"/>
      <c r="AL399"/>
      <c r="AM399"/>
      <c r="AN399"/>
      <c r="AO399"/>
      <c r="AP399"/>
      <c r="AQ399"/>
      <c r="AR399"/>
      <c r="AS399"/>
      <c r="AT399"/>
      <c r="AU399"/>
      <c r="AV399"/>
      <c r="AW399"/>
      <c r="AX399"/>
      <c r="AY399"/>
      <c r="AZ399"/>
      <c r="BA399"/>
      <c r="BB399"/>
      <c r="BC399"/>
      <c r="BD399"/>
      <c r="BE399"/>
      <c r="BF399"/>
      <c r="BG399"/>
      <c r="BH399"/>
      <c r="BI399"/>
      <c r="BJ399"/>
      <c r="BK399"/>
      <c r="BL399"/>
      <c r="BM399"/>
      <c r="BN399"/>
      <c r="BO399"/>
      <c r="BP399"/>
      <c r="BQ399"/>
      <c r="BR399"/>
      <c r="BS399"/>
      <c r="BT399"/>
      <c r="BU399"/>
      <c r="BV399"/>
      <c r="BW399"/>
      <c r="BX399"/>
      <c r="BY399"/>
      <c r="BZ399"/>
      <c r="CA399"/>
      <c r="CB399"/>
      <c r="CC399"/>
    </row>
    <row r="400" spans="1:81" x14ac:dyDescent="0.25">
      <c r="A400"/>
      <c r="B400"/>
      <c r="C400"/>
      <c r="D400"/>
      <c r="E400"/>
      <c r="F400"/>
      <c r="G400"/>
      <c r="H400"/>
      <c r="I400"/>
      <c r="J400"/>
      <c r="K400"/>
      <c r="L400"/>
      <c r="M400"/>
      <c r="N400"/>
      <c r="O400"/>
      <c r="P400"/>
      <c r="Q400"/>
      <c r="R400"/>
      <c r="S400"/>
      <c r="T400"/>
      <c r="U400"/>
      <c r="V400"/>
      <c r="W400"/>
      <c r="X400"/>
      <c r="Y400"/>
      <c r="Z400"/>
      <c r="AA400"/>
      <c r="AB400"/>
      <c r="AC400"/>
      <c r="AD400"/>
      <c r="AE400"/>
      <c r="AF400"/>
      <c r="AG400"/>
      <c r="AH400"/>
      <c r="AI400"/>
      <c r="AJ400"/>
      <c r="AK400"/>
      <c r="AL400"/>
      <c r="AM400"/>
      <c r="AN400"/>
      <c r="AO400"/>
      <c r="AP400"/>
      <c r="AQ400"/>
      <c r="AR400"/>
      <c r="AS400"/>
      <c r="AT400"/>
      <c r="AU400"/>
      <c r="AV400"/>
      <c r="AW400"/>
      <c r="AX400"/>
      <c r="AY400"/>
      <c r="AZ400"/>
      <c r="BA400"/>
      <c r="BB400"/>
      <c r="BC400"/>
      <c r="BD400"/>
      <c r="BE400"/>
      <c r="BF400"/>
      <c r="BG400"/>
      <c r="BH400"/>
      <c r="BI400"/>
      <c r="BJ400"/>
      <c r="BK400"/>
      <c r="BL400"/>
      <c r="BM400"/>
      <c r="BN400"/>
      <c r="BO400"/>
      <c r="BP400"/>
      <c r="BQ400"/>
      <c r="BR400"/>
      <c r="BS400"/>
      <c r="BT400"/>
      <c r="BU400"/>
      <c r="BV400"/>
      <c r="BW400"/>
      <c r="BX400"/>
      <c r="BY400"/>
      <c r="BZ400"/>
      <c r="CA400"/>
      <c r="CB400"/>
      <c r="CC400"/>
    </row>
    <row r="401" spans="1:81" x14ac:dyDescent="0.25">
      <c r="A401"/>
      <c r="B401"/>
      <c r="C401"/>
      <c r="D401"/>
      <c r="E401"/>
      <c r="F401"/>
      <c r="G401"/>
      <c r="H401"/>
      <c r="I401"/>
      <c r="J401"/>
      <c r="K401"/>
      <c r="L401"/>
      <c r="M401"/>
      <c r="N401"/>
      <c r="O401"/>
      <c r="P401"/>
      <c r="Q401"/>
      <c r="R401"/>
      <c r="S401"/>
      <c r="T401"/>
      <c r="U401"/>
      <c r="V401"/>
      <c r="W401"/>
      <c r="X401"/>
      <c r="Y401"/>
      <c r="Z401"/>
      <c r="AA401"/>
      <c r="AB401"/>
      <c r="AC401"/>
      <c r="AD401"/>
      <c r="AE401"/>
      <c r="AF401"/>
      <c r="AG401"/>
      <c r="AH401"/>
      <c r="AI401"/>
      <c r="AJ401"/>
      <c r="AK401"/>
      <c r="AL401"/>
      <c r="AM401"/>
      <c r="AN401"/>
      <c r="AO401"/>
      <c r="AP401"/>
      <c r="AQ401"/>
      <c r="AR401"/>
      <c r="AS401"/>
      <c r="AT401"/>
      <c r="AU401"/>
      <c r="AV401"/>
      <c r="AW401"/>
      <c r="AX401"/>
      <c r="AY401"/>
      <c r="AZ401"/>
      <c r="BA401"/>
      <c r="BB401"/>
      <c r="BC401"/>
      <c r="BD401"/>
      <c r="BE401"/>
      <c r="BF401"/>
      <c r="BG401"/>
      <c r="BH401"/>
      <c r="BI401"/>
      <c r="BJ401"/>
      <c r="BK401"/>
      <c r="BL401"/>
      <c r="BM401"/>
      <c r="BN401"/>
      <c r="BO401"/>
      <c r="BP401"/>
      <c r="BQ401"/>
      <c r="BR401"/>
      <c r="BS401"/>
      <c r="BT401"/>
      <c r="BU401"/>
      <c r="BV401"/>
      <c r="BW401"/>
      <c r="BX401"/>
      <c r="BY401"/>
      <c r="BZ401"/>
      <c r="CA401"/>
      <c r="CB401"/>
      <c r="CC401"/>
    </row>
    <row r="402" spans="1:81" x14ac:dyDescent="0.25">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c r="AI402"/>
      <c r="AJ402"/>
      <c r="AK402"/>
      <c r="AL402"/>
      <c r="AM402"/>
      <c r="AN402"/>
      <c r="AO402"/>
      <c r="AP402"/>
      <c r="AQ402"/>
      <c r="AR402"/>
      <c r="AS402"/>
      <c r="AT402"/>
      <c r="AU402"/>
      <c r="AV402"/>
      <c r="AW402"/>
      <c r="AX402"/>
      <c r="AY402"/>
      <c r="AZ402"/>
      <c r="BA402"/>
      <c r="BB402"/>
      <c r="BC402"/>
      <c r="BD402"/>
      <c r="BE402"/>
      <c r="BF402"/>
      <c r="BG402"/>
      <c r="BH402"/>
      <c r="BI402"/>
      <c r="BJ402"/>
      <c r="BK402"/>
      <c r="BL402"/>
      <c r="BM402"/>
      <c r="BN402"/>
      <c r="BO402"/>
      <c r="BP402"/>
      <c r="BQ402"/>
      <c r="BR402"/>
      <c r="BS402"/>
      <c r="BT402"/>
      <c r="BU402"/>
      <c r="BV402"/>
      <c r="BW402"/>
      <c r="BX402"/>
      <c r="BY402"/>
      <c r="BZ402"/>
      <c r="CA402"/>
      <c r="CB402"/>
      <c r="CC402"/>
    </row>
    <row r="403" spans="1:81" x14ac:dyDescent="0.25">
      <c r="A403"/>
      <c r="B403"/>
      <c r="C403"/>
      <c r="D403"/>
      <c r="E403"/>
      <c r="F403"/>
      <c r="G403"/>
      <c r="H403"/>
      <c r="I403"/>
      <c r="J403"/>
      <c r="K403"/>
      <c r="L403"/>
      <c r="M403"/>
      <c r="N403"/>
      <c r="O403"/>
      <c r="P403"/>
      <c r="Q403"/>
      <c r="R403"/>
      <c r="S403"/>
      <c r="T403"/>
      <c r="U403"/>
      <c r="V403"/>
      <c r="W403"/>
      <c r="X403"/>
      <c r="Y403"/>
      <c r="Z403"/>
      <c r="AA403"/>
      <c r="AB403"/>
      <c r="AC403"/>
      <c r="AD403"/>
      <c r="AE403"/>
      <c r="AF403"/>
      <c r="AG403"/>
      <c r="AH403"/>
      <c r="AI403"/>
      <c r="AJ403"/>
      <c r="AK403"/>
      <c r="AL403"/>
      <c r="AM403"/>
      <c r="AN403"/>
      <c r="AO403"/>
      <c r="AP403"/>
      <c r="AQ403"/>
      <c r="AR403"/>
      <c r="AS403"/>
      <c r="AT403"/>
      <c r="AU403"/>
      <c r="AV403"/>
      <c r="AW403"/>
      <c r="AX403"/>
      <c r="AY403"/>
      <c r="AZ403"/>
      <c r="BA403"/>
      <c r="BB403"/>
      <c r="BC403"/>
      <c r="BD403"/>
      <c r="BE403"/>
      <c r="BF403"/>
      <c r="BG403"/>
      <c r="BH403"/>
      <c r="BI403"/>
      <c r="BJ403"/>
      <c r="BK403"/>
      <c r="BL403"/>
      <c r="BM403"/>
      <c r="BN403"/>
      <c r="BO403"/>
      <c r="BP403"/>
      <c r="BQ403"/>
      <c r="BR403"/>
      <c r="BS403"/>
      <c r="BT403"/>
      <c r="BU403"/>
      <c r="BV403"/>
      <c r="BW403"/>
      <c r="BX403"/>
      <c r="BY403"/>
      <c r="BZ403"/>
      <c r="CA403"/>
      <c r="CB403"/>
      <c r="CC403"/>
    </row>
    <row r="404" spans="1:81" x14ac:dyDescent="0.25">
      <c r="A404"/>
      <c r="B404"/>
      <c r="C404"/>
      <c r="D404"/>
      <c r="E404"/>
      <c r="F404"/>
      <c r="G404"/>
      <c r="H404"/>
      <c r="I404"/>
      <c r="J404"/>
      <c r="K404"/>
      <c r="L404"/>
      <c r="M404"/>
      <c r="N404"/>
      <c r="O404"/>
      <c r="P404"/>
      <c r="Q404"/>
      <c r="R404"/>
      <c r="S404"/>
      <c r="T404"/>
      <c r="U404"/>
      <c r="V404"/>
      <c r="W404"/>
      <c r="X404"/>
      <c r="Y404"/>
      <c r="Z404"/>
      <c r="AA404"/>
      <c r="AB404"/>
      <c r="AC404"/>
      <c r="AD404"/>
      <c r="AE404"/>
      <c r="AF404"/>
      <c r="AG404"/>
      <c r="AH404"/>
      <c r="AI404"/>
      <c r="AJ404"/>
      <c r="AK404"/>
      <c r="AL404"/>
      <c r="AM404"/>
      <c r="AN404"/>
      <c r="AO404"/>
      <c r="AP404"/>
      <c r="AQ404"/>
      <c r="AR404"/>
      <c r="AS404"/>
      <c r="AT404"/>
      <c r="AU404"/>
      <c r="AV404"/>
      <c r="AW404"/>
      <c r="AX404"/>
      <c r="AY404"/>
      <c r="AZ404"/>
      <c r="BA404"/>
      <c r="BB404"/>
      <c r="BC404"/>
      <c r="BD404"/>
      <c r="BE404"/>
      <c r="BF404"/>
      <c r="BG404"/>
      <c r="BH404"/>
      <c r="BI404"/>
      <c r="BJ404"/>
      <c r="BK404"/>
      <c r="BL404"/>
      <c r="BM404"/>
      <c r="BN404"/>
      <c r="BO404"/>
      <c r="BP404"/>
      <c r="BQ404"/>
      <c r="BR404"/>
      <c r="BS404"/>
      <c r="BT404"/>
      <c r="BU404"/>
      <c r="BV404"/>
      <c r="BW404"/>
      <c r="BX404"/>
      <c r="BY404"/>
      <c r="BZ404"/>
      <c r="CA404"/>
      <c r="CB404"/>
      <c r="CC404"/>
    </row>
    <row r="405" spans="1:81" x14ac:dyDescent="0.25">
      <c r="A405"/>
      <c r="B405"/>
      <c r="C405"/>
      <c r="D405"/>
      <c r="E405"/>
      <c r="F405"/>
      <c r="G405"/>
      <c r="H405"/>
      <c r="I405"/>
      <c r="J405"/>
      <c r="K405"/>
      <c r="L405"/>
      <c r="M405"/>
      <c r="N405"/>
      <c r="O405"/>
      <c r="P405"/>
      <c r="Q405"/>
      <c r="R405"/>
      <c r="S405"/>
      <c r="T405"/>
      <c r="U405"/>
      <c r="V405"/>
      <c r="W405"/>
      <c r="X405"/>
      <c r="Y405"/>
      <c r="Z405"/>
      <c r="AA405"/>
      <c r="AB405"/>
      <c r="AC405"/>
      <c r="AD405"/>
      <c r="AE405"/>
      <c r="AF405"/>
      <c r="AG405"/>
      <c r="AH405"/>
      <c r="AI405"/>
      <c r="AJ405"/>
      <c r="AK405"/>
      <c r="AL405"/>
      <c r="AM405"/>
      <c r="AN405"/>
      <c r="AO405"/>
      <c r="AP405"/>
      <c r="AQ405"/>
      <c r="AR405"/>
      <c r="AS405"/>
      <c r="AT405"/>
      <c r="AU405"/>
      <c r="AV405"/>
      <c r="AW405"/>
      <c r="AX405"/>
      <c r="AY405"/>
      <c r="AZ405"/>
      <c r="BA405"/>
      <c r="BB405"/>
      <c r="BC405"/>
      <c r="BD405"/>
      <c r="BE405"/>
      <c r="BF405"/>
      <c r="BG405"/>
      <c r="BH405"/>
      <c r="BI405"/>
      <c r="BJ405"/>
      <c r="BK405"/>
      <c r="BL405"/>
      <c r="BM405"/>
      <c r="BN405"/>
      <c r="BO405"/>
      <c r="BP405"/>
      <c r="BQ405"/>
      <c r="BR405"/>
      <c r="BS405"/>
      <c r="BT405"/>
      <c r="BU405"/>
      <c r="BV405"/>
      <c r="BW405"/>
      <c r="BX405"/>
      <c r="BY405"/>
      <c r="BZ405"/>
      <c r="CA405"/>
      <c r="CB405"/>
      <c r="CC405"/>
    </row>
    <row r="406" spans="1:81" x14ac:dyDescent="0.25">
      <c r="A406"/>
      <c r="B406"/>
      <c r="C406"/>
      <c r="D406"/>
      <c r="E406"/>
      <c r="F406"/>
      <c r="G406"/>
      <c r="H406"/>
      <c r="I406"/>
      <c r="J406"/>
      <c r="K406"/>
      <c r="L406"/>
      <c r="M406"/>
      <c r="N406"/>
      <c r="O406"/>
      <c r="P406"/>
      <c r="Q406"/>
      <c r="R406"/>
      <c r="S406"/>
      <c r="T406"/>
      <c r="U406"/>
      <c r="V406"/>
      <c r="W406"/>
      <c r="X406"/>
      <c r="Y406"/>
      <c r="Z406"/>
      <c r="AA406"/>
      <c r="AB406"/>
      <c r="AC406"/>
      <c r="AD406"/>
      <c r="AE406"/>
      <c r="AF406"/>
      <c r="AG406"/>
      <c r="AH406"/>
      <c r="AI406"/>
      <c r="AJ406"/>
      <c r="AK406"/>
      <c r="AL406"/>
      <c r="AM406"/>
      <c r="AN406"/>
      <c r="AO406"/>
      <c r="AP406"/>
      <c r="AQ406"/>
      <c r="AR406"/>
      <c r="AS406"/>
      <c r="AT406"/>
      <c r="AU406"/>
      <c r="AV406"/>
      <c r="AW406"/>
      <c r="AX406"/>
      <c r="AY406"/>
      <c r="AZ406"/>
      <c r="BA406"/>
      <c r="BB406"/>
      <c r="BC406"/>
      <c r="BD406"/>
      <c r="BE406"/>
      <c r="BF406"/>
      <c r="BG406"/>
      <c r="BH406"/>
      <c r="BI406"/>
      <c r="BJ406"/>
      <c r="BK406"/>
      <c r="BL406"/>
      <c r="BM406"/>
      <c r="BN406"/>
      <c r="BO406"/>
      <c r="BP406"/>
      <c r="BQ406"/>
      <c r="BR406"/>
      <c r="BS406"/>
      <c r="BT406"/>
      <c r="BU406"/>
      <c r="BV406"/>
      <c r="BW406"/>
      <c r="BX406"/>
      <c r="BY406"/>
      <c r="BZ406"/>
      <c r="CA406"/>
      <c r="CB406"/>
      <c r="CC406"/>
    </row>
    <row r="407" spans="1:81" x14ac:dyDescent="0.25">
      <c r="A407"/>
      <c r="B407"/>
      <c r="C407"/>
      <c r="D407"/>
      <c r="E407"/>
      <c r="F407"/>
      <c r="G407"/>
      <c r="H407"/>
      <c r="I407"/>
      <c r="J407"/>
      <c r="K407"/>
      <c r="L407"/>
      <c r="M407"/>
      <c r="N407"/>
      <c r="O407"/>
      <c r="P407"/>
      <c r="Q407"/>
      <c r="R407"/>
      <c r="S407"/>
      <c r="T407"/>
      <c r="U407"/>
      <c r="V407"/>
      <c r="W407"/>
      <c r="X407"/>
      <c r="Y407"/>
      <c r="Z407"/>
      <c r="AA407"/>
      <c r="AB407"/>
      <c r="AC407"/>
      <c r="AD407"/>
      <c r="AE407"/>
      <c r="AF407"/>
      <c r="AG407"/>
      <c r="AH407"/>
      <c r="AI407"/>
      <c r="AJ407"/>
      <c r="AK407"/>
      <c r="AL407"/>
      <c r="AM407"/>
      <c r="AN407"/>
      <c r="AO407"/>
      <c r="AP407"/>
      <c r="AQ407"/>
      <c r="AR407"/>
      <c r="AS407"/>
      <c r="AT407"/>
      <c r="AU407"/>
      <c r="AV407"/>
      <c r="AW407"/>
      <c r="AX407"/>
      <c r="AY407"/>
      <c r="AZ407"/>
      <c r="BA407"/>
      <c r="BB407"/>
      <c r="BC407"/>
      <c r="BD407"/>
      <c r="BE407"/>
      <c r="BF407"/>
      <c r="BG407"/>
      <c r="BH407"/>
      <c r="BI407"/>
      <c r="BJ407"/>
      <c r="BK407"/>
      <c r="BL407"/>
      <c r="BM407"/>
      <c r="BN407"/>
      <c r="BO407"/>
      <c r="BP407"/>
      <c r="BQ407"/>
      <c r="BR407"/>
      <c r="BS407"/>
      <c r="BT407"/>
      <c r="BU407"/>
      <c r="BV407"/>
      <c r="BW407"/>
      <c r="BX407"/>
      <c r="BY407"/>
      <c r="BZ407"/>
      <c r="CA407"/>
      <c r="CB407"/>
      <c r="CC407"/>
    </row>
    <row r="408" spans="1:81" x14ac:dyDescent="0.25">
      <c r="A408"/>
      <c r="B408"/>
      <c r="C408"/>
      <c r="D408"/>
      <c r="E408"/>
      <c r="F408"/>
      <c r="G408"/>
      <c r="H408"/>
      <c r="I408"/>
      <c r="J408"/>
      <c r="K408"/>
      <c r="L408"/>
      <c r="M408"/>
      <c r="N408"/>
      <c r="O408"/>
      <c r="P408"/>
      <c r="Q408"/>
      <c r="R408"/>
      <c r="S408"/>
      <c r="T408"/>
      <c r="U408"/>
      <c r="V408"/>
      <c r="W408"/>
      <c r="X408"/>
      <c r="Y408"/>
      <c r="Z408"/>
      <c r="AA408"/>
      <c r="AB408"/>
      <c r="AC408"/>
      <c r="AD408"/>
      <c r="AE408"/>
      <c r="AF408"/>
      <c r="AG408"/>
      <c r="AH408"/>
      <c r="AI408"/>
      <c r="AJ408"/>
      <c r="AK408"/>
      <c r="AL408"/>
      <c r="AM408"/>
      <c r="AN408"/>
      <c r="AO408"/>
      <c r="AP408"/>
      <c r="AQ408"/>
      <c r="AR408"/>
      <c r="AS408"/>
      <c r="AT408"/>
      <c r="AU408"/>
      <c r="AV408"/>
      <c r="AW408"/>
      <c r="AX408"/>
      <c r="AY408"/>
      <c r="AZ408"/>
      <c r="BA408"/>
      <c r="BB408"/>
      <c r="BC408"/>
      <c r="BD408"/>
      <c r="BE408"/>
      <c r="BF408"/>
      <c r="BG408"/>
      <c r="BH408"/>
      <c r="BI408"/>
      <c r="BJ408"/>
      <c r="BK408"/>
      <c r="BL408"/>
      <c r="BM408"/>
      <c r="BN408"/>
      <c r="BO408"/>
      <c r="BP408"/>
      <c r="BQ408"/>
      <c r="BR408"/>
      <c r="BS408"/>
      <c r="BT408"/>
      <c r="BU408"/>
      <c r="BV408"/>
      <c r="BW408"/>
      <c r="BX408"/>
      <c r="BY408"/>
      <c r="BZ408"/>
      <c r="CA408"/>
      <c r="CB408"/>
      <c r="CC408"/>
    </row>
    <row r="409" spans="1:81" x14ac:dyDescent="0.25">
      <c r="A409"/>
      <c r="B409"/>
      <c r="C409"/>
      <c r="D409"/>
      <c r="E409"/>
      <c r="F409"/>
      <c r="G409"/>
      <c r="H409"/>
      <c r="I409"/>
      <c r="J409"/>
      <c r="K409"/>
      <c r="L409"/>
      <c r="M409"/>
      <c r="N409"/>
      <c r="O409"/>
      <c r="P409"/>
      <c r="Q409"/>
      <c r="R409"/>
      <c r="S409"/>
      <c r="T409"/>
      <c r="U409"/>
      <c r="V409"/>
      <c r="W409"/>
      <c r="X409"/>
      <c r="Y409"/>
      <c r="Z409"/>
      <c r="AA409"/>
      <c r="AB409"/>
      <c r="AC409"/>
      <c r="AD409"/>
      <c r="AE409"/>
      <c r="AF409"/>
      <c r="AG409"/>
      <c r="AH409"/>
      <c r="AI409"/>
      <c r="AJ409"/>
      <c r="AK409"/>
      <c r="AL409"/>
      <c r="AM409"/>
      <c r="AN409"/>
      <c r="AO409"/>
      <c r="AP409"/>
      <c r="AQ409"/>
      <c r="AR409"/>
      <c r="AS409"/>
      <c r="AT409"/>
      <c r="AU409"/>
      <c r="AV409"/>
      <c r="AW409"/>
      <c r="AX409"/>
      <c r="AY409"/>
      <c r="AZ409"/>
      <c r="BA409"/>
      <c r="BB409"/>
      <c r="BC409"/>
      <c r="BD409"/>
      <c r="BE409"/>
      <c r="BF409"/>
      <c r="BG409"/>
      <c r="BH409"/>
      <c r="BI409"/>
      <c r="BJ409"/>
      <c r="BK409"/>
      <c r="BL409"/>
      <c r="BM409"/>
      <c r="BN409"/>
      <c r="BO409"/>
      <c r="BP409"/>
      <c r="BQ409"/>
      <c r="BR409"/>
      <c r="BS409"/>
      <c r="BT409"/>
      <c r="BU409"/>
      <c r="BV409"/>
      <c r="BW409"/>
      <c r="BX409"/>
      <c r="BY409"/>
      <c r="BZ409"/>
      <c r="CA409"/>
      <c r="CB409"/>
      <c r="CC409"/>
    </row>
    <row r="410" spans="1:81" x14ac:dyDescent="0.25">
      <c r="A410"/>
      <c r="B410"/>
      <c r="C410"/>
      <c r="D410"/>
      <c r="E410"/>
      <c r="F410"/>
      <c r="G410"/>
      <c r="H410"/>
      <c r="I410"/>
      <c r="J410"/>
      <c r="K410"/>
      <c r="L410"/>
      <c r="M410"/>
      <c r="N410"/>
      <c r="O410"/>
      <c r="P410"/>
      <c r="Q410"/>
      <c r="R410"/>
      <c r="S410"/>
      <c r="T410"/>
      <c r="U410"/>
      <c r="V410"/>
      <c r="W410"/>
      <c r="X410"/>
      <c r="Y410"/>
      <c r="Z410"/>
      <c r="AA410"/>
      <c r="AB410"/>
      <c r="AC410"/>
      <c r="AD410"/>
      <c r="AE410"/>
      <c r="AF410"/>
      <c r="AG410"/>
      <c r="AH410"/>
      <c r="AI410"/>
      <c r="AJ410"/>
      <c r="AK410"/>
      <c r="AL410"/>
      <c r="AM410"/>
      <c r="AN410"/>
      <c r="AO410"/>
      <c r="AP410"/>
      <c r="AQ410"/>
      <c r="AR410"/>
      <c r="AS410"/>
      <c r="AT410"/>
      <c r="AU410"/>
      <c r="AV410"/>
      <c r="AW410"/>
      <c r="AX410"/>
      <c r="AY410"/>
      <c r="AZ410"/>
      <c r="BA410"/>
      <c r="BB410"/>
      <c r="BC410"/>
      <c r="BD410"/>
      <c r="BE410"/>
      <c r="BF410"/>
      <c r="BG410"/>
      <c r="BH410"/>
      <c r="BI410"/>
      <c r="BJ410"/>
      <c r="BK410"/>
      <c r="BL410"/>
      <c r="BM410"/>
      <c r="BN410"/>
      <c r="BO410"/>
      <c r="BP410"/>
      <c r="BQ410"/>
      <c r="BR410"/>
      <c r="BS410"/>
      <c r="BT410"/>
      <c r="BU410"/>
      <c r="BV410"/>
      <c r="BW410"/>
      <c r="BX410"/>
      <c r="BY410"/>
      <c r="BZ410"/>
      <c r="CA410"/>
      <c r="CB410"/>
      <c r="CC410"/>
    </row>
    <row r="411" spans="1:81" x14ac:dyDescent="0.25">
      <c r="A411"/>
      <c r="B411"/>
      <c r="C411"/>
      <c r="D411"/>
      <c r="E411"/>
      <c r="F411"/>
      <c r="G411"/>
      <c r="H411"/>
      <c r="I411"/>
      <c r="J411"/>
      <c r="K411"/>
      <c r="L411"/>
      <c r="M411"/>
      <c r="N411"/>
      <c r="O411"/>
      <c r="P411"/>
      <c r="Q411"/>
      <c r="R411"/>
      <c r="S411"/>
      <c r="T411"/>
      <c r="U411"/>
      <c r="V411"/>
      <c r="W411"/>
      <c r="X411"/>
      <c r="Y411"/>
      <c r="Z411"/>
      <c r="AA411"/>
      <c r="AB411"/>
      <c r="AC411"/>
      <c r="AD411"/>
      <c r="AE411"/>
      <c r="AF411"/>
      <c r="AG411"/>
      <c r="AH411"/>
      <c r="AI411"/>
      <c r="AJ411"/>
      <c r="AK411"/>
      <c r="AL411"/>
      <c r="AM411"/>
      <c r="AN411"/>
      <c r="AO411"/>
      <c r="AP411"/>
      <c r="AQ411"/>
      <c r="AR411"/>
      <c r="AS411"/>
      <c r="AT411"/>
      <c r="AU411"/>
      <c r="AV411"/>
      <c r="AW411"/>
      <c r="AX411"/>
      <c r="AY411"/>
      <c r="AZ411"/>
      <c r="BA411"/>
      <c r="BB411"/>
      <c r="BC411"/>
      <c r="BD411"/>
      <c r="BE411"/>
      <c r="BF411"/>
      <c r="BG411"/>
      <c r="BH411"/>
      <c r="BI411"/>
      <c r="BJ411"/>
      <c r="BK411"/>
      <c r="BL411"/>
      <c r="BM411"/>
      <c r="BN411"/>
      <c r="BO411"/>
      <c r="BP411"/>
      <c r="BQ411"/>
      <c r="BR411"/>
      <c r="BS411"/>
      <c r="BT411"/>
      <c r="BU411"/>
      <c r="BV411"/>
      <c r="BW411"/>
      <c r="BX411"/>
      <c r="BY411"/>
      <c r="BZ411"/>
      <c r="CA411"/>
      <c r="CB411"/>
      <c r="CC411"/>
    </row>
    <row r="412" spans="1:81" x14ac:dyDescent="0.25">
      <c r="A412"/>
      <c r="B412"/>
      <c r="C412"/>
      <c r="D412"/>
      <c r="E412"/>
      <c r="F412"/>
      <c r="G412"/>
      <c r="H412"/>
      <c r="I412"/>
      <c r="J412"/>
      <c r="K412"/>
      <c r="L412"/>
      <c r="M412"/>
      <c r="N412"/>
      <c r="O412"/>
      <c r="P412"/>
      <c r="Q412"/>
      <c r="R412"/>
      <c r="S412"/>
      <c r="T412"/>
      <c r="U412"/>
      <c r="V412"/>
      <c r="W412"/>
      <c r="X412"/>
      <c r="Y412"/>
      <c r="Z412"/>
      <c r="AA412"/>
      <c r="AB412"/>
      <c r="AC412"/>
      <c r="AD412"/>
      <c r="AE412"/>
      <c r="AF412"/>
      <c r="AG412"/>
      <c r="AH412"/>
      <c r="AI412"/>
      <c r="AJ412"/>
      <c r="AK412"/>
      <c r="AL412"/>
      <c r="AM412"/>
      <c r="AN412"/>
      <c r="AO412"/>
      <c r="AP412"/>
      <c r="AQ412"/>
      <c r="AR412"/>
      <c r="AS412"/>
      <c r="AT412"/>
      <c r="AU412"/>
      <c r="AV412"/>
      <c r="AW412"/>
      <c r="AX412"/>
      <c r="AY412"/>
      <c r="AZ412"/>
      <c r="BA412"/>
      <c r="BB412"/>
      <c r="BC412"/>
      <c r="BD412"/>
      <c r="BE412"/>
      <c r="BF412"/>
      <c r="BG412"/>
      <c r="BH412"/>
      <c r="BI412"/>
      <c r="BJ412"/>
      <c r="BK412"/>
      <c r="BL412"/>
      <c r="BM412"/>
      <c r="BN412"/>
      <c r="BO412"/>
      <c r="BP412"/>
      <c r="BQ412"/>
      <c r="BR412"/>
      <c r="BS412"/>
      <c r="BT412"/>
      <c r="BU412"/>
      <c r="BV412"/>
      <c r="BW412"/>
      <c r="BX412"/>
      <c r="BY412"/>
      <c r="BZ412"/>
      <c r="CA412"/>
      <c r="CB412"/>
      <c r="CC412"/>
    </row>
    <row r="413" spans="1:81" x14ac:dyDescent="0.25">
      <c r="A413"/>
      <c r="B413"/>
      <c r="C413"/>
      <c r="D413"/>
      <c r="E413"/>
      <c r="F413"/>
      <c r="G413"/>
      <c r="H413"/>
      <c r="I413"/>
      <c r="J413"/>
      <c r="K413"/>
      <c r="L413"/>
      <c r="M413"/>
      <c r="N413"/>
      <c r="O413"/>
      <c r="P413"/>
      <c r="Q413"/>
      <c r="R413"/>
      <c r="S413"/>
      <c r="T413"/>
      <c r="U413"/>
      <c r="V413"/>
      <c r="W413"/>
      <c r="X413"/>
      <c r="Y413"/>
      <c r="Z413"/>
      <c r="AA413"/>
      <c r="AB413"/>
      <c r="AC413"/>
      <c r="AD413"/>
      <c r="AE413"/>
      <c r="AF413"/>
      <c r="AG413"/>
      <c r="AH413"/>
      <c r="AI413"/>
      <c r="AJ413"/>
      <c r="AK413"/>
      <c r="AL413"/>
      <c r="AM413"/>
      <c r="AN413"/>
      <c r="AO413"/>
      <c r="AP413"/>
      <c r="AQ413"/>
      <c r="AR413"/>
      <c r="AS413"/>
      <c r="AT413"/>
      <c r="AU413"/>
      <c r="AV413"/>
      <c r="AW413"/>
      <c r="AX413"/>
      <c r="AY413"/>
      <c r="AZ413"/>
      <c r="BA413"/>
      <c r="BB413"/>
      <c r="BC413"/>
      <c r="BD413"/>
      <c r="BE413"/>
      <c r="BF413"/>
      <c r="BG413"/>
      <c r="BH413"/>
      <c r="BI413"/>
      <c r="BJ413"/>
      <c r="BK413"/>
      <c r="BL413"/>
      <c r="BM413"/>
      <c r="BN413"/>
      <c r="BO413"/>
      <c r="BP413"/>
      <c r="BQ413"/>
      <c r="BR413"/>
      <c r="BS413"/>
      <c r="BT413"/>
      <c r="BU413"/>
      <c r="BV413"/>
      <c r="BW413"/>
      <c r="BX413"/>
      <c r="BY413"/>
      <c r="BZ413"/>
      <c r="CA413"/>
      <c r="CB413"/>
      <c r="CC413"/>
    </row>
    <row r="414" spans="1:81" x14ac:dyDescent="0.25">
      <c r="A414"/>
      <c r="B414"/>
      <c r="C414"/>
      <c r="D414"/>
      <c r="E414"/>
      <c r="F414"/>
      <c r="G414"/>
      <c r="H414"/>
      <c r="I414"/>
      <c r="J414"/>
      <c r="K414"/>
      <c r="L414"/>
      <c r="M414"/>
      <c r="N414"/>
      <c r="O414"/>
      <c r="P414"/>
      <c r="Q414"/>
      <c r="R414"/>
      <c r="S414"/>
      <c r="T414"/>
      <c r="U414"/>
      <c r="V414"/>
      <c r="W414"/>
      <c r="X414"/>
      <c r="Y414"/>
      <c r="Z414"/>
      <c r="AA414"/>
      <c r="AB414"/>
      <c r="AC414"/>
      <c r="AD414"/>
      <c r="AE414"/>
      <c r="AF414"/>
      <c r="AG414"/>
      <c r="AH414"/>
      <c r="AI414"/>
      <c r="AJ414"/>
      <c r="AK414"/>
      <c r="AL414"/>
      <c r="AM414"/>
      <c r="AN414"/>
      <c r="AO414"/>
      <c r="AP414"/>
      <c r="AQ414"/>
      <c r="AR414"/>
      <c r="AS414"/>
      <c r="AT414"/>
      <c r="AU414"/>
      <c r="AV414"/>
      <c r="AW414"/>
      <c r="AX414"/>
      <c r="AY414"/>
      <c r="AZ414"/>
      <c r="BA414"/>
      <c r="BB414"/>
      <c r="BC414"/>
      <c r="BD414"/>
      <c r="BE414"/>
      <c r="BF414"/>
      <c r="BG414"/>
      <c r="BH414"/>
      <c r="BI414"/>
      <c r="BJ414"/>
      <c r="BK414"/>
      <c r="BL414"/>
      <c r="BM414"/>
      <c r="BN414"/>
      <c r="BO414"/>
      <c r="BP414"/>
      <c r="BQ414"/>
      <c r="BR414"/>
      <c r="BS414"/>
      <c r="BT414"/>
      <c r="BU414"/>
      <c r="BV414"/>
      <c r="BW414"/>
      <c r="BX414"/>
      <c r="BY414"/>
      <c r="BZ414"/>
      <c r="CA414"/>
      <c r="CB414"/>
      <c r="CC414"/>
    </row>
    <row r="415" spans="1:81" x14ac:dyDescent="0.25">
      <c r="A415"/>
      <c r="B415"/>
      <c r="C415"/>
      <c r="D415"/>
      <c r="E415"/>
      <c r="F415"/>
      <c r="G415"/>
      <c r="H415"/>
      <c r="I415"/>
      <c r="J415"/>
      <c r="K415"/>
      <c r="L415"/>
      <c r="M415"/>
      <c r="N415"/>
      <c r="O415"/>
      <c r="P415"/>
      <c r="Q415"/>
      <c r="R415"/>
      <c r="S415"/>
      <c r="T415"/>
      <c r="U415"/>
      <c r="V415"/>
      <c r="W415"/>
      <c r="X415"/>
      <c r="Y415"/>
      <c r="Z415"/>
      <c r="AA415"/>
      <c r="AB415"/>
      <c r="AC415"/>
      <c r="AD415"/>
      <c r="AE415"/>
      <c r="AF415"/>
      <c r="AG415"/>
      <c r="AH415"/>
      <c r="AI415"/>
      <c r="AJ415"/>
      <c r="AK415"/>
      <c r="AL415"/>
      <c r="AM415"/>
      <c r="AN415"/>
      <c r="AO415"/>
      <c r="AP415"/>
      <c r="AQ415"/>
      <c r="AR415"/>
      <c r="AS415"/>
      <c r="AT415"/>
      <c r="AU415"/>
      <c r="AV415"/>
      <c r="AW415"/>
      <c r="AX415"/>
      <c r="AY415"/>
      <c r="AZ415"/>
      <c r="BA415"/>
      <c r="BB415"/>
      <c r="BC415"/>
      <c r="BD415"/>
      <c r="BE415"/>
      <c r="BF415"/>
      <c r="BG415"/>
      <c r="BH415"/>
      <c r="BI415"/>
      <c r="BJ415"/>
      <c r="BK415"/>
      <c r="BL415"/>
      <c r="BM415"/>
      <c r="BN415"/>
      <c r="BO415"/>
      <c r="BP415"/>
      <c r="BQ415"/>
      <c r="BR415"/>
      <c r="BS415"/>
      <c r="BT415"/>
      <c r="BU415"/>
      <c r="BV415"/>
      <c r="BW415"/>
      <c r="BX415"/>
      <c r="BY415"/>
      <c r="BZ415"/>
      <c r="CA415"/>
      <c r="CB415"/>
      <c r="CC415"/>
    </row>
    <row r="416" spans="1:81" x14ac:dyDescent="0.25">
      <c r="A416"/>
      <c r="B416"/>
      <c r="C416"/>
      <c r="D416"/>
      <c r="E416"/>
      <c r="F416"/>
      <c r="G416"/>
      <c r="H416"/>
      <c r="I416"/>
      <c r="J416"/>
      <c r="K416"/>
      <c r="L416"/>
      <c r="M416"/>
      <c r="N416"/>
      <c r="O416"/>
      <c r="P416"/>
      <c r="Q416"/>
      <c r="R416"/>
      <c r="S416"/>
      <c r="T416"/>
      <c r="U416"/>
      <c r="V416"/>
      <c r="W416"/>
      <c r="X416"/>
      <c r="Y416"/>
      <c r="Z416"/>
      <c r="AA416"/>
      <c r="AB416"/>
      <c r="AC416"/>
      <c r="AD416"/>
      <c r="AE416"/>
      <c r="AF416"/>
      <c r="AG416"/>
      <c r="AH416"/>
      <c r="AI416"/>
      <c r="AJ416"/>
      <c r="AK416"/>
      <c r="AL416"/>
      <c r="AM416"/>
      <c r="AN416"/>
      <c r="AO416"/>
      <c r="AP416"/>
      <c r="AQ416"/>
      <c r="AR416"/>
      <c r="AS416"/>
      <c r="AT416"/>
      <c r="AU416"/>
      <c r="AV416"/>
      <c r="AW416"/>
      <c r="AX416"/>
      <c r="AY416"/>
      <c r="AZ416"/>
      <c r="BA416"/>
      <c r="BB416"/>
      <c r="BC416"/>
      <c r="BD416"/>
      <c r="BE416"/>
      <c r="BF416"/>
      <c r="BG416"/>
      <c r="BH416"/>
      <c r="BI416"/>
      <c r="BJ416"/>
      <c r="BK416"/>
      <c r="BL416"/>
      <c r="BM416"/>
      <c r="BN416"/>
      <c r="BO416"/>
      <c r="BP416"/>
      <c r="BQ416"/>
      <c r="BR416"/>
      <c r="BS416"/>
      <c r="BT416"/>
      <c r="BU416"/>
      <c r="BV416"/>
      <c r="BW416"/>
      <c r="BX416"/>
      <c r="BY416"/>
      <c r="BZ416"/>
      <c r="CA416"/>
      <c r="CB416"/>
      <c r="CC416"/>
    </row>
    <row r="417" spans="1:81" x14ac:dyDescent="0.25">
      <c r="A417"/>
      <c r="B417"/>
      <c r="C417"/>
      <c r="D417"/>
      <c r="E417"/>
      <c r="F417"/>
      <c r="G417"/>
      <c r="H417"/>
      <c r="I417"/>
      <c r="J417"/>
      <c r="K417"/>
      <c r="L417"/>
      <c r="M417"/>
      <c r="N417"/>
      <c r="O417"/>
      <c r="P417"/>
      <c r="Q417"/>
      <c r="R417"/>
      <c r="S417"/>
      <c r="T417"/>
      <c r="U417"/>
      <c r="V417"/>
      <c r="W417"/>
      <c r="X417"/>
      <c r="Y417"/>
      <c r="Z417"/>
      <c r="AA417"/>
      <c r="AB417"/>
      <c r="AC417"/>
      <c r="AD417"/>
      <c r="AE417"/>
      <c r="AF417"/>
      <c r="AG417"/>
      <c r="AH417"/>
      <c r="AI417"/>
      <c r="AJ417"/>
      <c r="AK417"/>
      <c r="AL417"/>
      <c r="AM417"/>
      <c r="AN417"/>
      <c r="AO417"/>
      <c r="AP417"/>
      <c r="AQ417"/>
      <c r="AR417"/>
      <c r="AS417"/>
      <c r="AT417"/>
      <c r="AU417"/>
      <c r="AV417"/>
      <c r="AW417"/>
      <c r="AX417"/>
      <c r="AY417"/>
      <c r="AZ417"/>
      <c r="BA417"/>
      <c r="BB417"/>
      <c r="BC417"/>
      <c r="BD417"/>
      <c r="BE417"/>
      <c r="BF417"/>
      <c r="BG417"/>
      <c r="BH417"/>
      <c r="BI417"/>
      <c r="BJ417"/>
      <c r="BK417"/>
      <c r="BL417"/>
      <c r="BM417"/>
      <c r="BN417"/>
      <c r="BO417"/>
      <c r="BP417"/>
      <c r="BQ417"/>
      <c r="BR417"/>
      <c r="BS417"/>
      <c r="BT417"/>
      <c r="BU417"/>
      <c r="BV417"/>
      <c r="BW417"/>
      <c r="BX417"/>
      <c r="BY417"/>
      <c r="BZ417"/>
      <c r="CA417"/>
      <c r="CB417"/>
      <c r="CC417"/>
    </row>
    <row r="418" spans="1:81" x14ac:dyDescent="0.25">
      <c r="A418"/>
      <c r="B418"/>
      <c r="C418"/>
      <c r="D418"/>
      <c r="E418"/>
      <c r="F418"/>
      <c r="G418"/>
      <c r="H418"/>
      <c r="I418"/>
      <c r="J418"/>
      <c r="K418"/>
      <c r="L418"/>
      <c r="M418"/>
      <c r="N418"/>
      <c r="O418"/>
      <c r="P418"/>
      <c r="Q418"/>
      <c r="R418"/>
      <c r="S418"/>
      <c r="T418"/>
      <c r="U418"/>
      <c r="V418"/>
      <c r="W418"/>
      <c r="X418"/>
      <c r="Y418"/>
      <c r="Z418"/>
      <c r="AA418"/>
      <c r="AB418"/>
      <c r="AC418"/>
      <c r="AD418"/>
      <c r="AE418"/>
      <c r="AF418"/>
      <c r="AG418"/>
      <c r="AH418"/>
      <c r="AI418"/>
      <c r="AJ418"/>
      <c r="AK418"/>
      <c r="AL418"/>
      <c r="AM418"/>
      <c r="AN418"/>
      <c r="AO418"/>
      <c r="AP418"/>
      <c r="AQ418"/>
      <c r="AR418"/>
      <c r="AS418"/>
      <c r="AT418"/>
      <c r="AU418"/>
      <c r="AV418"/>
      <c r="AW418"/>
      <c r="AX418"/>
      <c r="AY418"/>
      <c r="AZ418"/>
      <c r="BA418"/>
      <c r="BB418"/>
      <c r="BC418"/>
      <c r="BD418"/>
      <c r="BE418"/>
      <c r="BF418"/>
      <c r="BG418"/>
      <c r="BH418"/>
      <c r="BI418"/>
      <c r="BJ418"/>
      <c r="BK418"/>
      <c r="BL418"/>
      <c r="BM418"/>
      <c r="BN418"/>
      <c r="BO418"/>
      <c r="BP418"/>
      <c r="BQ418"/>
      <c r="BR418"/>
      <c r="BS418"/>
      <c r="BT418"/>
      <c r="BU418"/>
      <c r="BV418"/>
      <c r="BW418"/>
      <c r="BX418"/>
      <c r="BY418"/>
      <c r="BZ418"/>
      <c r="CA418"/>
      <c r="CB418"/>
      <c r="CC418"/>
    </row>
    <row r="419" spans="1:81" x14ac:dyDescent="0.25">
      <c r="A419"/>
      <c r="B419"/>
      <c r="C419"/>
      <c r="D419"/>
      <c r="E419"/>
      <c r="F419"/>
      <c r="G419"/>
      <c r="H419"/>
      <c r="I419"/>
      <c r="J419"/>
      <c r="K419"/>
      <c r="L419"/>
      <c r="M419"/>
      <c r="N419"/>
      <c r="O419"/>
      <c r="P419"/>
      <c r="Q419"/>
      <c r="R419"/>
      <c r="S419"/>
      <c r="T419"/>
      <c r="U419"/>
      <c r="V419"/>
      <c r="W419"/>
      <c r="X419"/>
      <c r="Y419"/>
      <c r="Z419"/>
      <c r="AA419"/>
      <c r="AB419"/>
      <c r="AC419"/>
      <c r="AD419"/>
      <c r="AE419"/>
      <c r="AF419"/>
      <c r="AG419"/>
      <c r="AH419"/>
      <c r="AI419"/>
      <c r="AJ419"/>
      <c r="AK419"/>
      <c r="AL419"/>
      <c r="AM419"/>
      <c r="AN419"/>
      <c r="AO419"/>
      <c r="AP419"/>
      <c r="AQ419"/>
      <c r="AR419"/>
      <c r="AS419"/>
      <c r="AT419"/>
      <c r="AU419"/>
      <c r="AV419"/>
      <c r="AW419"/>
      <c r="AX419"/>
      <c r="AY419"/>
      <c r="AZ419"/>
      <c r="BA419"/>
      <c r="BB419"/>
      <c r="BC419"/>
      <c r="BD419"/>
      <c r="BE419"/>
      <c r="BF419"/>
      <c r="BG419"/>
      <c r="BH419"/>
      <c r="BI419"/>
      <c r="BJ419"/>
      <c r="BK419"/>
      <c r="BL419"/>
      <c r="BM419"/>
      <c r="BN419"/>
      <c r="BO419"/>
      <c r="BP419"/>
      <c r="BQ419"/>
      <c r="BR419"/>
      <c r="BS419"/>
      <c r="BT419"/>
      <c r="BU419"/>
      <c r="BV419"/>
      <c r="BW419"/>
      <c r="BX419"/>
      <c r="BY419"/>
      <c r="BZ419"/>
      <c r="CA419"/>
      <c r="CB419"/>
      <c r="CC419"/>
    </row>
    <row r="420" spans="1:81" x14ac:dyDescent="0.25">
      <c r="A420"/>
      <c r="B420"/>
      <c r="C420"/>
      <c r="D420"/>
      <c r="E420"/>
      <c r="F420"/>
      <c r="G420"/>
      <c r="H420"/>
      <c r="I420"/>
      <c r="J420"/>
      <c r="K420"/>
      <c r="L420"/>
      <c r="M420"/>
      <c r="N420"/>
      <c r="O420"/>
      <c r="P420"/>
      <c r="Q420"/>
      <c r="R420"/>
      <c r="S420"/>
      <c r="T420"/>
      <c r="U420"/>
      <c r="V420"/>
      <c r="W420"/>
      <c r="X420"/>
      <c r="Y420"/>
      <c r="Z420"/>
      <c r="AA420"/>
      <c r="AB420"/>
      <c r="AC420"/>
      <c r="AD420"/>
      <c r="AE420"/>
      <c r="AF420"/>
      <c r="AG420"/>
      <c r="AH420"/>
      <c r="AI420"/>
      <c r="AJ420"/>
      <c r="AK420"/>
      <c r="AL420"/>
      <c r="AM420"/>
      <c r="AN420"/>
      <c r="AO420"/>
      <c r="AP420"/>
      <c r="AQ420"/>
      <c r="AR420"/>
      <c r="AS420"/>
      <c r="AT420"/>
      <c r="AU420"/>
      <c r="AV420"/>
      <c r="AW420"/>
      <c r="AX420"/>
      <c r="AY420"/>
      <c r="AZ420"/>
      <c r="BA420"/>
      <c r="BB420"/>
      <c r="BC420"/>
      <c r="BD420"/>
      <c r="BE420"/>
      <c r="BF420"/>
      <c r="BG420"/>
      <c r="BH420"/>
      <c r="BI420"/>
      <c r="BJ420"/>
      <c r="BK420"/>
      <c r="BL420"/>
      <c r="BM420"/>
      <c r="BN420"/>
      <c r="BO420"/>
      <c r="BP420"/>
      <c r="BQ420"/>
      <c r="BR420"/>
      <c r="BS420"/>
      <c r="BT420"/>
      <c r="BU420"/>
      <c r="BV420"/>
      <c r="BW420"/>
      <c r="BX420"/>
      <c r="BY420"/>
      <c r="BZ420"/>
      <c r="CA420"/>
      <c r="CB420"/>
      <c r="CC420"/>
    </row>
    <row r="421" spans="1:81" x14ac:dyDescent="0.25">
      <c r="A421"/>
      <c r="B421"/>
      <c r="C421"/>
      <c r="D421"/>
      <c r="E421"/>
      <c r="F421"/>
      <c r="G421"/>
      <c r="H421"/>
      <c r="I421"/>
      <c r="J421"/>
      <c r="K421"/>
      <c r="L421"/>
      <c r="M421"/>
      <c r="N421"/>
      <c r="O421"/>
      <c r="P421"/>
      <c r="Q421"/>
      <c r="R421"/>
      <c r="S421"/>
      <c r="T421"/>
      <c r="U421"/>
      <c r="V421"/>
      <c r="W421"/>
      <c r="X421"/>
      <c r="Y421"/>
      <c r="Z421"/>
      <c r="AA421"/>
      <c r="AB421"/>
      <c r="AC421"/>
      <c r="AD421"/>
      <c r="AE421"/>
      <c r="AF421"/>
      <c r="AG421"/>
      <c r="AH421"/>
      <c r="AI421"/>
      <c r="AJ421"/>
      <c r="AK421"/>
      <c r="AL421"/>
      <c r="AM421"/>
      <c r="AN421"/>
      <c r="AO421"/>
      <c r="AP421"/>
      <c r="AQ421"/>
      <c r="AR421"/>
      <c r="AS421"/>
      <c r="AT421"/>
      <c r="AU421"/>
      <c r="AV421"/>
      <c r="AW421"/>
      <c r="AX421"/>
      <c r="AY421"/>
      <c r="AZ421"/>
      <c r="BA421"/>
      <c r="BB421"/>
      <c r="BC421"/>
      <c r="BD421"/>
      <c r="BE421"/>
      <c r="BF421"/>
      <c r="BG421"/>
      <c r="BH421"/>
      <c r="BI421"/>
      <c r="BJ421"/>
      <c r="BK421"/>
      <c r="BL421"/>
      <c r="BM421"/>
      <c r="BN421"/>
      <c r="BO421"/>
      <c r="BP421"/>
      <c r="BQ421"/>
      <c r="BR421"/>
      <c r="BS421"/>
      <c r="BT421"/>
      <c r="BU421"/>
      <c r="BV421"/>
      <c r="BW421"/>
      <c r="BX421"/>
      <c r="BY421"/>
      <c r="BZ421"/>
      <c r="CA421"/>
      <c r="CB421"/>
      <c r="CC421"/>
    </row>
    <row r="422" spans="1:81" x14ac:dyDescent="0.25">
      <c r="A422"/>
      <c r="B422"/>
      <c r="C422"/>
      <c r="D422"/>
      <c r="E422"/>
      <c r="F422"/>
      <c r="G422"/>
      <c r="H422"/>
      <c r="I422"/>
      <c r="J422"/>
      <c r="K422"/>
      <c r="L422"/>
      <c r="M422"/>
      <c r="N422"/>
      <c r="O422"/>
      <c r="P422"/>
      <c r="Q422"/>
      <c r="R422"/>
      <c r="S422"/>
      <c r="T422"/>
      <c r="U422"/>
      <c r="V422"/>
      <c r="W422"/>
      <c r="X422"/>
      <c r="Y422"/>
      <c r="Z422"/>
      <c r="AA422"/>
      <c r="AB422"/>
      <c r="AC422"/>
      <c r="AD422"/>
      <c r="AE422"/>
      <c r="AF422"/>
      <c r="AG422"/>
      <c r="AH422"/>
      <c r="AI422"/>
      <c r="AJ422"/>
      <c r="AK422"/>
      <c r="AL422"/>
      <c r="AM422"/>
      <c r="AN422"/>
      <c r="AO422"/>
      <c r="AP422"/>
      <c r="AQ422"/>
      <c r="AR422"/>
      <c r="AS422"/>
      <c r="AT422"/>
      <c r="AU422"/>
      <c r="AV422"/>
      <c r="AW422"/>
      <c r="AX422"/>
      <c r="AY422"/>
      <c r="AZ422"/>
      <c r="BA422"/>
      <c r="BB422"/>
      <c r="BC422"/>
      <c r="BD422"/>
      <c r="BE422"/>
      <c r="BF422"/>
      <c r="BG422"/>
      <c r="BH422"/>
      <c r="BI422"/>
      <c r="BJ422"/>
      <c r="BK422"/>
      <c r="BL422"/>
      <c r="BM422"/>
      <c r="BN422"/>
      <c r="BO422"/>
      <c r="BP422"/>
      <c r="BQ422"/>
      <c r="BR422"/>
      <c r="BS422"/>
      <c r="BT422"/>
      <c r="BU422"/>
      <c r="BV422"/>
      <c r="BW422"/>
      <c r="BX422"/>
      <c r="BY422"/>
      <c r="BZ422"/>
      <c r="CA422"/>
      <c r="CB422"/>
      <c r="CC422"/>
    </row>
    <row r="423" spans="1:81" x14ac:dyDescent="0.25">
      <c r="A423"/>
      <c r="B423"/>
      <c r="C423"/>
      <c r="D423"/>
      <c r="E423"/>
      <c r="F423"/>
      <c r="G423"/>
      <c r="H423"/>
      <c r="I423"/>
      <c r="J423"/>
      <c r="K423"/>
      <c r="L423"/>
      <c r="M423"/>
      <c r="N423"/>
      <c r="O423"/>
      <c r="P423"/>
      <c r="Q423"/>
      <c r="R423"/>
      <c r="S423"/>
      <c r="T423"/>
      <c r="U423"/>
      <c r="V423"/>
      <c r="W423"/>
      <c r="X423"/>
      <c r="Y423"/>
      <c r="Z423"/>
      <c r="AA423"/>
      <c r="AB423"/>
      <c r="AC423"/>
      <c r="AD423"/>
      <c r="AE423"/>
      <c r="AF423"/>
      <c r="AG423"/>
      <c r="AH423"/>
      <c r="AI423"/>
      <c r="AJ423"/>
      <c r="AK423"/>
      <c r="AL423"/>
      <c r="AM423"/>
      <c r="AN423"/>
      <c r="AO423"/>
      <c r="AP423"/>
      <c r="AQ423"/>
      <c r="AR423"/>
      <c r="AS423"/>
      <c r="AT423"/>
      <c r="AU423"/>
      <c r="AV423"/>
      <c r="AW423"/>
      <c r="AX423"/>
      <c r="AY423"/>
      <c r="AZ423"/>
      <c r="BA423"/>
      <c r="BB423"/>
      <c r="BC423"/>
      <c r="BD423"/>
      <c r="BE423"/>
      <c r="BF423"/>
      <c r="BG423"/>
      <c r="BH423"/>
      <c r="BI423"/>
      <c r="BJ423"/>
      <c r="BK423"/>
      <c r="BL423"/>
      <c r="BM423"/>
      <c r="BN423"/>
      <c r="BO423"/>
      <c r="BP423"/>
      <c r="BQ423"/>
      <c r="BR423"/>
      <c r="BS423"/>
      <c r="BT423"/>
      <c r="BU423"/>
      <c r="BV423"/>
      <c r="BW423"/>
      <c r="BX423"/>
      <c r="BY423"/>
      <c r="BZ423"/>
      <c r="CA423"/>
      <c r="CB423"/>
      <c r="CC423"/>
    </row>
    <row r="424" spans="1:81" x14ac:dyDescent="0.25">
      <c r="A424"/>
      <c r="B424"/>
      <c r="C424"/>
      <c r="D424"/>
      <c r="E424"/>
      <c r="F424"/>
      <c r="G424"/>
      <c r="H424"/>
      <c r="I424"/>
      <c r="J424"/>
      <c r="K424"/>
      <c r="L424"/>
      <c r="M424"/>
      <c r="N424"/>
      <c r="O424"/>
      <c r="P424"/>
      <c r="Q424"/>
      <c r="R424"/>
      <c r="S424"/>
      <c r="T424"/>
      <c r="U424"/>
      <c r="V424"/>
      <c r="W424"/>
      <c r="X424"/>
      <c r="Y424"/>
      <c r="Z424"/>
      <c r="AA424"/>
      <c r="AB424"/>
      <c r="AC424"/>
      <c r="AD424"/>
      <c r="AE424"/>
      <c r="AF424"/>
      <c r="AG424"/>
      <c r="AH424"/>
      <c r="AI424"/>
      <c r="AJ424"/>
      <c r="AK424"/>
      <c r="AL424"/>
      <c r="AM424"/>
      <c r="AN424"/>
      <c r="AO424"/>
      <c r="AP424"/>
      <c r="AQ424"/>
      <c r="AR424"/>
      <c r="AS424"/>
      <c r="AT424"/>
      <c r="AU424"/>
      <c r="AV424"/>
      <c r="AW424"/>
      <c r="AX424"/>
      <c r="AY424"/>
      <c r="AZ424"/>
      <c r="BA424"/>
      <c r="BB424"/>
      <c r="BC424"/>
      <c r="BD424"/>
      <c r="BE424"/>
      <c r="BF424"/>
      <c r="BG424"/>
      <c r="BH424"/>
      <c r="BI424"/>
      <c r="BJ424"/>
      <c r="BK424"/>
      <c r="BL424"/>
      <c r="BM424"/>
      <c r="BN424"/>
      <c r="BO424"/>
      <c r="BP424"/>
      <c r="BQ424"/>
      <c r="BR424"/>
      <c r="BS424"/>
      <c r="BT424"/>
      <c r="BU424"/>
      <c r="BV424"/>
      <c r="BW424"/>
      <c r="BX424"/>
      <c r="BY424"/>
      <c r="BZ424"/>
      <c r="CA424"/>
      <c r="CB424"/>
      <c r="CC424"/>
    </row>
    <row r="425" spans="1:81" x14ac:dyDescent="0.25">
      <c r="A425"/>
      <c r="B425"/>
      <c r="C425"/>
      <c r="D425"/>
      <c r="E425"/>
      <c r="F425"/>
      <c r="G425"/>
      <c r="H425"/>
      <c r="I425"/>
      <c r="J425"/>
      <c r="K425"/>
      <c r="L425"/>
      <c r="M425"/>
      <c r="N425"/>
      <c r="O425"/>
      <c r="P425"/>
      <c r="Q425"/>
      <c r="R425"/>
      <c r="S425"/>
      <c r="T425"/>
      <c r="U425"/>
      <c r="V425"/>
      <c r="W425"/>
      <c r="X425"/>
      <c r="Y425"/>
      <c r="Z425"/>
      <c r="AA425"/>
      <c r="AB425"/>
      <c r="AC425"/>
      <c r="AD425"/>
      <c r="AE425"/>
      <c r="AF425"/>
      <c r="AG425"/>
      <c r="AH425"/>
      <c r="AI425"/>
      <c r="AJ425"/>
      <c r="AK425"/>
      <c r="AL425"/>
      <c r="AM425"/>
      <c r="AN425"/>
      <c r="AO425"/>
      <c r="AP425"/>
      <c r="AQ425"/>
      <c r="AR425"/>
      <c r="AS425"/>
      <c r="AT425"/>
      <c r="AU425"/>
      <c r="AV425"/>
      <c r="AW425"/>
      <c r="AX425"/>
      <c r="AY425"/>
      <c r="AZ425"/>
      <c r="BA425"/>
      <c r="BB425"/>
      <c r="BC425"/>
      <c r="BD425"/>
      <c r="BE425"/>
      <c r="BF425"/>
      <c r="BG425"/>
      <c r="BH425"/>
      <c r="BI425"/>
      <c r="BJ425"/>
      <c r="BK425"/>
      <c r="BL425"/>
      <c r="BM425"/>
      <c r="BN425"/>
      <c r="BO425"/>
      <c r="BP425"/>
      <c r="BQ425"/>
      <c r="BR425"/>
      <c r="BS425"/>
      <c r="BT425"/>
      <c r="BU425"/>
      <c r="BV425"/>
      <c r="BW425"/>
      <c r="BX425"/>
      <c r="BY425"/>
      <c r="BZ425"/>
      <c r="CA425"/>
      <c r="CB425"/>
      <c r="CC425"/>
    </row>
    <row r="426" spans="1:81" x14ac:dyDescent="0.25">
      <c r="A426"/>
      <c r="B426"/>
      <c r="C426"/>
      <c r="D426"/>
      <c r="E426"/>
      <c r="F426"/>
      <c r="G426"/>
      <c r="H426"/>
      <c r="I426"/>
      <c r="J426"/>
      <c r="K426"/>
      <c r="L426"/>
      <c r="M426"/>
      <c r="N426"/>
      <c r="O426"/>
      <c r="P426"/>
      <c r="Q426"/>
      <c r="R426"/>
      <c r="S426"/>
      <c r="T426"/>
      <c r="U426"/>
      <c r="V426"/>
      <c r="W426"/>
      <c r="X426"/>
      <c r="Y426"/>
      <c r="Z426"/>
      <c r="AA426"/>
      <c r="AB426"/>
      <c r="AC426"/>
      <c r="AD426"/>
      <c r="AE426"/>
      <c r="AF426"/>
      <c r="AG426"/>
      <c r="AH426"/>
      <c r="AI426"/>
      <c r="AJ426"/>
      <c r="AK426"/>
      <c r="AL426"/>
      <c r="AM426"/>
      <c r="AN426"/>
      <c r="AO426"/>
      <c r="AP426"/>
      <c r="AQ426"/>
      <c r="AR426"/>
      <c r="AS426"/>
      <c r="AT426"/>
      <c r="AU426"/>
      <c r="AV426"/>
      <c r="AW426"/>
      <c r="AX426"/>
      <c r="AY426"/>
      <c r="AZ426"/>
      <c r="BA426"/>
      <c r="BB426"/>
      <c r="BC426"/>
      <c r="BD426"/>
      <c r="BE426"/>
      <c r="BF426"/>
      <c r="BG426"/>
      <c r="BH426"/>
      <c r="BI426"/>
      <c r="BJ426"/>
      <c r="BK426"/>
      <c r="BL426"/>
      <c r="BM426"/>
      <c r="BN426"/>
      <c r="BO426"/>
      <c r="BP426"/>
      <c r="BQ426"/>
      <c r="BR426"/>
      <c r="BS426"/>
      <c r="BT426"/>
      <c r="BU426"/>
      <c r="BV426"/>
      <c r="BW426"/>
      <c r="BX426"/>
      <c r="BY426"/>
      <c r="BZ426"/>
      <c r="CA426"/>
      <c r="CB426"/>
      <c r="CC426"/>
    </row>
    <row r="427" spans="1:81" x14ac:dyDescent="0.25">
      <c r="A427"/>
      <c r="B427"/>
      <c r="C427"/>
      <c r="D427"/>
      <c r="E427"/>
      <c r="F427"/>
      <c r="G427"/>
      <c r="H427"/>
      <c r="I427"/>
      <c r="J427"/>
      <c r="K427"/>
      <c r="L427"/>
      <c r="M427"/>
      <c r="N427"/>
      <c r="O427"/>
      <c r="P427"/>
      <c r="Q427"/>
      <c r="R427"/>
      <c r="S427"/>
      <c r="T427"/>
      <c r="U427"/>
      <c r="V427"/>
      <c r="W427"/>
      <c r="X427"/>
      <c r="Y427"/>
      <c r="Z427"/>
      <c r="AA427"/>
      <c r="AB427"/>
      <c r="AC427"/>
      <c r="AD427"/>
      <c r="AE427"/>
      <c r="AF427"/>
      <c r="AG427"/>
      <c r="AH427"/>
      <c r="AI427"/>
      <c r="AJ427"/>
      <c r="AK427"/>
      <c r="AL427"/>
      <c r="AM427"/>
      <c r="AN427"/>
      <c r="AO427"/>
      <c r="AP427"/>
      <c r="AQ427"/>
      <c r="AR427"/>
      <c r="AS427"/>
      <c r="AT427"/>
      <c r="AU427"/>
      <c r="AV427"/>
      <c r="AW427"/>
      <c r="AX427"/>
      <c r="AY427"/>
      <c r="AZ427"/>
      <c r="BA427"/>
      <c r="BB427"/>
      <c r="BC427"/>
      <c r="BD427"/>
      <c r="BE427"/>
      <c r="BF427"/>
      <c r="BG427"/>
      <c r="BH427"/>
      <c r="BI427"/>
      <c r="BJ427"/>
      <c r="BK427"/>
      <c r="BL427"/>
      <c r="BM427"/>
      <c r="BN427"/>
      <c r="BO427"/>
      <c r="BP427"/>
      <c r="BQ427"/>
      <c r="BR427"/>
      <c r="BS427"/>
      <c r="BT427"/>
      <c r="BU427"/>
      <c r="BV427"/>
      <c r="BW427"/>
      <c r="BX427"/>
      <c r="BY427"/>
      <c r="BZ427"/>
      <c r="CA427"/>
      <c r="CB427"/>
      <c r="CC427"/>
    </row>
    <row r="428" spans="1:81" x14ac:dyDescent="0.25">
      <c r="A428"/>
      <c r="B428"/>
      <c r="C428"/>
      <c r="D428"/>
      <c r="E428"/>
      <c r="F428"/>
      <c r="G428"/>
      <c r="H428"/>
      <c r="I428"/>
      <c r="J428"/>
      <c r="K428"/>
      <c r="L428"/>
      <c r="M428"/>
      <c r="N428"/>
      <c r="O428"/>
      <c r="P428"/>
      <c r="Q428"/>
      <c r="R428"/>
      <c r="S428"/>
      <c r="T428"/>
      <c r="U428"/>
      <c r="V428"/>
      <c r="W428"/>
      <c r="X428"/>
      <c r="Y428"/>
      <c r="Z428"/>
      <c r="AA428"/>
      <c r="AB428"/>
      <c r="AC428"/>
      <c r="AD428"/>
      <c r="AE428"/>
      <c r="AF428"/>
      <c r="AG428"/>
      <c r="AH428"/>
      <c r="AI428"/>
      <c r="AJ428"/>
      <c r="AK428"/>
      <c r="AL428"/>
      <c r="AM428"/>
      <c r="AN428"/>
      <c r="AO428"/>
      <c r="AP428"/>
      <c r="AQ428"/>
      <c r="AR428"/>
      <c r="AS428"/>
      <c r="AT428"/>
      <c r="AU428"/>
      <c r="AV428"/>
      <c r="AW428"/>
      <c r="AX428"/>
      <c r="AY428"/>
      <c r="AZ428"/>
      <c r="BA428"/>
      <c r="BB428"/>
      <c r="BC428"/>
      <c r="BD428"/>
      <c r="BE428"/>
      <c r="BF428"/>
      <c r="BG428"/>
      <c r="BH428"/>
      <c r="BI428"/>
      <c r="BJ428"/>
      <c r="BK428"/>
      <c r="BL428"/>
      <c r="BM428"/>
      <c r="BN428"/>
      <c r="BO428"/>
      <c r="BP428"/>
      <c r="BQ428"/>
      <c r="BR428"/>
      <c r="BS428"/>
      <c r="BT428"/>
      <c r="BU428"/>
      <c r="BV428"/>
      <c r="BW428"/>
      <c r="BX428"/>
      <c r="BY428"/>
      <c r="BZ428"/>
      <c r="CA428"/>
      <c r="CB428"/>
      <c r="CC428"/>
    </row>
    <row r="429" spans="1:81" x14ac:dyDescent="0.25">
      <c r="A429"/>
      <c r="B429"/>
      <c r="C429"/>
      <c r="D429"/>
      <c r="E429"/>
      <c r="F429"/>
      <c r="G429"/>
      <c r="H429"/>
      <c r="I429"/>
      <c r="J429"/>
      <c r="K429"/>
      <c r="L429"/>
      <c r="M429"/>
      <c r="N429"/>
      <c r="O429"/>
      <c r="P429"/>
      <c r="Q429"/>
      <c r="R429"/>
      <c r="S429"/>
      <c r="T429"/>
      <c r="U429"/>
      <c r="V429"/>
      <c r="W429"/>
      <c r="X429"/>
      <c r="Y429"/>
      <c r="Z429"/>
      <c r="AA429"/>
      <c r="AB429"/>
      <c r="AC429"/>
      <c r="AD429"/>
      <c r="AE429"/>
      <c r="AF429"/>
      <c r="AG429"/>
      <c r="AH429"/>
      <c r="AI429"/>
      <c r="AJ429"/>
      <c r="AK429"/>
      <c r="AL429"/>
      <c r="AM429"/>
      <c r="AN429"/>
      <c r="AO429"/>
      <c r="AP429"/>
      <c r="AQ429"/>
      <c r="AR429"/>
      <c r="AS429"/>
      <c r="AT429"/>
      <c r="AU429"/>
      <c r="AV429"/>
      <c r="AW429"/>
      <c r="AX429"/>
      <c r="AY429"/>
      <c r="AZ429"/>
      <c r="BA429"/>
      <c r="BB429"/>
      <c r="BC429"/>
      <c r="BD429"/>
      <c r="BE429"/>
      <c r="BF429"/>
      <c r="BG429"/>
      <c r="BH429"/>
      <c r="BI429"/>
      <c r="BJ429"/>
      <c r="BK429"/>
      <c r="BL429"/>
      <c r="BM429"/>
      <c r="BN429"/>
      <c r="BO429"/>
      <c r="BP429"/>
      <c r="BQ429"/>
      <c r="BR429"/>
      <c r="BS429"/>
      <c r="BT429"/>
      <c r="BU429"/>
      <c r="BV429"/>
      <c r="BW429"/>
      <c r="BX429"/>
      <c r="BY429"/>
      <c r="BZ429"/>
      <c r="CA429"/>
      <c r="CB429"/>
      <c r="CC429"/>
    </row>
    <row r="430" spans="1:81" x14ac:dyDescent="0.25">
      <c r="A430"/>
      <c r="B430"/>
      <c r="C430"/>
      <c r="D430"/>
      <c r="E430"/>
      <c r="F430"/>
      <c r="G430"/>
      <c r="H430"/>
      <c r="I430"/>
      <c r="J430"/>
      <c r="K430"/>
      <c r="L430"/>
      <c r="M430"/>
      <c r="N430"/>
      <c r="O430"/>
      <c r="P430"/>
      <c r="Q430"/>
      <c r="R430"/>
      <c r="S430"/>
      <c r="T430"/>
      <c r="U430"/>
      <c r="V430"/>
      <c r="W430"/>
      <c r="X430"/>
      <c r="Y430"/>
      <c r="Z430"/>
      <c r="AA430"/>
      <c r="AB430"/>
      <c r="AC430"/>
      <c r="AD430"/>
      <c r="AE430"/>
      <c r="AF430"/>
      <c r="AG430"/>
      <c r="AH430"/>
      <c r="AI430"/>
      <c r="AJ430"/>
      <c r="AK430"/>
      <c r="AL430"/>
      <c r="AM430"/>
      <c r="AN430"/>
      <c r="AO430"/>
      <c r="AP430"/>
      <c r="AQ430"/>
      <c r="AR430"/>
      <c r="AS430"/>
      <c r="AT430"/>
      <c r="AU430"/>
      <c r="AV430"/>
      <c r="AW430"/>
      <c r="AX430"/>
      <c r="AY430"/>
      <c r="AZ430"/>
      <c r="BA430"/>
      <c r="BB430"/>
      <c r="BC430"/>
      <c r="BD430"/>
      <c r="BE430"/>
      <c r="BF430"/>
      <c r="BG430"/>
      <c r="BH430"/>
      <c r="BI430"/>
      <c r="BJ430"/>
      <c r="BK430"/>
      <c r="BL430"/>
      <c r="BM430"/>
      <c r="BN430"/>
      <c r="BO430"/>
      <c r="BP430"/>
      <c r="BQ430"/>
      <c r="BR430"/>
      <c r="BS430"/>
      <c r="BT430"/>
      <c r="BU430"/>
      <c r="BV430"/>
      <c r="BW430"/>
      <c r="BX430"/>
      <c r="BY430"/>
      <c r="BZ430"/>
      <c r="CA430"/>
      <c r="CB430"/>
      <c r="CC430"/>
    </row>
    <row r="431" spans="1:81" x14ac:dyDescent="0.25">
      <c r="A431"/>
      <c r="B431"/>
      <c r="C431"/>
      <c r="D431"/>
      <c r="E431"/>
      <c r="F431"/>
      <c r="G431"/>
      <c r="H431"/>
      <c r="I431"/>
      <c r="J431"/>
      <c r="K431"/>
      <c r="L431"/>
      <c r="M431"/>
      <c r="N431"/>
      <c r="O431"/>
      <c r="P431"/>
      <c r="Q431"/>
      <c r="R431"/>
      <c r="S431"/>
      <c r="T431"/>
      <c r="U431"/>
      <c r="V431"/>
      <c r="W431"/>
      <c r="X431"/>
      <c r="Y431"/>
      <c r="Z431"/>
      <c r="AA431"/>
      <c r="AB431"/>
      <c r="AC431"/>
      <c r="AD431"/>
      <c r="AE431"/>
      <c r="AF431"/>
      <c r="AG431"/>
      <c r="AH431"/>
      <c r="AI431"/>
      <c r="AJ431"/>
      <c r="AK431"/>
      <c r="AL431"/>
      <c r="AM431"/>
      <c r="AN431"/>
      <c r="AO431"/>
      <c r="AP431"/>
      <c r="AQ431"/>
      <c r="AR431"/>
      <c r="AS431"/>
      <c r="AT431"/>
      <c r="AU431"/>
      <c r="AV431"/>
      <c r="AW431"/>
      <c r="AX431"/>
      <c r="AY431"/>
      <c r="AZ431"/>
      <c r="BA431"/>
      <c r="BB431"/>
      <c r="BC431"/>
      <c r="BD431"/>
      <c r="BE431"/>
      <c r="BF431"/>
      <c r="BG431"/>
      <c r="BH431"/>
      <c r="BI431"/>
      <c r="BJ431"/>
      <c r="BK431"/>
      <c r="BL431"/>
      <c r="BM431"/>
      <c r="BN431"/>
      <c r="BO431"/>
      <c r="BP431"/>
      <c r="BQ431"/>
      <c r="BR431"/>
      <c r="BS431"/>
      <c r="BT431"/>
      <c r="BU431"/>
      <c r="BV431"/>
      <c r="BW431"/>
      <c r="BX431"/>
      <c r="BY431"/>
      <c r="BZ431"/>
      <c r="CA431"/>
      <c r="CB431"/>
      <c r="CC431"/>
    </row>
    <row r="432" spans="1:81" x14ac:dyDescent="0.25">
      <c r="A432"/>
      <c r="B432"/>
      <c r="C432"/>
      <c r="D432"/>
      <c r="E432"/>
      <c r="F432"/>
      <c r="G432"/>
      <c r="H432"/>
      <c r="I432"/>
      <c r="J432"/>
      <c r="K432"/>
      <c r="L432"/>
      <c r="M432"/>
      <c r="N432"/>
      <c r="O432"/>
      <c r="P432"/>
      <c r="Q432"/>
      <c r="R432"/>
      <c r="S432"/>
      <c r="T432"/>
      <c r="U432"/>
      <c r="V432"/>
      <c r="W432"/>
      <c r="X432"/>
      <c r="Y432"/>
      <c r="Z432"/>
      <c r="AA432"/>
      <c r="AB432"/>
      <c r="AC432"/>
      <c r="AD432"/>
      <c r="AE432"/>
      <c r="AF432"/>
      <c r="AG432"/>
      <c r="AH432"/>
      <c r="AI432"/>
      <c r="AJ432"/>
      <c r="AK432"/>
      <c r="AL432"/>
      <c r="AM432"/>
      <c r="AN432"/>
      <c r="AO432"/>
      <c r="AP432"/>
      <c r="AQ432"/>
      <c r="AR432"/>
      <c r="AS432"/>
      <c r="AT432"/>
      <c r="AU432"/>
      <c r="AV432"/>
      <c r="AW432"/>
      <c r="AX432"/>
      <c r="AY432"/>
      <c r="AZ432"/>
      <c r="BA432"/>
      <c r="BB432"/>
      <c r="BC432"/>
      <c r="BD432"/>
      <c r="BE432"/>
      <c r="BF432"/>
      <c r="BG432"/>
      <c r="BH432"/>
      <c r="BI432"/>
      <c r="BJ432"/>
      <c r="BK432"/>
      <c r="BL432"/>
      <c r="BM432"/>
      <c r="BN432"/>
      <c r="BO432"/>
      <c r="BP432"/>
      <c r="BQ432"/>
      <c r="BR432"/>
      <c r="BS432"/>
      <c r="BT432"/>
      <c r="BU432"/>
      <c r="BV432"/>
      <c r="BW432"/>
      <c r="BX432"/>
      <c r="BY432"/>
      <c r="BZ432"/>
      <c r="CA432"/>
      <c r="CB432"/>
      <c r="CC432"/>
    </row>
    <row r="433" spans="1:81" x14ac:dyDescent="0.25">
      <c r="A433"/>
      <c r="B433"/>
      <c r="C433"/>
      <c r="D433"/>
      <c r="E433"/>
      <c r="F433"/>
      <c r="G433"/>
      <c r="H433"/>
      <c r="I433"/>
      <c r="J433"/>
      <c r="K433"/>
      <c r="L433"/>
      <c r="M433"/>
      <c r="N433"/>
      <c r="O433"/>
      <c r="P433"/>
      <c r="Q433"/>
      <c r="R433"/>
      <c r="S433"/>
      <c r="T433"/>
      <c r="U433"/>
      <c r="V433"/>
      <c r="W433"/>
      <c r="X433"/>
      <c r="Y433"/>
      <c r="Z433"/>
      <c r="AA433"/>
      <c r="AB433"/>
      <c r="AC433"/>
      <c r="AD433"/>
      <c r="AE433"/>
      <c r="AF433"/>
      <c r="AG433"/>
      <c r="AH433"/>
      <c r="AI433"/>
      <c r="AJ433"/>
      <c r="AK433"/>
      <c r="AL433"/>
      <c r="AM433"/>
      <c r="AN433"/>
      <c r="AO433"/>
      <c r="AP433"/>
      <c r="AQ433"/>
      <c r="AR433"/>
      <c r="AS433"/>
      <c r="AT433"/>
      <c r="AU433"/>
      <c r="AV433"/>
      <c r="AW433"/>
      <c r="AX433"/>
      <c r="AY433"/>
      <c r="AZ433"/>
      <c r="BA433"/>
      <c r="BB433"/>
      <c r="BC433"/>
      <c r="BD433"/>
      <c r="BE433"/>
      <c r="BF433"/>
      <c r="BG433"/>
      <c r="BH433"/>
      <c r="BI433"/>
      <c r="BJ433"/>
      <c r="BK433"/>
      <c r="BL433"/>
      <c r="BM433"/>
      <c r="BN433"/>
      <c r="BO433"/>
      <c r="BP433"/>
      <c r="BQ433"/>
      <c r="BR433"/>
      <c r="BS433"/>
      <c r="BT433"/>
      <c r="BU433"/>
      <c r="BV433"/>
      <c r="BW433"/>
      <c r="BX433"/>
      <c r="BY433"/>
      <c r="BZ433"/>
      <c r="CA433"/>
      <c r="CB433"/>
      <c r="CC433"/>
    </row>
    <row r="434" spans="1:81" x14ac:dyDescent="0.25">
      <c r="A434"/>
      <c r="B434"/>
      <c r="C434"/>
      <c r="D434"/>
      <c r="E434"/>
      <c r="F434"/>
      <c r="G434"/>
      <c r="H434"/>
      <c r="I434"/>
      <c r="J434"/>
      <c r="K434"/>
      <c r="L434"/>
      <c r="M434"/>
      <c r="N434"/>
      <c r="O434"/>
      <c r="P434"/>
      <c r="Q434"/>
      <c r="R434"/>
      <c r="S434"/>
      <c r="T434"/>
      <c r="U434"/>
      <c r="V434"/>
      <c r="W434"/>
      <c r="X434"/>
      <c r="Y434"/>
      <c r="Z434"/>
      <c r="AA434"/>
      <c r="AB434"/>
      <c r="AC434"/>
      <c r="AD434"/>
      <c r="AE434"/>
      <c r="AF434"/>
      <c r="AG434"/>
      <c r="AH434"/>
      <c r="AI434"/>
      <c r="AJ434"/>
      <c r="AK434"/>
      <c r="AL434"/>
      <c r="AM434"/>
      <c r="AN434"/>
      <c r="AO434"/>
      <c r="AP434"/>
      <c r="AQ434"/>
      <c r="AR434"/>
      <c r="AS434"/>
      <c r="AT434"/>
      <c r="AU434"/>
      <c r="AV434"/>
      <c r="AW434"/>
      <c r="AX434"/>
      <c r="AY434"/>
      <c r="AZ434"/>
      <c r="BA434"/>
      <c r="BB434"/>
      <c r="BC434"/>
      <c r="BD434"/>
      <c r="BE434"/>
      <c r="BF434"/>
      <c r="BG434"/>
      <c r="BH434"/>
      <c r="BI434"/>
      <c r="BJ434"/>
      <c r="BK434"/>
      <c r="BL434"/>
      <c r="BM434"/>
      <c r="BN434"/>
      <c r="BO434"/>
      <c r="BP434"/>
      <c r="BQ434"/>
      <c r="BR434"/>
      <c r="BS434"/>
      <c r="BT434"/>
      <c r="BU434"/>
      <c r="BV434"/>
      <c r="BW434"/>
      <c r="BX434"/>
      <c r="BY434"/>
      <c r="BZ434"/>
      <c r="CA434"/>
      <c r="CB434"/>
      <c r="CC434"/>
    </row>
    <row r="435" spans="1:81" x14ac:dyDescent="0.25">
      <c r="A435"/>
      <c r="B435"/>
      <c r="C435"/>
      <c r="D435"/>
      <c r="E435"/>
      <c r="F435"/>
      <c r="G435"/>
      <c r="H435"/>
      <c r="I435"/>
      <c r="J435"/>
      <c r="K435"/>
      <c r="L435"/>
      <c r="M435"/>
      <c r="N435"/>
      <c r="O435"/>
      <c r="P435"/>
      <c r="Q435"/>
      <c r="R435"/>
      <c r="S435"/>
      <c r="T435"/>
      <c r="U435"/>
      <c r="V435"/>
      <c r="W435"/>
      <c r="X435"/>
      <c r="Y435"/>
      <c r="Z435"/>
      <c r="AA435"/>
      <c r="AB435"/>
      <c r="AC435"/>
      <c r="AD435"/>
      <c r="AE435"/>
      <c r="AF435"/>
      <c r="AG435"/>
      <c r="AH435"/>
      <c r="AI435"/>
      <c r="AJ435"/>
      <c r="AK435"/>
      <c r="AL435"/>
      <c r="AM435"/>
      <c r="AN435"/>
      <c r="AO435"/>
      <c r="AP435"/>
      <c r="AQ435"/>
      <c r="AR435"/>
      <c r="AS435"/>
      <c r="AT435"/>
      <c r="AU435"/>
      <c r="AV435"/>
      <c r="AW435"/>
      <c r="AX435"/>
      <c r="AY435"/>
      <c r="AZ435"/>
      <c r="BA435"/>
      <c r="BB435"/>
      <c r="BC435"/>
      <c r="BD435"/>
      <c r="BE435"/>
      <c r="BF435"/>
      <c r="BG435"/>
      <c r="BH435"/>
      <c r="BI435"/>
      <c r="BJ435"/>
      <c r="BK435"/>
      <c r="BL435"/>
      <c r="BM435"/>
      <c r="BN435"/>
      <c r="BO435"/>
      <c r="BP435"/>
      <c r="BQ435"/>
      <c r="BR435"/>
      <c r="BS435"/>
      <c r="BT435"/>
      <c r="BU435"/>
      <c r="BV435"/>
      <c r="BW435"/>
      <c r="BX435"/>
      <c r="BY435"/>
      <c r="BZ435"/>
      <c r="CA435"/>
      <c r="CB435"/>
      <c r="CC435"/>
    </row>
    <row r="436" spans="1:81" x14ac:dyDescent="0.25">
      <c r="A436"/>
      <c r="B436"/>
      <c r="C436"/>
      <c r="D436"/>
      <c r="E436"/>
      <c r="F436"/>
      <c r="G436"/>
      <c r="H436"/>
      <c r="I436"/>
      <c r="J436"/>
      <c r="K436"/>
      <c r="L436"/>
      <c r="M436"/>
      <c r="N436"/>
      <c r="O436"/>
      <c r="P436"/>
      <c r="Q436"/>
      <c r="R436"/>
      <c r="S436"/>
      <c r="T436"/>
      <c r="U436"/>
      <c r="V436"/>
      <c r="W436"/>
      <c r="X436"/>
      <c r="Y436"/>
      <c r="Z436"/>
      <c r="AA436"/>
      <c r="AB436"/>
      <c r="AC436"/>
      <c r="AD436"/>
      <c r="AE436"/>
      <c r="AF436"/>
      <c r="AG436"/>
      <c r="AH436"/>
      <c r="AI436"/>
      <c r="AJ436"/>
      <c r="AK436"/>
      <c r="AL436"/>
      <c r="AM436"/>
      <c r="AN436"/>
      <c r="AO436"/>
      <c r="AP436"/>
      <c r="AQ436"/>
      <c r="AR436"/>
      <c r="AS436"/>
      <c r="AT436"/>
      <c r="AU436"/>
      <c r="AV436"/>
      <c r="AW436"/>
      <c r="AX436"/>
      <c r="AY436"/>
      <c r="AZ436"/>
      <c r="BA436"/>
      <c r="BB436"/>
      <c r="BC436"/>
      <c r="BD436"/>
      <c r="BE436"/>
      <c r="BF436"/>
      <c r="BG436"/>
      <c r="BH436"/>
      <c r="BI436"/>
      <c r="BJ436"/>
      <c r="BK436"/>
      <c r="BL436"/>
      <c r="BM436"/>
      <c r="BN436"/>
      <c r="BO436"/>
      <c r="BP436"/>
      <c r="BQ436"/>
      <c r="BR436"/>
      <c r="BS436"/>
      <c r="BT436"/>
      <c r="BU436"/>
      <c r="BV436"/>
      <c r="BW436"/>
      <c r="BX436"/>
      <c r="BY436"/>
      <c r="BZ436"/>
      <c r="CA436"/>
      <c r="CB436"/>
      <c r="CC436"/>
    </row>
    <row r="437" spans="1:81" x14ac:dyDescent="0.25">
      <c r="A437"/>
      <c r="B437"/>
      <c r="C437"/>
      <c r="D437"/>
      <c r="E437"/>
      <c r="F437"/>
      <c r="G437"/>
      <c r="H437"/>
      <c r="I437"/>
      <c r="J437"/>
      <c r="K437"/>
      <c r="L437"/>
      <c r="M437"/>
      <c r="N437"/>
      <c r="O437"/>
      <c r="P437"/>
      <c r="Q437"/>
      <c r="R437"/>
      <c r="S437"/>
      <c r="T437"/>
      <c r="U437"/>
      <c r="V437"/>
      <c r="W437"/>
      <c r="X437"/>
      <c r="Y437"/>
      <c r="Z437"/>
      <c r="AA437"/>
      <c r="AB437"/>
      <c r="AC437"/>
      <c r="AD437"/>
      <c r="AE437"/>
      <c r="AF437"/>
      <c r="AG437"/>
      <c r="AH437"/>
      <c r="AI437"/>
      <c r="AJ437"/>
      <c r="AK437"/>
      <c r="AL437"/>
      <c r="AM437"/>
      <c r="AN437"/>
      <c r="AO437"/>
      <c r="AP437"/>
      <c r="AQ437"/>
      <c r="AR437"/>
      <c r="AS437"/>
      <c r="AT437"/>
      <c r="AU437"/>
      <c r="AV437"/>
      <c r="AW437"/>
      <c r="AX437"/>
      <c r="AY437"/>
      <c r="AZ437"/>
      <c r="BA437"/>
      <c r="BB437"/>
      <c r="BC437"/>
      <c r="BD437"/>
      <c r="BE437"/>
      <c r="BF437"/>
      <c r="BG437"/>
      <c r="BH437"/>
      <c r="BI437"/>
      <c r="BJ437"/>
      <c r="BK437"/>
      <c r="BL437"/>
      <c r="BM437"/>
      <c r="BN437"/>
      <c r="BO437"/>
      <c r="BP437"/>
      <c r="BQ437"/>
      <c r="BR437"/>
      <c r="BS437"/>
      <c r="BT437"/>
      <c r="BU437"/>
      <c r="BV437"/>
      <c r="BW437"/>
      <c r="BX437"/>
      <c r="BY437"/>
      <c r="BZ437"/>
      <c r="CA437"/>
      <c r="CB437"/>
      <c r="CC437"/>
    </row>
  </sheetData>
  <sortState xmlns:xlrd2="http://schemas.microsoft.com/office/spreadsheetml/2017/richdata2" ref="A4:AC13">
    <sortCondition ref="Q4:Q13"/>
    <sortCondition ref="X4:X13"/>
    <sortCondition ref="P4:P13"/>
  </sortState>
  <phoneticPr fontId="10" type="noConversion"/>
  <conditionalFormatting sqref="C58">
    <cfRule type="expression" dxfId="1451" priority="20594" stopIfTrue="1">
      <formula>AND(NOT(ISBLANK(C58)),NOT(_xlfn.ISFORMULA(C58)))</formula>
    </cfRule>
  </conditionalFormatting>
  <conditionalFormatting sqref="D58">
    <cfRule type="expression" dxfId="1450" priority="20593" stopIfTrue="1">
      <formula>AND(NOT(ISBLANK(D58)),NOT(_xlfn.ISFORMULA(D58)))</formula>
    </cfRule>
  </conditionalFormatting>
  <conditionalFormatting sqref="G58">
    <cfRule type="expression" dxfId="1449" priority="20592" stopIfTrue="1">
      <formula>AND(NOT(ISBLANK(G58)),NOT(_xlfn.ISFORMULA(G58)))</formula>
    </cfRule>
  </conditionalFormatting>
  <conditionalFormatting sqref="H58">
    <cfRule type="expression" dxfId="1448" priority="20591" stopIfTrue="1">
      <formula>AND(NOT(ISBLANK(H58)),NOT(_xlfn.ISFORMULA(H58)))</formula>
    </cfRule>
  </conditionalFormatting>
  <conditionalFormatting sqref="D49">
    <cfRule type="expression" dxfId="1447" priority="20709" stopIfTrue="1">
      <formula>AND(NOT(ISBLANK(D49)),NOT(_xlfn.ISFORMULA(D49)))</formula>
    </cfRule>
  </conditionalFormatting>
  <conditionalFormatting sqref="G49">
    <cfRule type="expression" dxfId="1446" priority="20708" stopIfTrue="1">
      <formula>AND(NOT(ISBLANK(G49)),NOT(_xlfn.ISFORMULA(G49)))</formula>
    </cfRule>
  </conditionalFormatting>
  <conditionalFormatting sqref="H49">
    <cfRule type="expression" dxfId="1445" priority="20707" stopIfTrue="1">
      <formula>AND(NOT(ISBLANK(H49)),NOT(_xlfn.ISFORMULA(H49)))</formula>
    </cfRule>
  </conditionalFormatting>
  <conditionalFormatting sqref="E38">
    <cfRule type="expression" dxfId="1444" priority="20705">
      <formula>AND(AND(NOT(ISBLANK(D38)),NOT(D38=$O$1)),AND(NOT(ISBLANK(C38)),NOT(C38=$O$1)))</formula>
    </cfRule>
    <cfRule type="expression" dxfId="1443" priority="20706">
      <formula>OR(AND(NOT(ISBLANK(D38)),NOT(D38=$O$1)),AND(NOT(ISBLANK(C38)),NOT(C38=$O$1)))</formula>
    </cfRule>
  </conditionalFormatting>
  <conditionalFormatting sqref="F38">
    <cfRule type="expression" dxfId="1442" priority="20703">
      <formula>AND(AND(NOT(ISBLANK(G38)),NOT(G38=$O$1)),AND(NOT(ISBLANK(H38)),NOT(H38=$O$1)))</formula>
    </cfRule>
    <cfRule type="expression" dxfId="1441" priority="20704">
      <formula>OR(AND(NOT(ISBLANK(G38)),NOT(G38=$O$1)),AND(NOT(ISBLANK(H38)),NOT(H38=$O$1)))</formula>
    </cfRule>
  </conditionalFormatting>
  <conditionalFormatting sqref="C38">
    <cfRule type="expression" dxfId="1440" priority="20702" stopIfTrue="1">
      <formula>AND(NOT(ISBLANK(C38)),NOT(_xlfn.ISFORMULA(C38)))</formula>
    </cfRule>
  </conditionalFormatting>
  <conditionalFormatting sqref="D38">
    <cfRule type="expression" dxfId="1439" priority="20701" stopIfTrue="1">
      <formula>AND(NOT(ISBLANK(D38)),NOT(_xlfn.ISFORMULA(D38)))</formula>
    </cfRule>
  </conditionalFormatting>
  <conditionalFormatting sqref="G38">
    <cfRule type="expression" dxfId="1438" priority="20700" stopIfTrue="1">
      <formula>AND(NOT(ISBLANK(G38)),NOT(_xlfn.ISFORMULA(G38)))</formula>
    </cfRule>
  </conditionalFormatting>
  <conditionalFormatting sqref="H38">
    <cfRule type="expression" dxfId="1437" priority="20699" stopIfTrue="1">
      <formula>AND(NOT(ISBLANK(H38)),NOT(_xlfn.ISFORMULA(H38)))</formula>
    </cfRule>
  </conditionalFormatting>
  <conditionalFormatting sqref="E49">
    <cfRule type="expression" dxfId="1436" priority="20713">
      <formula>AND(AND(NOT(ISBLANK(D49)),NOT(D49=$O$1)),AND(NOT(ISBLANK(C49)),NOT(C49=$O$1)))</formula>
    </cfRule>
    <cfRule type="expression" dxfId="1435" priority="20714">
      <formula>OR(AND(NOT(ISBLANK(D49)),NOT(D49=$O$1)),AND(NOT(ISBLANK(C49)),NOT(C49=$O$1)))</formula>
    </cfRule>
  </conditionalFormatting>
  <conditionalFormatting sqref="F49">
    <cfRule type="expression" dxfId="1434" priority="20711">
      <formula>AND(AND(NOT(ISBLANK(G49)),NOT(G49=$O$1)),AND(NOT(ISBLANK(H49)),NOT(H49=$O$1)))</formula>
    </cfRule>
    <cfRule type="expression" dxfId="1433" priority="20712">
      <formula>OR(AND(NOT(ISBLANK(G49)),NOT(G49=$O$1)),AND(NOT(ISBLANK(H49)),NOT(H49=$O$1)))</formula>
    </cfRule>
  </conditionalFormatting>
  <conditionalFormatting sqref="C49">
    <cfRule type="expression" dxfId="1432" priority="20710" stopIfTrue="1">
      <formula>AND(NOT(ISBLANK(C49)),NOT(_xlfn.ISFORMULA(C49)))</formula>
    </cfRule>
  </conditionalFormatting>
  <conditionalFormatting sqref="E50">
    <cfRule type="expression" dxfId="1431" priority="20697">
      <formula>AND(AND(NOT(ISBLANK(D50)),NOT(D50=$O$1)),AND(NOT(ISBLANK(C50)),NOT(C50=$O$1)))</formula>
    </cfRule>
    <cfRule type="expression" dxfId="1430" priority="20698">
      <formula>OR(AND(NOT(ISBLANK(D50)),NOT(D50=$O$1)),AND(NOT(ISBLANK(C50)),NOT(C50=$O$1)))</formula>
    </cfRule>
  </conditionalFormatting>
  <conditionalFormatting sqref="F50">
    <cfRule type="expression" dxfId="1429" priority="20695">
      <formula>AND(AND(NOT(ISBLANK(G50)),NOT(G50=$O$1)),AND(NOT(ISBLANK(H50)),NOT(H50=$O$1)))</formula>
    </cfRule>
    <cfRule type="expression" dxfId="1428" priority="20696">
      <formula>OR(AND(NOT(ISBLANK(G50)),NOT(G50=$O$1)),AND(NOT(ISBLANK(H50)),NOT(H50=$O$1)))</formula>
    </cfRule>
  </conditionalFormatting>
  <conditionalFormatting sqref="C50">
    <cfRule type="expression" dxfId="1427" priority="20694" stopIfTrue="1">
      <formula>AND(NOT(ISBLANK(C50)),NOT(_xlfn.ISFORMULA(C50)))</formula>
    </cfRule>
  </conditionalFormatting>
  <conditionalFormatting sqref="D50">
    <cfRule type="expression" dxfId="1426" priority="20693" stopIfTrue="1">
      <formula>AND(NOT(ISBLANK(D50)),NOT(_xlfn.ISFORMULA(D50)))</formula>
    </cfRule>
  </conditionalFormatting>
  <conditionalFormatting sqref="G50">
    <cfRule type="expression" dxfId="1425" priority="20692" stopIfTrue="1">
      <formula>AND(NOT(ISBLANK(G50)),NOT(_xlfn.ISFORMULA(G50)))</formula>
    </cfRule>
  </conditionalFormatting>
  <conditionalFormatting sqref="H50">
    <cfRule type="expression" dxfId="1424" priority="20691" stopIfTrue="1">
      <formula>AND(NOT(ISBLANK(H50)),NOT(_xlfn.ISFORMULA(H50)))</formula>
    </cfRule>
  </conditionalFormatting>
  <conditionalFormatting sqref="C51">
    <cfRule type="expression" dxfId="1423" priority="20686" stopIfTrue="1">
      <formula>AND(NOT(ISBLANK(C51)),NOT(_xlfn.ISFORMULA(C51)))</formula>
    </cfRule>
  </conditionalFormatting>
  <conditionalFormatting sqref="D51">
    <cfRule type="expression" dxfId="1422" priority="20685" stopIfTrue="1">
      <formula>AND(NOT(ISBLANK(D51)),NOT(_xlfn.ISFORMULA(D51)))</formula>
    </cfRule>
  </conditionalFormatting>
  <conditionalFormatting sqref="G51">
    <cfRule type="expression" dxfId="1421" priority="20684" stopIfTrue="1">
      <formula>AND(NOT(ISBLANK(G51)),NOT(_xlfn.ISFORMULA(G51)))</formula>
    </cfRule>
  </conditionalFormatting>
  <conditionalFormatting sqref="E51">
    <cfRule type="expression" dxfId="1420" priority="20689">
      <formula>AND(AND(NOT(ISBLANK(D51)),NOT(D51=$O$1)),AND(NOT(ISBLANK(C51)),NOT(C51=$O$1)))</formula>
    </cfRule>
    <cfRule type="expression" dxfId="1419" priority="20690">
      <formula>OR(AND(NOT(ISBLANK(D51)),NOT(D51=$O$1)),AND(NOT(ISBLANK(C51)),NOT(C51=$O$1)))</formula>
    </cfRule>
  </conditionalFormatting>
  <conditionalFormatting sqref="F51">
    <cfRule type="expression" dxfId="1418" priority="20687">
      <formula>AND(AND(NOT(ISBLANK(G51)),NOT(G51=$O$1)),AND(NOT(ISBLANK(H51)),NOT(H51=$O$1)))</formula>
    </cfRule>
    <cfRule type="expression" dxfId="1417" priority="20688">
      <formula>OR(AND(NOT(ISBLANK(G51)),NOT(G51=$O$1)),AND(NOT(ISBLANK(H51)),NOT(H51=$O$1)))</formula>
    </cfRule>
  </conditionalFormatting>
  <conditionalFormatting sqref="C39">
    <cfRule type="expression" dxfId="1416" priority="20678" stopIfTrue="1">
      <formula>AND(NOT(ISBLANK(C39)),NOT(_xlfn.ISFORMULA(C39)))</formula>
    </cfRule>
  </conditionalFormatting>
  <conditionalFormatting sqref="D39">
    <cfRule type="expression" dxfId="1415" priority="20677" stopIfTrue="1">
      <formula>AND(NOT(ISBLANK(D39)),NOT(_xlfn.ISFORMULA(D39)))</formula>
    </cfRule>
  </conditionalFormatting>
  <conditionalFormatting sqref="G39">
    <cfRule type="expression" dxfId="1414" priority="20676" stopIfTrue="1">
      <formula>AND(NOT(ISBLANK(G39)),NOT(_xlfn.ISFORMULA(G39)))</formula>
    </cfRule>
  </conditionalFormatting>
  <conditionalFormatting sqref="H51">
    <cfRule type="expression" dxfId="1413" priority="20683" stopIfTrue="1">
      <formula>AND(NOT(ISBLANK(H51)),NOT(_xlfn.ISFORMULA(H51)))</formula>
    </cfRule>
  </conditionalFormatting>
  <conditionalFormatting sqref="E39">
    <cfRule type="expression" dxfId="1412" priority="20681">
      <formula>AND(AND(NOT(ISBLANK(D39)),NOT(D39=$O$1)),AND(NOT(ISBLANK(C39)),NOT(C39=$O$1)))</formula>
    </cfRule>
    <cfRule type="expression" dxfId="1411" priority="20682">
      <formula>OR(AND(NOT(ISBLANK(D39)),NOT(D39=$O$1)),AND(NOT(ISBLANK(C39)),NOT(C39=$O$1)))</formula>
    </cfRule>
  </conditionalFormatting>
  <conditionalFormatting sqref="F39">
    <cfRule type="expression" dxfId="1410" priority="20679">
      <formula>AND(AND(NOT(ISBLANK(G39)),NOT(G39=$O$1)),AND(NOT(ISBLANK(H39)),NOT(H39=$O$1)))</formula>
    </cfRule>
    <cfRule type="expression" dxfId="1409" priority="20680">
      <formula>OR(AND(NOT(ISBLANK(G39)),NOT(G39=$O$1)),AND(NOT(ISBLANK(H39)),NOT(H39=$O$1)))</formula>
    </cfRule>
  </conditionalFormatting>
  <conditionalFormatting sqref="C52">
    <cfRule type="expression" dxfId="1408" priority="20670" stopIfTrue="1">
      <formula>AND(NOT(ISBLANK(C52)),NOT(_xlfn.ISFORMULA(C52)))</formula>
    </cfRule>
  </conditionalFormatting>
  <conditionalFormatting sqref="D52">
    <cfRule type="expression" dxfId="1407" priority="20669" stopIfTrue="1">
      <formula>AND(NOT(ISBLANK(D52)),NOT(_xlfn.ISFORMULA(D52)))</formula>
    </cfRule>
  </conditionalFormatting>
  <conditionalFormatting sqref="G52">
    <cfRule type="expression" dxfId="1406" priority="20668" stopIfTrue="1">
      <formula>AND(NOT(ISBLANK(G52)),NOT(_xlfn.ISFORMULA(G52)))</formula>
    </cfRule>
  </conditionalFormatting>
  <conditionalFormatting sqref="H39">
    <cfRule type="expression" dxfId="1405" priority="20675" stopIfTrue="1">
      <formula>AND(NOT(ISBLANK(H39)),NOT(_xlfn.ISFORMULA(H39)))</formula>
    </cfRule>
  </conditionalFormatting>
  <conditionalFormatting sqref="E52">
    <cfRule type="expression" dxfId="1404" priority="20673">
      <formula>AND(AND(NOT(ISBLANK(D52)),NOT(D52=$O$1)),AND(NOT(ISBLANK(C52)),NOT(C52=$O$1)))</formula>
    </cfRule>
    <cfRule type="expression" dxfId="1403" priority="20674">
      <formula>OR(AND(NOT(ISBLANK(D52)),NOT(D52=$O$1)),AND(NOT(ISBLANK(C52)),NOT(C52=$O$1)))</formula>
    </cfRule>
  </conditionalFormatting>
  <conditionalFormatting sqref="F52">
    <cfRule type="expression" dxfId="1402" priority="20671">
      <formula>AND(AND(NOT(ISBLANK(G52)),NOT(G52=$O$1)),AND(NOT(ISBLANK(H52)),NOT(H52=$O$1)))</formula>
    </cfRule>
    <cfRule type="expression" dxfId="1401" priority="20672">
      <formula>OR(AND(NOT(ISBLANK(G52)),NOT(G52=$O$1)),AND(NOT(ISBLANK(H52)),NOT(H52=$O$1)))</formula>
    </cfRule>
  </conditionalFormatting>
  <conditionalFormatting sqref="H52">
    <cfRule type="expression" dxfId="1400" priority="20667" stopIfTrue="1">
      <formula>AND(NOT(ISBLANK(H52)),NOT(_xlfn.ISFORMULA(H52)))</formula>
    </cfRule>
  </conditionalFormatting>
  <conditionalFormatting sqref="H53">
    <cfRule type="expression" dxfId="1399" priority="20659" stopIfTrue="1">
      <formula>AND(NOT(ISBLANK(H53)),NOT(_xlfn.ISFORMULA(H53)))</formula>
    </cfRule>
  </conditionalFormatting>
  <conditionalFormatting sqref="E53">
    <cfRule type="expression" dxfId="1398" priority="20665">
      <formula>AND(AND(NOT(ISBLANK(D53)),NOT(D53=$O$1)),AND(NOT(ISBLANK(C53)),NOT(C53=$O$1)))</formula>
    </cfRule>
    <cfRule type="expression" dxfId="1397" priority="20666">
      <formula>OR(AND(NOT(ISBLANK(D53)),NOT(D53=$O$1)),AND(NOT(ISBLANK(C53)),NOT(C53=$O$1)))</formula>
    </cfRule>
  </conditionalFormatting>
  <conditionalFormatting sqref="F53">
    <cfRule type="expression" dxfId="1396" priority="20663">
      <formula>AND(AND(NOT(ISBLANK(G53)),NOT(G53=$O$1)),AND(NOT(ISBLANK(H53)),NOT(H53=$O$1)))</formula>
    </cfRule>
    <cfRule type="expression" dxfId="1395" priority="20664">
      <formula>OR(AND(NOT(ISBLANK(G53)),NOT(G53=$O$1)),AND(NOT(ISBLANK(H53)),NOT(H53=$O$1)))</formula>
    </cfRule>
  </conditionalFormatting>
  <conditionalFormatting sqref="C53">
    <cfRule type="expression" dxfId="1394" priority="20662" stopIfTrue="1">
      <formula>AND(NOT(ISBLANK(C53)),NOT(_xlfn.ISFORMULA(C53)))</formula>
    </cfRule>
  </conditionalFormatting>
  <conditionalFormatting sqref="D53">
    <cfRule type="expression" dxfId="1393" priority="20661" stopIfTrue="1">
      <formula>AND(NOT(ISBLANK(D53)),NOT(_xlfn.ISFORMULA(D53)))</formula>
    </cfRule>
  </conditionalFormatting>
  <conditionalFormatting sqref="G53">
    <cfRule type="expression" dxfId="1392" priority="20660" stopIfTrue="1">
      <formula>AND(NOT(ISBLANK(G53)),NOT(_xlfn.ISFORMULA(G53)))</formula>
    </cfRule>
  </conditionalFormatting>
  <conditionalFormatting sqref="E40">
    <cfRule type="expression" dxfId="1391" priority="20657">
      <formula>AND(AND(NOT(ISBLANK(D40)),NOT(D40=$O$1)),AND(NOT(ISBLANK(C40)),NOT(C40=$O$1)))</formula>
    </cfRule>
    <cfRule type="expression" dxfId="1390" priority="20658">
      <formula>OR(AND(NOT(ISBLANK(D40)),NOT(D40=$O$1)),AND(NOT(ISBLANK(C40)),NOT(C40=$O$1)))</formula>
    </cfRule>
  </conditionalFormatting>
  <conditionalFormatting sqref="F40">
    <cfRule type="expression" dxfId="1389" priority="20655">
      <formula>AND(AND(NOT(ISBLANK(G40)),NOT(G40=$O$1)),AND(NOT(ISBLANK(H40)),NOT(H40=$O$1)))</formula>
    </cfRule>
    <cfRule type="expression" dxfId="1388" priority="20656">
      <formula>OR(AND(NOT(ISBLANK(G40)),NOT(G40=$O$1)),AND(NOT(ISBLANK(H40)),NOT(H40=$O$1)))</formula>
    </cfRule>
  </conditionalFormatting>
  <conditionalFormatting sqref="C40">
    <cfRule type="expression" dxfId="1387" priority="20654" stopIfTrue="1">
      <formula>AND(NOT(ISBLANK(C40)),NOT(_xlfn.ISFORMULA(C40)))</formula>
    </cfRule>
  </conditionalFormatting>
  <conditionalFormatting sqref="D40">
    <cfRule type="expression" dxfId="1386" priority="20653" stopIfTrue="1">
      <formula>AND(NOT(ISBLANK(D40)),NOT(_xlfn.ISFORMULA(D40)))</formula>
    </cfRule>
  </conditionalFormatting>
  <conditionalFormatting sqref="G40">
    <cfRule type="expression" dxfId="1385" priority="20652" stopIfTrue="1">
      <formula>AND(NOT(ISBLANK(G40)),NOT(_xlfn.ISFORMULA(G40)))</formula>
    </cfRule>
  </conditionalFormatting>
  <conditionalFormatting sqref="H40">
    <cfRule type="expression" dxfId="1384" priority="20651" stopIfTrue="1">
      <formula>AND(NOT(ISBLANK(H40)),NOT(_xlfn.ISFORMULA(H40)))</formula>
    </cfRule>
  </conditionalFormatting>
  <conditionalFormatting sqref="E54">
    <cfRule type="expression" dxfId="1383" priority="20649">
      <formula>AND(AND(NOT(ISBLANK(D54)),NOT(D54=$O$1)),AND(NOT(ISBLANK(C54)),NOT(C54=$O$1)))</formula>
    </cfRule>
    <cfRule type="expression" dxfId="1382" priority="20650">
      <formula>OR(AND(NOT(ISBLANK(D54)),NOT(D54=$O$1)),AND(NOT(ISBLANK(C54)),NOT(C54=$O$1)))</formula>
    </cfRule>
  </conditionalFormatting>
  <conditionalFormatting sqref="F54">
    <cfRule type="expression" dxfId="1381" priority="20647">
      <formula>AND(AND(NOT(ISBLANK(G54)),NOT(G54=$O$1)),AND(NOT(ISBLANK(H54)),NOT(H54=$O$1)))</formula>
    </cfRule>
    <cfRule type="expression" dxfId="1380" priority="20648">
      <formula>OR(AND(NOT(ISBLANK(G54)),NOT(G54=$O$1)),AND(NOT(ISBLANK(H54)),NOT(H54=$O$1)))</formula>
    </cfRule>
  </conditionalFormatting>
  <conditionalFormatting sqref="C54">
    <cfRule type="expression" dxfId="1379" priority="20646" stopIfTrue="1">
      <formula>AND(NOT(ISBLANK(C54)),NOT(_xlfn.ISFORMULA(C54)))</formula>
    </cfRule>
  </conditionalFormatting>
  <conditionalFormatting sqref="D54">
    <cfRule type="expression" dxfId="1378" priority="20645" stopIfTrue="1">
      <formula>AND(NOT(ISBLANK(D54)),NOT(_xlfn.ISFORMULA(D54)))</formula>
    </cfRule>
  </conditionalFormatting>
  <conditionalFormatting sqref="G54">
    <cfRule type="expression" dxfId="1377" priority="20644" stopIfTrue="1">
      <formula>AND(NOT(ISBLANK(G54)),NOT(_xlfn.ISFORMULA(G54)))</formula>
    </cfRule>
  </conditionalFormatting>
  <conditionalFormatting sqref="H54">
    <cfRule type="expression" dxfId="1376" priority="20643" stopIfTrue="1">
      <formula>AND(NOT(ISBLANK(H54)),NOT(_xlfn.ISFORMULA(H54)))</formula>
    </cfRule>
  </conditionalFormatting>
  <conditionalFormatting sqref="H55">
    <cfRule type="expression" dxfId="1375" priority="20631" stopIfTrue="1">
      <formula>AND(NOT(ISBLANK(H55)),NOT(_xlfn.ISFORMULA(H55)))</formula>
    </cfRule>
  </conditionalFormatting>
  <conditionalFormatting sqref="E55">
    <cfRule type="expression" dxfId="1374" priority="20637">
      <formula>AND(AND(NOT(ISBLANK(D55)),NOT(D55=$O$1)),AND(NOT(ISBLANK(C55)),NOT(C55=$O$1)))</formula>
    </cfRule>
    <cfRule type="expression" dxfId="1373" priority="20638">
      <formula>OR(AND(NOT(ISBLANK(D55)),NOT(D55=$O$1)),AND(NOT(ISBLANK(C55)),NOT(C55=$O$1)))</formula>
    </cfRule>
  </conditionalFormatting>
  <conditionalFormatting sqref="F55">
    <cfRule type="expression" dxfId="1372" priority="20635">
      <formula>AND(AND(NOT(ISBLANK(G55)),NOT(G55=$O$1)),AND(NOT(ISBLANK(H55)),NOT(H55=$O$1)))</formula>
    </cfRule>
    <cfRule type="expression" dxfId="1371" priority="20636">
      <formula>OR(AND(NOT(ISBLANK(G55)),NOT(G55=$O$1)),AND(NOT(ISBLANK(H55)),NOT(H55=$O$1)))</formula>
    </cfRule>
  </conditionalFormatting>
  <conditionalFormatting sqref="C55">
    <cfRule type="expression" dxfId="1370" priority="20634" stopIfTrue="1">
      <formula>AND(NOT(ISBLANK(C55)),NOT(_xlfn.ISFORMULA(C55)))</formula>
    </cfRule>
  </conditionalFormatting>
  <conditionalFormatting sqref="D55">
    <cfRule type="expression" dxfId="1369" priority="20633" stopIfTrue="1">
      <formula>AND(NOT(ISBLANK(D55)),NOT(_xlfn.ISFORMULA(D55)))</formula>
    </cfRule>
  </conditionalFormatting>
  <conditionalFormatting sqref="G55">
    <cfRule type="expression" dxfId="1368" priority="20632" stopIfTrue="1">
      <formula>AND(NOT(ISBLANK(G55)),NOT(_xlfn.ISFORMULA(G55)))</formula>
    </cfRule>
  </conditionalFormatting>
  <conditionalFormatting sqref="E41">
    <cfRule type="expression" dxfId="1367" priority="20629">
      <formula>AND(AND(NOT(ISBLANK(D41)),NOT(D41=$O$1)),AND(NOT(ISBLANK(C41)),NOT(C41=$O$1)))</formula>
    </cfRule>
    <cfRule type="expression" dxfId="1366" priority="20630">
      <formula>OR(AND(NOT(ISBLANK(D41)),NOT(D41=$O$1)),AND(NOT(ISBLANK(C41)),NOT(C41=$O$1)))</formula>
    </cfRule>
  </conditionalFormatting>
  <conditionalFormatting sqref="F41">
    <cfRule type="expression" dxfId="1365" priority="20627">
      <formula>AND(AND(NOT(ISBLANK(G41)),NOT(G41=$O$1)),AND(NOT(ISBLANK(H41)),NOT(H41=$O$1)))</formula>
    </cfRule>
    <cfRule type="expression" dxfId="1364" priority="20628">
      <formula>OR(AND(NOT(ISBLANK(G41)),NOT(G41=$O$1)),AND(NOT(ISBLANK(H41)),NOT(H41=$O$1)))</formula>
    </cfRule>
  </conditionalFormatting>
  <conditionalFormatting sqref="C41">
    <cfRule type="expression" dxfId="1363" priority="20626" stopIfTrue="1">
      <formula>AND(NOT(ISBLANK(C41)),NOT(_xlfn.ISFORMULA(C41)))</formula>
    </cfRule>
  </conditionalFormatting>
  <conditionalFormatting sqref="D41">
    <cfRule type="expression" dxfId="1362" priority="20625" stopIfTrue="1">
      <formula>AND(NOT(ISBLANK(D41)),NOT(_xlfn.ISFORMULA(D41)))</formula>
    </cfRule>
  </conditionalFormatting>
  <conditionalFormatting sqref="G41">
    <cfRule type="expression" dxfId="1361" priority="20624" stopIfTrue="1">
      <formula>AND(NOT(ISBLANK(G41)),NOT(_xlfn.ISFORMULA(G41)))</formula>
    </cfRule>
  </conditionalFormatting>
  <conditionalFormatting sqref="H41">
    <cfRule type="expression" dxfId="1360" priority="20623" stopIfTrue="1">
      <formula>AND(NOT(ISBLANK(H41)),NOT(_xlfn.ISFORMULA(H41)))</formula>
    </cfRule>
  </conditionalFormatting>
  <conditionalFormatting sqref="E56">
    <cfRule type="expression" dxfId="1359" priority="20621">
      <formula>AND(AND(NOT(ISBLANK(D56)),NOT(D56=$O$1)),AND(NOT(ISBLANK(C56)),NOT(C56=$O$1)))</formula>
    </cfRule>
    <cfRule type="expression" dxfId="1358" priority="20622">
      <formula>OR(AND(NOT(ISBLANK(D56)),NOT(D56=$O$1)),AND(NOT(ISBLANK(C56)),NOT(C56=$O$1)))</formula>
    </cfRule>
  </conditionalFormatting>
  <conditionalFormatting sqref="F56">
    <cfRule type="expression" dxfId="1357" priority="20619">
      <formula>AND(AND(NOT(ISBLANK(G56)),NOT(G56=$O$1)),AND(NOT(ISBLANK(H56)),NOT(H56=$O$1)))</formula>
    </cfRule>
    <cfRule type="expression" dxfId="1356" priority="20620">
      <formula>OR(AND(NOT(ISBLANK(G56)),NOT(G56=$O$1)),AND(NOT(ISBLANK(H56)),NOT(H56=$O$1)))</formula>
    </cfRule>
  </conditionalFormatting>
  <conditionalFormatting sqref="C56">
    <cfRule type="expression" dxfId="1355" priority="20618" stopIfTrue="1">
      <formula>AND(NOT(ISBLANK(C56)),NOT(_xlfn.ISFORMULA(C56)))</formula>
    </cfRule>
  </conditionalFormatting>
  <conditionalFormatting sqref="D56">
    <cfRule type="expression" dxfId="1354" priority="20617" stopIfTrue="1">
      <formula>AND(NOT(ISBLANK(D56)),NOT(_xlfn.ISFORMULA(D56)))</formula>
    </cfRule>
  </conditionalFormatting>
  <conditionalFormatting sqref="G56">
    <cfRule type="expression" dxfId="1353" priority="20616" stopIfTrue="1">
      <formula>AND(NOT(ISBLANK(G56)),NOT(_xlfn.ISFORMULA(G56)))</formula>
    </cfRule>
  </conditionalFormatting>
  <conditionalFormatting sqref="H56">
    <cfRule type="expression" dxfId="1352" priority="20615" stopIfTrue="1">
      <formula>AND(NOT(ISBLANK(H56)),NOT(_xlfn.ISFORMULA(H56)))</formula>
    </cfRule>
  </conditionalFormatting>
  <conditionalFormatting sqref="E57">
    <cfRule type="expression" dxfId="1351" priority="20613">
      <formula>AND(AND(NOT(ISBLANK(D57)),NOT(D57=$O$1)),AND(NOT(ISBLANK(C57)),NOT(C57=$O$1)))</formula>
    </cfRule>
    <cfRule type="expression" dxfId="1350" priority="20614">
      <formula>OR(AND(NOT(ISBLANK(D57)),NOT(D57=$O$1)),AND(NOT(ISBLANK(C57)),NOT(C57=$O$1)))</formula>
    </cfRule>
  </conditionalFormatting>
  <conditionalFormatting sqref="F57">
    <cfRule type="expression" dxfId="1349" priority="20611">
      <formula>AND(AND(NOT(ISBLANK(G57)),NOT(G57=$O$1)),AND(NOT(ISBLANK(H57)),NOT(H57=$O$1)))</formula>
    </cfRule>
    <cfRule type="expression" dxfId="1348" priority="20612">
      <formula>OR(AND(NOT(ISBLANK(G57)),NOT(G57=$O$1)),AND(NOT(ISBLANK(H57)),NOT(H57=$O$1)))</formula>
    </cfRule>
  </conditionalFormatting>
  <conditionalFormatting sqref="E42">
    <cfRule type="expression" dxfId="1347" priority="20605">
      <formula>AND(AND(NOT(ISBLANK(D42)),NOT(D42=$O$1)),AND(NOT(ISBLANK(C42)),NOT(C42=$O$1)))</formula>
    </cfRule>
    <cfRule type="expression" dxfId="1346" priority="20606">
      <formula>OR(AND(NOT(ISBLANK(D42)),NOT(D42=$O$1)),AND(NOT(ISBLANK(C42)),NOT(C42=$O$1)))</formula>
    </cfRule>
  </conditionalFormatting>
  <conditionalFormatting sqref="F42">
    <cfRule type="expression" dxfId="1345" priority="20603">
      <formula>AND(AND(NOT(ISBLANK(G42)),NOT(G42=$O$1)),AND(NOT(ISBLANK(H42)),NOT(H42=$O$1)))</formula>
    </cfRule>
    <cfRule type="expression" dxfId="1344" priority="20604">
      <formula>OR(AND(NOT(ISBLANK(G42)),NOT(G42=$O$1)),AND(NOT(ISBLANK(H42)),NOT(H42=$O$1)))</formula>
    </cfRule>
  </conditionalFormatting>
  <conditionalFormatting sqref="C57">
    <cfRule type="expression" dxfId="1343" priority="20610" stopIfTrue="1">
      <formula>AND(NOT(ISBLANK(C57)),NOT(_xlfn.ISFORMULA(C57)))</formula>
    </cfRule>
  </conditionalFormatting>
  <conditionalFormatting sqref="D57">
    <cfRule type="expression" dxfId="1342" priority="20609" stopIfTrue="1">
      <formula>AND(NOT(ISBLANK(D57)),NOT(_xlfn.ISFORMULA(D57)))</formula>
    </cfRule>
  </conditionalFormatting>
  <conditionalFormatting sqref="G57">
    <cfRule type="expression" dxfId="1341" priority="20608" stopIfTrue="1">
      <formula>AND(NOT(ISBLANK(G57)),NOT(_xlfn.ISFORMULA(G57)))</formula>
    </cfRule>
  </conditionalFormatting>
  <conditionalFormatting sqref="H57">
    <cfRule type="expression" dxfId="1340" priority="20607" stopIfTrue="1">
      <formula>AND(NOT(ISBLANK(H57)),NOT(_xlfn.ISFORMULA(H57)))</formula>
    </cfRule>
  </conditionalFormatting>
  <conditionalFormatting sqref="C42">
    <cfRule type="expression" dxfId="1339" priority="20602" stopIfTrue="1">
      <formula>AND(NOT(ISBLANK(C42)),NOT(_xlfn.ISFORMULA(C42)))</formula>
    </cfRule>
  </conditionalFormatting>
  <conditionalFormatting sqref="D42">
    <cfRule type="expression" dxfId="1338" priority="20601" stopIfTrue="1">
      <formula>AND(NOT(ISBLANK(D42)),NOT(_xlfn.ISFORMULA(D42)))</formula>
    </cfRule>
  </conditionalFormatting>
  <conditionalFormatting sqref="G42">
    <cfRule type="expression" dxfId="1337" priority="20600" stopIfTrue="1">
      <formula>AND(NOT(ISBLANK(G42)),NOT(_xlfn.ISFORMULA(G42)))</formula>
    </cfRule>
  </conditionalFormatting>
  <conditionalFormatting sqref="H42">
    <cfRule type="expression" dxfId="1336" priority="20599" stopIfTrue="1">
      <formula>AND(NOT(ISBLANK(H42)),NOT(_xlfn.ISFORMULA(H42)))</formula>
    </cfRule>
  </conditionalFormatting>
  <conditionalFormatting sqref="E58">
    <cfRule type="expression" dxfId="1335" priority="20597">
      <formula>AND(AND(NOT(ISBLANK(D58)),NOT(D58=$O$1)),AND(NOT(ISBLANK(C58)),NOT(C58=$O$1)))</formula>
    </cfRule>
    <cfRule type="expression" dxfId="1334" priority="20598">
      <formula>OR(AND(NOT(ISBLANK(D58)),NOT(D58=$O$1)),AND(NOT(ISBLANK(C58)),NOT(C58=$O$1)))</formula>
    </cfRule>
  </conditionalFormatting>
  <conditionalFormatting sqref="F58">
    <cfRule type="expression" dxfId="1333" priority="20595">
      <formula>AND(AND(NOT(ISBLANK(G58)),NOT(G58=$O$1)),AND(NOT(ISBLANK(H58)),NOT(H58=$O$1)))</formula>
    </cfRule>
    <cfRule type="expression" dxfId="1332" priority="20596">
      <formula>OR(AND(NOT(ISBLANK(G58)),NOT(G58=$O$1)),AND(NOT(ISBLANK(H58)),NOT(H58=$O$1)))</formula>
    </cfRule>
  </conditionalFormatting>
  <conditionalFormatting sqref="E4">
    <cfRule type="expression" dxfId="1331" priority="19937">
      <formula>AND(AND(NOT(ISBLANK(D4)),NOT(D4=$O$1)),AND(NOT(ISBLANK(C4)),NOT(C4=$O$1)))</formula>
    </cfRule>
    <cfRule type="expression" dxfId="1330" priority="19938">
      <formula>OR(AND(NOT(ISBLANK(D4)),NOT(D4=$O$1)),AND(NOT(ISBLANK(C4)),NOT(C4=$O$1)))</formula>
    </cfRule>
  </conditionalFormatting>
  <conditionalFormatting sqref="F4">
    <cfRule type="expression" dxfId="1329" priority="19935">
      <formula>AND(AND(NOT(ISBLANK(G4)),NOT(G4=$O$1)),AND(NOT(ISBLANK(H4)),NOT(H4=$O$1)))</formula>
    </cfRule>
    <cfRule type="expression" dxfId="1328" priority="19936">
      <formula>OR(AND(NOT(ISBLANK(G4)),NOT(G4=$O$1)),AND(NOT(ISBLANK(H4)),NOT(H4=$O$1)))</formula>
    </cfRule>
  </conditionalFormatting>
  <conditionalFormatting sqref="E5">
    <cfRule type="expression" dxfId="1327" priority="19933">
      <formula>AND(AND(NOT(ISBLANK(D5)),NOT(D5=$O$1)),AND(NOT(ISBLANK(C5)),NOT(C5=$O$1)))</formula>
    </cfRule>
    <cfRule type="expression" dxfId="1326" priority="19934">
      <formula>OR(AND(NOT(ISBLANK(D5)),NOT(D5=$O$1)),AND(NOT(ISBLANK(C5)),NOT(C5=$O$1)))</formula>
    </cfRule>
  </conditionalFormatting>
  <conditionalFormatting sqref="F5">
    <cfRule type="expression" dxfId="1325" priority="19931">
      <formula>AND(AND(NOT(ISBLANK(G5)),NOT(G5=$O$1)),AND(NOT(ISBLANK(H5)),NOT(H5=$O$1)))</formula>
    </cfRule>
    <cfRule type="expression" dxfId="1324" priority="19932">
      <formula>OR(AND(NOT(ISBLANK(G5)),NOT(G5=$O$1)),AND(NOT(ISBLANK(H5)),NOT(H5=$O$1)))</formula>
    </cfRule>
  </conditionalFormatting>
  <conditionalFormatting sqref="E6">
    <cfRule type="expression" dxfId="1323" priority="19929">
      <formula>AND(AND(NOT(ISBLANK(D6)),NOT(D6=$O$1)),AND(NOT(ISBLANK(C6)),NOT(C6=$O$1)))</formula>
    </cfRule>
    <cfRule type="expression" dxfId="1322" priority="19930">
      <formula>OR(AND(NOT(ISBLANK(D6)),NOT(D6=$O$1)),AND(NOT(ISBLANK(C6)),NOT(C6=$O$1)))</formula>
    </cfRule>
  </conditionalFormatting>
  <conditionalFormatting sqref="F6">
    <cfRule type="expression" dxfId="1321" priority="19927">
      <formula>AND(AND(NOT(ISBLANK(G6)),NOT(G6=$O$1)),AND(NOT(ISBLANK(H6)),NOT(H6=$O$1)))</formula>
    </cfRule>
    <cfRule type="expression" dxfId="1320" priority="19928">
      <formula>OR(AND(NOT(ISBLANK(G6)),NOT(G6=$O$1)),AND(NOT(ISBLANK(H6)),NOT(H6=$O$1)))</formula>
    </cfRule>
  </conditionalFormatting>
  <conditionalFormatting sqref="E7">
    <cfRule type="expression" dxfId="1319" priority="13713">
      <formula>AND(AND(NOT(ISBLANK(D7)),NOT(D7=$O$1)),AND(NOT(ISBLANK(C7)),NOT(C7=$O$1)))</formula>
    </cfRule>
    <cfRule type="expression" dxfId="1318" priority="13714">
      <formula>OR(AND(NOT(ISBLANK(D7)),NOT(D7=$O$1)),AND(NOT(ISBLANK(C7)),NOT(C7=$O$1)))</formula>
    </cfRule>
  </conditionalFormatting>
  <conditionalFormatting sqref="F7">
    <cfRule type="expression" dxfId="1317" priority="13711">
      <formula>AND(AND(NOT(ISBLANK(G7)),NOT(G7=$O$1)),AND(NOT(ISBLANK(H7)),NOT(H7=$O$1)))</formula>
    </cfRule>
    <cfRule type="expression" dxfId="1316" priority="13712">
      <formula>OR(AND(NOT(ISBLANK(G7)),NOT(G7=$O$1)),AND(NOT(ISBLANK(H7)),NOT(H7=$O$1)))</formula>
    </cfRule>
  </conditionalFormatting>
  <conditionalFormatting sqref="E8">
    <cfRule type="expression" dxfId="1315" priority="2743">
      <formula>AND(AND(NOT(ISBLANK(D8)),NOT(D8=$O$1)),AND(NOT(ISBLANK(C8)),NOT(C8=$O$1)))</formula>
    </cfRule>
    <cfRule type="expression" dxfId="1314" priority="2744">
      <formula>OR(AND(NOT(ISBLANK(D8)),NOT(D8=$O$1)),AND(NOT(ISBLANK(C8)),NOT(C8=$O$1)))</formula>
    </cfRule>
  </conditionalFormatting>
  <conditionalFormatting sqref="F8">
    <cfRule type="expression" dxfId="1313" priority="2741">
      <formula>AND(AND(NOT(ISBLANK(G8)),NOT(G8=$O$1)),AND(NOT(ISBLANK(H8)),NOT(H8=$O$1)))</formula>
    </cfRule>
    <cfRule type="expression" dxfId="1312" priority="2742">
      <formula>OR(AND(NOT(ISBLANK(G8)),NOT(G8=$O$1)),AND(NOT(ISBLANK(H8)),NOT(H8=$O$1)))</formula>
    </cfRule>
  </conditionalFormatting>
  <conditionalFormatting sqref="E9">
    <cfRule type="expression" dxfId="1311" priority="2739">
      <formula>AND(AND(NOT(ISBLANK(D9)),NOT(D9=$O$1)),AND(NOT(ISBLANK(C9)),NOT(C9=$O$1)))</formula>
    </cfRule>
    <cfRule type="expression" dxfId="1310" priority="2740">
      <formula>OR(AND(NOT(ISBLANK(D9)),NOT(D9=$O$1)),AND(NOT(ISBLANK(C9)),NOT(C9=$O$1)))</formula>
    </cfRule>
  </conditionalFormatting>
  <conditionalFormatting sqref="F9">
    <cfRule type="expression" dxfId="1309" priority="2737">
      <formula>AND(AND(NOT(ISBLANK(G9)),NOT(G9=$O$1)),AND(NOT(ISBLANK(H9)),NOT(H9=$O$1)))</formula>
    </cfRule>
    <cfRule type="expression" dxfId="1308" priority="2738">
      <formula>OR(AND(NOT(ISBLANK(G9)),NOT(G9=$O$1)),AND(NOT(ISBLANK(H9)),NOT(H9=$O$1)))</formula>
    </cfRule>
  </conditionalFormatting>
  <conditionalFormatting sqref="E10">
    <cfRule type="expression" dxfId="1307" priority="2735">
      <formula>AND(AND(NOT(ISBLANK(D10)),NOT(D10=$O$1)),AND(NOT(ISBLANK(C10)),NOT(C10=$O$1)))</formula>
    </cfRule>
    <cfRule type="expression" dxfId="1306" priority="2736">
      <formula>OR(AND(NOT(ISBLANK(D10)),NOT(D10=$O$1)),AND(NOT(ISBLANK(C10)),NOT(C10=$O$1)))</formula>
    </cfRule>
  </conditionalFormatting>
  <conditionalFormatting sqref="F10">
    <cfRule type="expression" dxfId="1305" priority="2733">
      <formula>AND(AND(NOT(ISBLANK(G10)),NOT(G10=$O$1)),AND(NOT(ISBLANK(H10)),NOT(H10=$O$1)))</formula>
    </cfRule>
    <cfRule type="expression" dxfId="1304" priority="2734">
      <formula>OR(AND(NOT(ISBLANK(G10)),NOT(G10=$O$1)),AND(NOT(ISBLANK(H10)),NOT(H10=$O$1)))</formula>
    </cfRule>
  </conditionalFormatting>
  <conditionalFormatting sqref="E11">
    <cfRule type="expression" dxfId="1303" priority="2731">
      <formula>AND(AND(NOT(ISBLANK(D11)),NOT(D11=$O$1)),AND(NOT(ISBLANK(C11)),NOT(C11=$O$1)))</formula>
    </cfRule>
    <cfRule type="expression" dxfId="1302" priority="2732">
      <formula>OR(AND(NOT(ISBLANK(D11)),NOT(D11=$O$1)),AND(NOT(ISBLANK(C11)),NOT(C11=$O$1)))</formula>
    </cfRule>
  </conditionalFormatting>
  <conditionalFormatting sqref="F11">
    <cfRule type="expression" dxfId="1301" priority="2729">
      <formula>AND(AND(NOT(ISBLANK(G11)),NOT(G11=$O$1)),AND(NOT(ISBLANK(H11)),NOT(H11=$O$1)))</formula>
    </cfRule>
    <cfRule type="expression" dxfId="1300" priority="2730">
      <formula>OR(AND(NOT(ISBLANK(G11)),NOT(G11=$O$1)),AND(NOT(ISBLANK(H11)),NOT(H11=$O$1)))</formula>
    </cfRule>
  </conditionalFormatting>
  <conditionalFormatting sqref="E12">
    <cfRule type="expression" dxfId="1299" priority="1659">
      <formula>AND(AND(NOT(ISBLANK(D12)),NOT(D12=$O$1)),AND(NOT(ISBLANK(C12)),NOT(C12=$O$1)))</formula>
    </cfRule>
    <cfRule type="expression" dxfId="1298" priority="1660">
      <formula>OR(AND(NOT(ISBLANK(D12)),NOT(D12=$O$1)),AND(NOT(ISBLANK(C12)),NOT(C12=$O$1)))</formula>
    </cfRule>
  </conditionalFormatting>
  <conditionalFormatting sqref="F12">
    <cfRule type="expression" dxfId="1297" priority="1657">
      <formula>AND(AND(NOT(ISBLANK(G12)),NOT(G12=$O$1)),AND(NOT(ISBLANK(H12)),NOT(H12=$O$1)))</formula>
    </cfRule>
    <cfRule type="expression" dxfId="1296" priority="1658">
      <formula>OR(AND(NOT(ISBLANK(G12)),NOT(G12=$O$1)),AND(NOT(ISBLANK(H12)),NOT(H12=$O$1)))</formula>
    </cfRule>
  </conditionalFormatting>
  <conditionalFormatting sqref="E13">
    <cfRule type="expression" dxfId="1295" priority="1655">
      <formula>AND(AND(NOT(ISBLANK(D13)),NOT(D13=$O$1)),AND(NOT(ISBLANK(C13)),NOT(C13=$O$1)))</formula>
    </cfRule>
    <cfRule type="expression" dxfId="1294" priority="1656">
      <formula>OR(AND(NOT(ISBLANK(D13)),NOT(D13=$O$1)),AND(NOT(ISBLANK(C13)),NOT(C13=$O$1)))</formula>
    </cfRule>
  </conditionalFormatting>
  <conditionalFormatting sqref="F13">
    <cfRule type="expression" dxfId="1293" priority="1653">
      <formula>AND(AND(NOT(ISBLANK(G13)),NOT(G13=$O$1)),AND(NOT(ISBLANK(H13)),NOT(H13=$O$1)))</formula>
    </cfRule>
    <cfRule type="expression" dxfId="1292" priority="1654">
      <formula>OR(AND(NOT(ISBLANK(G13)),NOT(G13=$O$1)),AND(NOT(ISBLANK(H13)),NOT(H13=$O$1)))</formula>
    </cfRule>
  </conditionalFormatting>
  <conditionalFormatting sqref="G4">
    <cfRule type="expression" dxfId="1291" priority="306" stopIfTrue="1">
      <formula>AND(NOT(ISBLANK(G4)),NOT(_xlfn.ISFORMULA(G4)))</formula>
    </cfRule>
  </conditionalFormatting>
  <conditionalFormatting sqref="G5">
    <cfRule type="expression" dxfId="1290" priority="305" stopIfTrue="1">
      <formula>AND(NOT(ISBLANK(G5)),NOT(_xlfn.ISFORMULA(G5)))</formula>
    </cfRule>
  </conditionalFormatting>
  <conditionalFormatting sqref="G6">
    <cfRule type="expression" dxfId="1289" priority="304" stopIfTrue="1">
      <formula>AND(NOT(ISBLANK(G6)),NOT(_xlfn.ISFORMULA(G6)))</formula>
    </cfRule>
  </conditionalFormatting>
  <conditionalFormatting sqref="G7">
    <cfRule type="expression" dxfId="1288" priority="303" stopIfTrue="1">
      <formula>AND(NOT(ISBLANK(G7)),NOT(_xlfn.ISFORMULA(G7)))</formula>
    </cfRule>
  </conditionalFormatting>
  <conditionalFormatting sqref="G8">
    <cfRule type="expression" dxfId="1287" priority="302" stopIfTrue="1">
      <formula>AND(NOT(ISBLANK(G8)),NOT(_xlfn.ISFORMULA(G8)))</formula>
    </cfRule>
  </conditionalFormatting>
  <conditionalFormatting sqref="G9">
    <cfRule type="expression" dxfId="1286" priority="301" stopIfTrue="1">
      <formula>AND(NOT(ISBLANK(G9)),NOT(_xlfn.ISFORMULA(G9)))</formula>
    </cfRule>
  </conditionalFormatting>
  <conditionalFormatting sqref="G10">
    <cfRule type="expression" dxfId="1285" priority="300" stopIfTrue="1">
      <formula>AND(NOT(ISBLANK(G10)),NOT(_xlfn.ISFORMULA(G10)))</formula>
    </cfRule>
  </conditionalFormatting>
  <conditionalFormatting sqref="G11">
    <cfRule type="expression" dxfId="1284" priority="299" stopIfTrue="1">
      <formula>AND(NOT(ISBLANK(G11)),NOT(_xlfn.ISFORMULA(G11)))</formula>
    </cfRule>
  </conditionalFormatting>
  <conditionalFormatting sqref="G12">
    <cfRule type="expression" dxfId="1283" priority="298" stopIfTrue="1">
      <formula>AND(NOT(ISBLANK(G12)),NOT(_xlfn.ISFORMULA(G12)))</formula>
    </cfRule>
  </conditionalFormatting>
  <conditionalFormatting sqref="G13">
    <cfRule type="expression" dxfId="1282" priority="297" stopIfTrue="1">
      <formula>AND(NOT(ISBLANK(G13)),NOT(_xlfn.ISFORMULA(G13)))</formula>
    </cfRule>
  </conditionalFormatting>
  <conditionalFormatting sqref="H4">
    <cfRule type="expression" dxfId="1281" priority="153" stopIfTrue="1">
      <formula>AND(NOT(ISBLANK(H4)),NOT(_xlfn.ISFORMULA(H4)))</formula>
    </cfRule>
  </conditionalFormatting>
  <conditionalFormatting sqref="H5">
    <cfRule type="expression" dxfId="1280" priority="152" stopIfTrue="1">
      <formula>AND(NOT(ISBLANK(H5)),NOT(_xlfn.ISFORMULA(H5)))</formula>
    </cfRule>
  </conditionalFormatting>
  <conditionalFormatting sqref="H6">
    <cfRule type="expression" dxfId="1279" priority="151" stopIfTrue="1">
      <formula>AND(NOT(ISBLANK(H6)),NOT(_xlfn.ISFORMULA(H6)))</formula>
    </cfRule>
  </conditionalFormatting>
  <conditionalFormatting sqref="H7">
    <cfRule type="expression" dxfId="1278" priority="150" stopIfTrue="1">
      <formula>AND(NOT(ISBLANK(H7)),NOT(_xlfn.ISFORMULA(H7)))</formula>
    </cfRule>
  </conditionalFormatting>
  <conditionalFormatting sqref="H8">
    <cfRule type="expression" dxfId="1277" priority="149" stopIfTrue="1">
      <formula>AND(NOT(ISBLANK(H8)),NOT(_xlfn.ISFORMULA(H8)))</formula>
    </cfRule>
  </conditionalFormatting>
  <conditionalFormatting sqref="H9">
    <cfRule type="expression" dxfId="1276" priority="148" stopIfTrue="1">
      <formula>AND(NOT(ISBLANK(H9)),NOT(_xlfn.ISFORMULA(H9)))</formula>
    </cfRule>
  </conditionalFormatting>
  <conditionalFormatting sqref="H10">
    <cfRule type="expression" dxfId="1275" priority="147" stopIfTrue="1">
      <formula>AND(NOT(ISBLANK(H10)),NOT(_xlfn.ISFORMULA(H10)))</formula>
    </cfRule>
  </conditionalFormatting>
  <conditionalFormatting sqref="H11">
    <cfRule type="expression" dxfId="1274" priority="146" stopIfTrue="1">
      <formula>AND(NOT(ISBLANK(H11)),NOT(_xlfn.ISFORMULA(H11)))</formula>
    </cfRule>
  </conditionalFormatting>
  <conditionalFormatting sqref="H12">
    <cfRule type="expression" dxfId="1273" priority="145" stopIfTrue="1">
      <formula>AND(NOT(ISBLANK(H12)),NOT(_xlfn.ISFORMULA(H12)))</formula>
    </cfRule>
  </conditionalFormatting>
  <conditionalFormatting sqref="H13">
    <cfRule type="expression" dxfId="1272" priority="144" stopIfTrue="1">
      <formula>AND(NOT(ISBLANK(H13)),NOT(_xlfn.ISFORMULA(H13)))</formula>
    </cfRule>
  </conditionalFormatting>
  <conditionalFormatting sqref="D4">
    <cfRule type="expression" dxfId="1271" priority="459" stopIfTrue="1">
      <formula>AND(NOT(ISBLANK(D4)),NOT(_xlfn.ISFORMULA(D4)))</formula>
    </cfRule>
  </conditionalFormatting>
  <conditionalFormatting sqref="D5">
    <cfRule type="expression" dxfId="1270" priority="458" stopIfTrue="1">
      <formula>AND(NOT(ISBLANK(D5)),NOT(_xlfn.ISFORMULA(D5)))</formula>
    </cfRule>
  </conditionalFormatting>
  <conditionalFormatting sqref="D6">
    <cfRule type="expression" dxfId="1269" priority="457" stopIfTrue="1">
      <formula>AND(NOT(ISBLANK(D6)),NOT(_xlfn.ISFORMULA(D6)))</formula>
    </cfRule>
  </conditionalFormatting>
  <conditionalFormatting sqref="D7">
    <cfRule type="expression" dxfId="1268" priority="456" stopIfTrue="1">
      <formula>AND(NOT(ISBLANK(D7)),NOT(_xlfn.ISFORMULA(D7)))</formula>
    </cfRule>
  </conditionalFormatting>
  <conditionalFormatting sqref="D8">
    <cfRule type="expression" dxfId="1267" priority="455" stopIfTrue="1">
      <formula>AND(NOT(ISBLANK(D8)),NOT(_xlfn.ISFORMULA(D8)))</formula>
    </cfRule>
  </conditionalFormatting>
  <conditionalFormatting sqref="D9">
    <cfRule type="expression" dxfId="1266" priority="454" stopIfTrue="1">
      <formula>AND(NOT(ISBLANK(D9)),NOT(_xlfn.ISFORMULA(D9)))</formula>
    </cfRule>
  </conditionalFormatting>
  <conditionalFormatting sqref="D10">
    <cfRule type="expression" dxfId="1265" priority="453" stopIfTrue="1">
      <formula>AND(NOT(ISBLANK(D10)),NOT(_xlfn.ISFORMULA(D10)))</formula>
    </cfRule>
  </conditionalFormatting>
  <conditionalFormatting sqref="D11">
    <cfRule type="expression" dxfId="1264" priority="452" stopIfTrue="1">
      <formula>AND(NOT(ISBLANK(D11)),NOT(_xlfn.ISFORMULA(D11)))</formula>
    </cfRule>
  </conditionalFormatting>
  <conditionalFormatting sqref="D12">
    <cfRule type="expression" dxfId="1263" priority="451" stopIfTrue="1">
      <formula>AND(NOT(ISBLANK(D12)),NOT(_xlfn.ISFORMULA(D12)))</formula>
    </cfRule>
  </conditionalFormatting>
  <conditionalFormatting sqref="D13">
    <cfRule type="expression" dxfId="1262" priority="450" stopIfTrue="1">
      <formula>AND(NOT(ISBLANK(D13)),NOT(_xlfn.ISFORMULA(D13)))</formula>
    </cfRule>
  </conditionalFormatting>
  <conditionalFormatting sqref="C4">
    <cfRule type="expression" dxfId="1261" priority="612" stopIfTrue="1">
      <formula>AND(NOT(ISBLANK(C4)),NOT(_xlfn.ISFORMULA(C4)))</formula>
    </cfRule>
  </conditionalFormatting>
  <conditionalFormatting sqref="C5">
    <cfRule type="expression" dxfId="1260" priority="611" stopIfTrue="1">
      <formula>AND(NOT(ISBLANK(C5)),NOT(_xlfn.ISFORMULA(C5)))</formula>
    </cfRule>
  </conditionalFormatting>
  <conditionalFormatting sqref="C6">
    <cfRule type="expression" dxfId="1259" priority="610" stopIfTrue="1">
      <formula>AND(NOT(ISBLANK(C6)),NOT(_xlfn.ISFORMULA(C6)))</formula>
    </cfRule>
  </conditionalFormatting>
  <conditionalFormatting sqref="C7">
    <cfRule type="expression" dxfId="1258" priority="609" stopIfTrue="1">
      <formula>AND(NOT(ISBLANK(C7)),NOT(_xlfn.ISFORMULA(C7)))</formula>
    </cfRule>
  </conditionalFormatting>
  <conditionalFormatting sqref="C8">
    <cfRule type="expression" dxfId="1257" priority="608" stopIfTrue="1">
      <formula>AND(NOT(ISBLANK(C8)),NOT(_xlfn.ISFORMULA(C8)))</formula>
    </cfRule>
  </conditionalFormatting>
  <conditionalFormatting sqref="C9">
    <cfRule type="expression" dxfId="1256" priority="607" stopIfTrue="1">
      <formula>AND(NOT(ISBLANK(C9)),NOT(_xlfn.ISFORMULA(C9)))</formula>
    </cfRule>
  </conditionalFormatting>
  <conditionalFormatting sqref="C10">
    <cfRule type="expression" dxfId="1255" priority="606" stopIfTrue="1">
      <formula>AND(NOT(ISBLANK(C10)),NOT(_xlfn.ISFORMULA(C10)))</formula>
    </cfRule>
  </conditionalFormatting>
  <conditionalFormatting sqref="C11">
    <cfRule type="expression" dxfId="1254" priority="605" stopIfTrue="1">
      <formula>AND(NOT(ISBLANK(C11)),NOT(_xlfn.ISFORMULA(C11)))</formula>
    </cfRule>
  </conditionalFormatting>
  <conditionalFormatting sqref="C12">
    <cfRule type="expression" dxfId="1253" priority="604" stopIfTrue="1">
      <formula>AND(NOT(ISBLANK(C12)),NOT(_xlfn.ISFORMULA(C12)))</formula>
    </cfRule>
  </conditionalFormatting>
  <conditionalFormatting sqref="C13">
    <cfRule type="expression" dxfId="1252" priority="603" stopIfTrue="1">
      <formula>AND(NOT(ISBLANK(C13)),NOT(_xlfn.ISFORMULA(C13)))</formula>
    </cfRule>
  </conditionalFormatting>
  <dataValidations count="2">
    <dataValidation type="custom" allowBlank="1" showInputMessage="1" showErrorMessage="1" sqref="E49:F58 E38:F42 J49:L50 A38:B42 I38:L42 J51:J58 A49:B58 I49:I58 I4:J13 E4:F13 A4:B13" xr:uid="{68445343-EC2C-4D0C-B534-EE6EB5234710}">
      <formula1>_xlfn.ISFORMULA(A4)</formula1>
    </dataValidation>
    <dataValidation type="custom" allowBlank="1" showInputMessage="1" showErrorMessage="1" errorTitle="Знак &quot;*&quot; недопустим" error="Знак &quot;*&quot; зарезервирован для обозначения отсутствия кромки и не может быть здесь использован" sqref="E24:E35" xr:uid="{34147AE8-EB12-45CD-BCD0-18F32DD61C54}">
      <formula1>E24&lt;&gt;"*"</formula1>
    </dataValidation>
  </dataValidations>
  <printOptions horizontalCentered="1"/>
  <pageMargins left="0.43307086614173229" right="0.31496062992125984" top="0.47244094488188981" bottom="0.35433070866141736" header="0.19685039370078741" footer="0.31496062992125984"/>
  <pageSetup paperSize="9" scale="90" fitToWidth="0" fitToHeight="0" orientation="landscape" r:id="rId1"/>
  <headerFooter>
    <oddHeader>&amp;R&amp;D. &amp;T. Страница &amp;P/&amp;N&amp;LbCad-teh1</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4020" r:id="rId4" name="Button 1012">
              <controlPr defaultSize="0" print="0" autoFill="0" autoPict="0" macro="[0]!ПоказатьПанельИнструментов">
                <anchor moveWithCells="1">
                  <from>
                    <xdr:col>14</xdr:col>
                    <xdr:colOff>0</xdr:colOff>
                    <xdr:row>0</xdr:row>
                    <xdr:rowOff>180975</xdr:rowOff>
                  </from>
                  <to>
                    <xdr:col>15</xdr:col>
                    <xdr:colOff>1666875</xdr:colOff>
                    <xdr:row>1</xdr:row>
                    <xdr:rowOff>228600</xdr:rowOff>
                  </to>
                </anchor>
              </controlPr>
            </control>
          </mc:Choice>
        </mc:AlternateContent>
        <mc:AlternateContent xmlns:mc="http://schemas.openxmlformats.org/markup-compatibility/2006">
          <mc:Choice Requires="x14">
            <control shapeId="44033" r:id="rId5" name="Button 1025">
              <controlPr defaultSize="0" print="0" autoFill="0" autoPict="0" macro="[0]!Ended">
                <anchor moveWithCells="1">
                  <from>
                    <xdr:col>16</xdr:col>
                    <xdr:colOff>123825</xdr:colOff>
                    <xdr:row>0</xdr:row>
                    <xdr:rowOff>171450</xdr:rowOff>
                  </from>
                  <to>
                    <xdr:col>16</xdr:col>
                    <xdr:colOff>1238250</xdr:colOff>
                    <xdr:row>1</xdr:row>
                    <xdr:rowOff>219075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1F810C-4C22-43C0-A9FA-8D6F5D1B6278}">
  <sheetPr codeName="Лист18"/>
  <dimension ref="A1:CC589"/>
  <sheetViews>
    <sheetView view="pageBreakPreview" zoomScale="70" zoomScaleNormal="100" zoomScaleSheetLayoutView="70" workbookViewId="0">
      <selection activeCell="A2" sqref="A2"/>
    </sheetView>
  </sheetViews>
  <sheetFormatPr defaultRowHeight="15" x14ac:dyDescent="0.25"/>
  <cols>
    <col min="1" max="1" width="4.5703125" style="30" customWidth="1"/>
    <col min="2" max="2" width="29.5703125" style="30" customWidth="1"/>
    <col min="3" max="3" width="4.28515625" style="38" bestFit="1" customWidth="1"/>
    <col min="4" max="4" width="3.140625" style="38" bestFit="1" customWidth="1"/>
    <col min="5" max="5" width="9.140625" style="30" customWidth="1"/>
    <col min="6" max="6" width="8.5703125" style="30" customWidth="1"/>
    <col min="7" max="7" width="4.28515625" style="38" bestFit="1" customWidth="1"/>
    <col min="8" max="8" width="5.28515625" style="38" bestFit="1" customWidth="1"/>
    <col min="9" max="9" width="4.42578125" style="30" customWidth="1"/>
    <col min="10" max="10" width="16" style="30" customWidth="1"/>
    <col min="11" max="11" width="11.7109375" style="30" customWidth="1"/>
    <col min="12" max="12" width="30.5703125" style="30" customWidth="1"/>
    <col min="13" max="13" width="22.140625" style="2" customWidth="1"/>
    <col min="14" max="14" width="7.28515625" style="30" customWidth="1"/>
    <col min="15" max="15" width="3.28515625" style="30" customWidth="1"/>
    <col min="16" max="16" width="25.28515625" style="30" customWidth="1"/>
    <col min="17" max="17" width="26" style="30" customWidth="1"/>
    <col min="18" max="18" width="4.7109375" style="30" customWidth="1"/>
    <col min="19" max="19" width="5.42578125" style="30" customWidth="1"/>
    <col min="20" max="20" width="8.42578125" style="2" customWidth="1"/>
    <col min="21" max="21" width="8.140625" style="2" customWidth="1"/>
    <col min="22" max="22" width="9" style="30" customWidth="1"/>
    <col min="23" max="23" width="7.5703125" style="30" customWidth="1"/>
    <col min="24" max="24" width="17.140625" style="30" customWidth="1"/>
    <col min="25" max="25" width="9.28515625" style="30" customWidth="1"/>
    <col min="26" max="26" width="9.140625" style="30"/>
    <col min="27" max="27" width="16.28515625" style="30" customWidth="1"/>
    <col min="28" max="28" width="20" style="30" customWidth="1"/>
    <col min="29" max="29" width="21.42578125" style="30" customWidth="1"/>
    <col min="30" max="34" width="9.140625" style="30" customWidth="1"/>
    <col min="35" max="35" width="22.85546875" style="30" customWidth="1"/>
    <col min="36" max="36" width="9.140625" style="30" customWidth="1"/>
    <col min="37" max="37" width="17" style="30" customWidth="1"/>
    <col min="38" max="39" width="9.140625" style="30" customWidth="1"/>
    <col min="40" max="16384" width="9.140625" style="30"/>
  </cols>
  <sheetData>
    <row r="1" spans="1:56" x14ac:dyDescent="0.25">
      <c r="A1" s="29" t="s">
        <v>234</v>
      </c>
      <c r="C1" s="38">
        <v>1</v>
      </c>
      <c r="J1" s="19"/>
      <c r="O1" s="20" t="s">
        <v>27</v>
      </c>
      <c r="P1" s="30">
        <v>10</v>
      </c>
      <c r="Q1" s="30">
        <v>20</v>
      </c>
      <c r="S1" s="30" t="s">
        <v>51</v>
      </c>
      <c r="X1" s="30" t="s">
        <v>54</v>
      </c>
      <c r="AG1" s="30" t="s">
        <v>36</v>
      </c>
    </row>
    <row r="2" spans="1:56" ht="18.75" x14ac:dyDescent="0.3">
      <c r="A2" s="1" t="str">
        <f>A1</f>
        <v>bCad-teh1</v>
      </c>
    </row>
    <row r="3" spans="1:56" x14ac:dyDescent="0.25">
      <c r="A3" s="65" t="s">
        <v>6</v>
      </c>
      <c r="B3" s="66" t="str">
        <f>"Наименование"</f>
        <v>Наименование</v>
      </c>
      <c r="C3" s="67" t="s">
        <v>9</v>
      </c>
      <c r="D3" s="68" t="s">
        <v>11</v>
      </c>
      <c r="E3" s="69" t="s">
        <v>1</v>
      </c>
      <c r="F3" s="66" t="s">
        <v>0</v>
      </c>
      <c r="G3" s="68" t="s">
        <v>10</v>
      </c>
      <c r="H3" s="70" t="s">
        <v>12</v>
      </c>
      <c r="I3" s="71" t="s">
        <v>2</v>
      </c>
      <c r="J3" s="65" t="s">
        <v>48</v>
      </c>
      <c r="K3" s="66" t="s">
        <v>49</v>
      </c>
      <c r="L3" s="66" t="s">
        <v>50</v>
      </c>
      <c r="M3" s="65" t="s">
        <v>4</v>
      </c>
      <c r="N3" s="2" t="s">
        <v>26</v>
      </c>
      <c r="O3" s="21" t="s">
        <v>7</v>
      </c>
      <c r="P3" s="21"/>
      <c r="Q3" s="21" t="s">
        <v>22</v>
      </c>
      <c r="R3" s="21" t="s">
        <v>17</v>
      </c>
      <c r="S3" s="21" t="s">
        <v>18</v>
      </c>
      <c r="T3" s="21" t="s">
        <v>19</v>
      </c>
      <c r="U3" s="21" t="s">
        <v>20</v>
      </c>
      <c r="V3" s="21" t="s">
        <v>21</v>
      </c>
      <c r="W3" s="21" t="s">
        <v>23</v>
      </c>
      <c r="X3" s="21" t="s">
        <v>24</v>
      </c>
      <c r="Y3" s="21" t="s">
        <v>25</v>
      </c>
      <c r="Z3" s="21" t="s">
        <v>2</v>
      </c>
      <c r="AA3" s="3" t="s">
        <v>34</v>
      </c>
      <c r="AB3" s="3" t="s">
        <v>52</v>
      </c>
      <c r="AC3" s="3" t="s">
        <v>53</v>
      </c>
      <c r="AD3" s="3" t="s">
        <v>97</v>
      </c>
      <c r="AK3" s="18"/>
      <c r="AL3" s="18"/>
    </row>
    <row r="4" spans="1:56" x14ac:dyDescent="0.25">
      <c r="A4" s="9" t="str">
        <f>CONCATENATE(O4,".",LEFT(J4))</f>
        <v>1.в</v>
      </c>
      <c r="B4" s="32" t="str">
        <f>CONCATENATE(IF(OR(Y4="Не определена",Y4,ISBLANK(Y4)),"↕",),IF(Y4="Не обязательна","±",),Q4,".",P4)</f>
        <v>1.поперёк ПВХ</v>
      </c>
      <c r="C4" s="54"/>
      <c r="D4" s="54"/>
      <c r="E4" s="48">
        <f>IF(M4="скрутка",T4+$Q$1,IF(M4="склейка",T4+$Q$1,IF(M4="запил торца",ROUND(T4+$P$1,0),IF(M4="запил торцов",ROUND(T4+$P$1*2,0),T4))))+IF(G4=$O$1,$P$1,)+IF(H4=$O$1,$P$1,)</f>
        <v>496</v>
      </c>
      <c r="F4" s="48">
        <f>IF(M4="скрутка",U4+$Q$1,IF(M4="склейка",U4+$Q$1,IF(M4="запил торца",ROUND(U4+$P$1,0),IF(M4="запил торцов",ROUND(U4+$P$1*2,0),U4))))+IF(C4=$O$1,$P$1,)+IF(D4=$O$1,$P$1,)</f>
        <v>1000</v>
      </c>
      <c r="G4" s="54">
        <f>I180</f>
        <v>2</v>
      </c>
      <c r="H4" s="54">
        <f>I180</f>
        <v>2</v>
      </c>
      <c r="I4" s="49">
        <f>IF(OR(M4="скрутка",M4="склейка"),Z4*2,Z4)</f>
        <v>1</v>
      </c>
      <c r="J4" s="53" t="str">
        <f>X4</f>
        <v>вишня Оксфорд</v>
      </c>
      <c r="K4" s="52" t="str">
        <f>IF(ISBLANK(AB4),"",AB4)</f>
        <v/>
      </c>
      <c r="L4" s="52" t="str">
        <f>IF(ISBLANK(AC4),"",AC4)</f>
        <v/>
      </c>
      <c r="M4" s="51" t="str">
        <f>IF(AA4="","",AA4)</f>
        <v/>
      </c>
      <c r="N4" s="30" t="str">
        <f>CONCATENATE(IF(E4&lt;&gt;T4,"НеРавны",),IF(AND(NOT(ISBLANK(R4)),R4&lt;&gt;T4),"Д",),IF(AND(NOT(ISBLANK(S4)),S4&lt;&gt;U4),"Ш",))</f>
        <v>Д</v>
      </c>
      <c r="O4" s="22">
        <v>1</v>
      </c>
      <c r="P4" s="18" t="s">
        <v>165</v>
      </c>
      <c r="Q4" s="18">
        <v>1</v>
      </c>
      <c r="R4" s="18">
        <v>500</v>
      </c>
      <c r="S4" s="18">
        <v>1000</v>
      </c>
      <c r="T4" s="3">
        <v>496</v>
      </c>
      <c r="U4" s="3">
        <v>1000</v>
      </c>
      <c r="V4" s="23"/>
      <c r="W4" s="23" t="s">
        <v>168</v>
      </c>
      <c r="X4" s="26" t="str">
        <f>J180</f>
        <v>вишня Оксфорд</v>
      </c>
      <c r="Y4" s="18" t="s">
        <v>158</v>
      </c>
      <c r="Z4" s="18">
        <v>1</v>
      </c>
      <c r="AA4" s="18"/>
      <c r="AB4" s="18"/>
      <c r="AC4" s="18"/>
      <c r="AD4" s="18"/>
      <c r="BB4" s="30" t="s">
        <v>89</v>
      </c>
      <c r="BC4" s="30">
        <v>1</v>
      </c>
      <c r="BD4" s="30">
        <v>147</v>
      </c>
    </row>
    <row r="5" spans="1:56" x14ac:dyDescent="0.25">
      <c r="A5" s="9" t="str">
        <f>CONCATENATE(O5,".",LEFT(J5))</f>
        <v>1.г</v>
      </c>
      <c r="B5" s="32" t="str">
        <f>CONCATENATE(IF(OR(Y5="Не определена",Y5,ISBLANK(Y5)),"↕",),IF(Y5="Не обязательна","±",),Q5,".",P5)</f>
        <v>1.другаяДеталь</v>
      </c>
      <c r="C5" s="54"/>
      <c r="D5" s="54"/>
      <c r="E5" s="48">
        <f>IF(M5="скрутка",T5+$Q$1,IF(M5="склейка",T5+$Q$1,IF(M5="запил торца",ROUND(T5+$P$1,0),IF(M5="запил торцов",ROUND(T5+$P$1*2,0),T5))))+IF(G5=$O$1,$P$1,)+IF(H5=$O$1,$P$1,)</f>
        <v>1189.86655</v>
      </c>
      <c r="F5" s="48">
        <f>IF(M5="скрутка",U5+$Q$1,IF(M5="склейка",U5+$Q$1,IF(M5="запил торца",ROUND(U5+$P$1,0),IF(M5="запил торцов",ROUND(U5+$P$1*2,0),U5))))+IF(C5=$O$1,$P$1,)+IF(D5=$O$1,$P$1,)</f>
        <v>937.2</v>
      </c>
      <c r="G5" s="54"/>
      <c r="H5" s="54"/>
      <c r="I5" s="49">
        <f>IF(OR(M5="скрутка",M5="склейка"),Z5*2,Z5)</f>
        <v>1</v>
      </c>
      <c r="J5" s="53" t="str">
        <f>X5</f>
        <v>груша дикая (светлая)</v>
      </c>
      <c r="K5" s="52" t="str">
        <f>IF(ISBLANK(AB5),"",AB5)</f>
        <v/>
      </c>
      <c r="L5" s="52" t="str">
        <f>IF(ISBLANK(AC5),"",AC5)</f>
        <v/>
      </c>
      <c r="M5" s="51" t="str">
        <f>IF(AA5="","",AA5)</f>
        <v>См.чертёж; Кромки уточнить;</v>
      </c>
      <c r="N5" s="30" t="str">
        <f>CONCATENATE(IF(E5&lt;&gt;T5,"НеРавны",),IF(AND(NOT(ISBLANK(R5)),R5&lt;&gt;T5),"Д",),IF(AND(NOT(ISBLANK(S5)),S5&lt;&gt;U5),"Ш",))</f>
        <v/>
      </c>
      <c r="O5" s="22">
        <v>1</v>
      </c>
      <c r="P5" s="18" t="s">
        <v>162</v>
      </c>
      <c r="Q5" s="18">
        <v>1</v>
      </c>
      <c r="R5" s="18">
        <v>1189.86655</v>
      </c>
      <c r="S5" s="18">
        <v>937.2</v>
      </c>
      <c r="T5" s="3">
        <v>1189.86655</v>
      </c>
      <c r="U5" s="3">
        <v>937.2</v>
      </c>
      <c r="V5" s="23"/>
      <c r="W5" s="23" t="s">
        <v>164</v>
      </c>
      <c r="X5" s="26" t="str">
        <f>J181</f>
        <v>груша дикая (светлая)</v>
      </c>
      <c r="Y5" s="18" t="s">
        <v>158</v>
      </c>
      <c r="Z5" s="18">
        <v>1</v>
      </c>
      <c r="AA5" s="18" t="s">
        <v>159</v>
      </c>
      <c r="AB5" s="18"/>
      <c r="AC5" s="18"/>
      <c r="AD5" s="18"/>
      <c r="BB5" s="30" t="s">
        <v>88</v>
      </c>
      <c r="BC5" s="30">
        <v>1</v>
      </c>
      <c r="BD5" s="30">
        <v>165</v>
      </c>
    </row>
    <row r="6" spans="1:56" x14ac:dyDescent="0.25">
      <c r="A6" s="9" t="str">
        <f>CONCATENATE(O6,".",LEFT(J6))</f>
        <v>2.г</v>
      </c>
      <c r="B6" s="32" t="str">
        <f>CONCATENATE(IF(OR(Y6="Не определена",Y6,ISBLANK(Y6)),"↕",),IF(Y6="Не обязательна","±",),Q6,".",P6)</f>
        <v>1.ножка стула</v>
      </c>
      <c r="C6" s="54"/>
      <c r="D6" s="54"/>
      <c r="E6" s="48">
        <f>IF(M6="скрутка",T6+$Q$1,IF(M6="склейка",T6+$Q$1,IF(M6="запил торца",ROUND(T6+$P$1,0),IF(M6="запил торцов",ROUND(T6+$P$1*2,0),T6))))+IF(G6=$O$1,$P$1,)+IF(H6=$O$1,$P$1,)</f>
        <v>1823.1</v>
      </c>
      <c r="F6" s="48">
        <f>IF(M6="скрутка",U6+$Q$1,IF(M6="склейка",U6+$Q$1,IF(M6="запил торца",ROUND(U6+$P$1,0),IF(M6="запил торцов",ROUND(U6+$P$1*2,0),U6))))+IF(C6=$O$1,$P$1,)+IF(D6=$O$1,$P$1,)</f>
        <v>835.42151000000001</v>
      </c>
      <c r="G6" s="54"/>
      <c r="H6" s="54"/>
      <c r="I6" s="49">
        <f>IF(OR(M6="скрутка",M6="склейка"),Z6*2,Z6)</f>
        <v>1</v>
      </c>
      <c r="J6" s="53" t="str">
        <f>X6</f>
        <v>груша дикая (светлая)</v>
      </c>
      <c r="K6" s="52" t="str">
        <f>IF(ISBLANK(AB6),"",AB6)</f>
        <v/>
      </c>
      <c r="L6" s="52" t="str">
        <f>IF(ISBLANK(AC6),"",AC6)</f>
        <v/>
      </c>
      <c r="M6" s="51" t="str">
        <f>IF(AA6="","",AA6)</f>
        <v>См.чертёж; Кромки уточнить;</v>
      </c>
      <c r="N6" s="30" t="str">
        <f>CONCATENATE(IF(E6&lt;&gt;T6,"НеРавны",),IF(AND(NOT(ISBLANK(R6)),R6&lt;&gt;T6),"Д",),IF(AND(NOT(ISBLANK(S6)),S6&lt;&gt;U6),"Ш",))</f>
        <v/>
      </c>
      <c r="O6" s="22">
        <f>O5+1</f>
        <v>2</v>
      </c>
      <c r="P6" s="18" t="s">
        <v>161</v>
      </c>
      <c r="Q6" s="18">
        <v>1</v>
      </c>
      <c r="R6" s="18">
        <v>1823.1</v>
      </c>
      <c r="S6" s="18">
        <v>835.42151000000001</v>
      </c>
      <c r="T6" s="3">
        <v>1823.1</v>
      </c>
      <c r="U6" s="3">
        <v>835.42151000000001</v>
      </c>
      <c r="V6" s="23"/>
      <c r="W6" s="23" t="s">
        <v>164</v>
      </c>
      <c r="X6" s="26" t="str">
        <f>J181</f>
        <v>груша дикая (светлая)</v>
      </c>
      <c r="Y6" s="18" t="s">
        <v>158</v>
      </c>
      <c r="Z6" s="18">
        <v>1</v>
      </c>
      <c r="AA6" s="18" t="s">
        <v>159</v>
      </c>
      <c r="AB6" s="18"/>
      <c r="AC6" s="18"/>
      <c r="AD6" s="18"/>
      <c r="BB6" s="30" t="s">
        <v>108</v>
      </c>
      <c r="BC6" s="30">
        <v>1</v>
      </c>
      <c r="BD6" s="30">
        <v>166</v>
      </c>
    </row>
    <row r="7" spans="1:56" x14ac:dyDescent="0.25">
      <c r="A7" s="9" t="str">
        <f>CONCATENATE(O7,".",LEFT(J7))</f>
        <v>1.к</v>
      </c>
      <c r="B7" s="32" t="str">
        <f>CONCATENATE(IF(OR(Y7="Не определена",Y7,ISBLANK(Y7)),"↕",),IF(Y7="Не обязательна","±",),Q7,".",P7)</f>
        <v>1.вырезЕсть</v>
      </c>
      <c r="C7" s="54" t="str">
        <f>I179</f>
        <v>-</v>
      </c>
      <c r="D7" s="54" t="str">
        <f>I179</f>
        <v>-</v>
      </c>
      <c r="E7" s="48">
        <f>IF(M7="скрутка",T7+$Q$1,IF(M7="склейка",T7+$Q$1,IF(M7="запил торца",ROUND(T7+$P$1,0),IF(M7="запил торцов",ROUND(T7+$P$1*2,0),T7))))+IF(G7=$O$1,$P$1,)+IF(H7=$O$1,$P$1,)</f>
        <v>1000</v>
      </c>
      <c r="F7" s="48">
        <f>IF(M7="скрутка",U7+$Q$1,IF(M7="склейка",U7+$Q$1,IF(M7="запил торца",ROUND(U7+$P$1,0),IF(M7="запил торцов",ROUND(U7+$P$1*2,0),U7))))+IF(C7=$O$1,$P$1,)+IF(D7=$O$1,$P$1,)</f>
        <v>1000</v>
      </c>
      <c r="G7" s="54" t="str">
        <f>I179</f>
        <v>-</v>
      </c>
      <c r="H7" s="54" t="str">
        <f>I179</f>
        <v>-</v>
      </c>
      <c r="I7" s="49">
        <f>IF(OR(M7="скрутка",M7="склейка"),Z7*2,Z7)</f>
        <v>1</v>
      </c>
      <c r="J7" s="53" t="str">
        <f>X7</f>
        <v>коминь</v>
      </c>
      <c r="K7" s="52" t="str">
        <f>IF(ISBLANK(AB7),"",AB7)</f>
        <v/>
      </c>
      <c r="L7" s="52" t="str">
        <f>IF(ISBLANK(AC7),"",AC7)</f>
        <v/>
      </c>
      <c r="M7" s="51" t="str">
        <f>IF(AA7="","",AA7)</f>
        <v/>
      </c>
      <c r="N7" s="30" t="str">
        <f>CONCATENATE(IF(E7&lt;&gt;T7,"НеРавны",),IF(AND(NOT(ISBLANK(R7)),R7&lt;&gt;T7),"Д",),IF(AND(NOT(ISBLANK(S7)),S7&lt;&gt;U7),"Ш",))</f>
        <v/>
      </c>
      <c r="O7" s="22">
        <v>1</v>
      </c>
      <c r="P7" s="18" t="s">
        <v>160</v>
      </c>
      <c r="Q7" s="18">
        <v>1</v>
      </c>
      <c r="R7" s="18">
        <v>1000</v>
      </c>
      <c r="S7" s="18">
        <v>1000</v>
      </c>
      <c r="T7" s="3">
        <v>1000</v>
      </c>
      <c r="U7" s="3">
        <v>1000</v>
      </c>
      <c r="V7" s="23"/>
      <c r="W7" s="23" t="s">
        <v>167</v>
      </c>
      <c r="X7" s="26" t="str">
        <f>J179</f>
        <v>коминь</v>
      </c>
      <c r="Y7" s="18" t="s">
        <v>158</v>
      </c>
      <c r="Z7" s="18">
        <v>1</v>
      </c>
      <c r="AA7" s="18"/>
      <c r="AB7" s="18"/>
      <c r="AC7" s="18"/>
      <c r="AD7" s="18"/>
      <c r="BB7" s="30" t="s">
        <v>110</v>
      </c>
      <c r="BC7" s="30">
        <v>1</v>
      </c>
      <c r="BD7" s="30">
        <v>164</v>
      </c>
    </row>
    <row r="8" spans="1:56" x14ac:dyDescent="0.25">
      <c r="A8" s="9"/>
      <c r="B8" s="32"/>
      <c r="C8" s="54"/>
      <c r="D8" s="54"/>
      <c r="E8" s="48"/>
      <c r="F8" s="48"/>
      <c r="G8" s="54"/>
      <c r="H8" s="54"/>
      <c r="I8" s="49"/>
      <c r="J8" s="53"/>
      <c r="K8" s="52"/>
      <c r="L8" s="52"/>
      <c r="M8" s="51"/>
      <c r="O8" s="22"/>
      <c r="P8" s="18"/>
      <c r="Q8" s="18"/>
      <c r="R8" s="18"/>
      <c r="S8" s="18"/>
      <c r="T8" s="3"/>
      <c r="U8" s="3"/>
      <c r="V8" s="23"/>
      <c r="W8" s="23"/>
      <c r="X8" s="26"/>
      <c r="Y8" s="18"/>
      <c r="Z8" s="18"/>
      <c r="AA8" s="18"/>
      <c r="AB8" s="18"/>
      <c r="AC8" s="18"/>
      <c r="AD8" s="56"/>
      <c r="BB8" s="30" t="s">
        <v>109</v>
      </c>
      <c r="BC8" s="30">
        <v>1</v>
      </c>
      <c r="BD8" s="30">
        <v>95</v>
      </c>
    </row>
    <row r="9" spans="1:56" x14ac:dyDescent="0.25">
      <c r="A9" s="9" t="str">
        <f>CONCATENATE(O9,".",LEFT(J9))</f>
        <v>1.X</v>
      </c>
      <c r="B9" s="32" t="str">
        <f>CONCATENATE(IF(OR(Y9="Не определена",Y9,ISBLANK(Y9)),"↕",),IF(Y9="Не обязательна","±",),Q9,".",P9)</f>
        <v>1.задняя стенка</v>
      </c>
      <c r="C9" s="47"/>
      <c r="D9" s="47"/>
      <c r="E9" s="48">
        <f>IF(M9="скрутка",T9+$Q$1,IF(M9="склейка",T9+$Q$1,IF(M9="запил торца",ROUND(T9+$P$1,0),IF(M9="запил торцов",ROUND(T9+$P$1*2,0),T9))))+IF(G9=$O$1,$P$1,)+IF(H9=$O$1,$P$1,)</f>
        <v>551</v>
      </c>
      <c r="F9" s="48">
        <f>IF(M9="скрутка",U9+$Q$1,IF(M9="склейка",U9+$Q$1,IF(M9="запил торца",ROUND(U9+$P$1,0),IF(M9="запил торцов",ROUND(U9+$P$1*2,0),U9))))+IF(C9=$O$1,$P$1,)+IF(D9=$O$1,$P$1,)</f>
        <v>326</v>
      </c>
      <c r="G9" s="47"/>
      <c r="H9" s="47"/>
      <c r="I9" s="49">
        <f>IF(OR(M9="скрутка",M9="склейка"),Z9*2,Z9)</f>
        <v>1</v>
      </c>
      <c r="J9" s="111" t="str">
        <f>X9</f>
        <v>XДФ 2800*2070*4 Белый б/к</v>
      </c>
      <c r="K9" s="52" t="str">
        <f>IF(ISBLANK(AB9),"",AB9)</f>
        <v/>
      </c>
      <c r="L9" s="52" t="str">
        <f>IF(ISBLANK(AC9),"",AC9)</f>
        <v/>
      </c>
      <c r="M9" s="51" t="str">
        <f>IF(AA9="","",AA9)</f>
        <v/>
      </c>
      <c r="N9" s="30" t="str">
        <f>CONCATENATE(IF(E9&lt;&gt;T9,"НеРавны",),IF(AND(NOT(ISBLANK(R9)),R9&lt;&gt;T9),"Д",),IF(AND(NOT(ISBLANK(S9)),S9&lt;&gt;U9),"Ш",))</f>
        <v/>
      </c>
      <c r="O9" s="22">
        <v>1</v>
      </c>
      <c r="P9" s="18" t="s">
        <v>189</v>
      </c>
      <c r="Q9" s="18">
        <v>1</v>
      </c>
      <c r="R9" s="18">
        <v>551</v>
      </c>
      <c r="S9" s="18">
        <v>326</v>
      </c>
      <c r="T9" s="3">
        <v>551</v>
      </c>
      <c r="U9" s="3">
        <v>326</v>
      </c>
      <c r="V9" s="23"/>
      <c r="W9" s="23" t="s">
        <v>164</v>
      </c>
      <c r="X9" s="18" t="s">
        <v>89</v>
      </c>
      <c r="Y9" s="18" t="s">
        <v>158</v>
      </c>
      <c r="Z9" s="18">
        <v>1</v>
      </c>
      <c r="AA9" s="18"/>
      <c r="AB9" s="18"/>
      <c r="AC9" s="18"/>
      <c r="AD9" s="56"/>
      <c r="BB9" s="30" t="s">
        <v>106</v>
      </c>
      <c r="BC9" s="30">
        <v>1</v>
      </c>
      <c r="BD9" s="30">
        <v>160</v>
      </c>
    </row>
    <row r="10" spans="1:56" x14ac:dyDescent="0.25">
      <c r="A10" s="9" t="str">
        <f>CONCATENATE(O10,".",LEFT(J10))</f>
        <v>1.Л</v>
      </c>
      <c r="B10" s="32" t="str">
        <f>CONCATENATE(IF(OR(Y10="Не определена",Y10,ISBLANK(Y10)),"↕",),IF(Y10="Не обязательна","±",),Q10,".",P10)</f>
        <v>1.бок (паз_16)</v>
      </c>
      <c r="C10" s="54" t="str">
        <f>I182</f>
        <v>-</v>
      </c>
      <c r="D10" s="54" t="str">
        <f>I182</f>
        <v>-</v>
      </c>
      <c r="E10" s="48">
        <f>IF(M10="скрутка",T10+$Q$1,IF(M10="склейка",T10+$Q$1,IF(M10="запил торца",ROUND(T10+$P$1,0),IF(M10="запил торцов",ROUND(T10+$P$1*2,0),T10))))+IF(G10=$O$1,$P$1,)+IF(H10=$O$1,$P$1,)</f>
        <v>343</v>
      </c>
      <c r="F10" s="48">
        <f>IF(M10="скрутка",U10+$Q$1,IF(M10="склейка",U10+$Q$1,IF(M10="запил торца",ROUND(U10+$P$1,0),IF(M10="запил торцов",ROUND(U10+$P$1*2,0),U10))))+IF(C10=$O$1,$P$1,)+IF(D10=$O$1,$P$1,)</f>
        <v>623</v>
      </c>
      <c r="G10" s="54" t="str">
        <f>I182</f>
        <v>-</v>
      </c>
      <c r="H10" s="54" t="str">
        <f>I182</f>
        <v>-</v>
      </c>
      <c r="I10" s="49">
        <f>IF(OR(M10="скрутка",M10="склейка"),Z10*2,Z10)</f>
        <v>1</v>
      </c>
      <c r="J10" s="53" t="str">
        <f>X10</f>
        <v>ЛДСП Lamarty 2750*1830*16 Белый б/к</v>
      </c>
      <c r="K10" s="52" t="str">
        <f>IF(ISBLANK(AB10),"",AB10)</f>
        <v/>
      </c>
      <c r="L10" s="52" t="str">
        <f>IF(ISBLANK(AC10),"",AC10)</f>
        <v/>
      </c>
      <c r="M10" s="51" t="str">
        <f>IF(AA10="","",AA10)</f>
        <v>паз ХДФ 8*4(по длине);</v>
      </c>
      <c r="N10" s="30" t="str">
        <f>CONCATENATE(IF(E10&lt;&gt;T10,"НеРавны",),IF(AND(NOT(ISBLANK(R10)),R10&lt;&gt;T10),"Д",),IF(AND(NOT(ISBLANK(S10)),S10&lt;&gt;U10),"Ш",))</f>
        <v>ДШ</v>
      </c>
      <c r="O10" s="22">
        <v>1</v>
      </c>
      <c r="P10" s="18" t="s">
        <v>197</v>
      </c>
      <c r="Q10" s="18">
        <v>1</v>
      </c>
      <c r="R10" s="18">
        <v>344</v>
      </c>
      <c r="S10" s="18">
        <v>624</v>
      </c>
      <c r="T10" s="3">
        <v>343</v>
      </c>
      <c r="U10" s="3">
        <v>623</v>
      </c>
      <c r="V10" s="23"/>
      <c r="W10" s="23" t="s">
        <v>227</v>
      </c>
      <c r="X10" s="18" t="str">
        <f>J182</f>
        <v>ЛДСП Lamarty 2750*1830*16 Белый б/к</v>
      </c>
      <c r="Y10" s="18" t="s">
        <v>158</v>
      </c>
      <c r="Z10" s="18">
        <v>1</v>
      </c>
      <c r="AA10" s="18" t="s">
        <v>185</v>
      </c>
      <c r="AB10" s="18"/>
      <c r="AC10" s="18"/>
      <c r="AD10" s="56"/>
      <c r="BB10" s="30" t="s">
        <v>107</v>
      </c>
      <c r="BC10" s="30">
        <v>1</v>
      </c>
      <c r="BD10" s="30">
        <v>168</v>
      </c>
    </row>
    <row r="11" spans="1:56" x14ac:dyDescent="0.25">
      <c r="A11" s="9" t="str">
        <f>CONCATENATE(O11,".",LEFT(J11))</f>
        <v>2.Л</v>
      </c>
      <c r="B11" s="32" t="str">
        <f>CONCATENATE(IF(OR(Y11="Не определена",Y11,ISBLANK(Y11)),"↕",),IF(Y11="Не обязательна","±",),Q11,".",P11)</f>
        <v>1.бок (паз_16)</v>
      </c>
      <c r="C11" s="54" t="str">
        <f>I182</f>
        <v>-</v>
      </c>
      <c r="D11" s="54" t="str">
        <f>I182</f>
        <v>-</v>
      </c>
      <c r="E11" s="48">
        <f>IF(M11="скрутка",T11+$Q$1,IF(M11="склейка",T11+$Q$1,IF(M11="запил торца",ROUND(T11+$P$1,0),IF(M11="запил торцов",ROUND(T11+$P$1*2,0),T11))))+IF(G11=$O$1,$P$1,)+IF(H11=$O$1,$P$1,)</f>
        <v>343</v>
      </c>
      <c r="F11" s="48">
        <f>IF(M11="скрутка",U11+$Q$1,IF(M11="склейка",U11+$Q$1,IF(M11="запил торца",ROUND(U11+$P$1,0),IF(M11="запил торцов",ROUND(U11+$P$1*2,0),U11))))+IF(C11=$O$1,$P$1,)+IF(D11=$O$1,$P$1,)</f>
        <v>623</v>
      </c>
      <c r="G11" s="54" t="str">
        <f>I182</f>
        <v>-</v>
      </c>
      <c r="H11" s="54" t="str">
        <f>I182</f>
        <v>-</v>
      </c>
      <c r="I11" s="49">
        <f>IF(OR(M11="скрутка",M11="склейка"),Z11*2,Z11)</f>
        <v>1</v>
      </c>
      <c r="J11" s="53" t="str">
        <f>X11</f>
        <v>ЛДСП Lamarty 2750*1830*16 Белый б/к</v>
      </c>
      <c r="K11" s="52" t="str">
        <f>IF(ISBLANK(AB11),"",AB11)</f>
        <v/>
      </c>
      <c r="L11" s="52" t="str">
        <f>IF(ISBLANK(AC11),"",AC11)</f>
        <v/>
      </c>
      <c r="M11" s="51" t="str">
        <f>IF(AA11="","",AA11)</f>
        <v>паз ХДФ 8*4(по длине);</v>
      </c>
      <c r="N11" s="30" t="str">
        <f>CONCATENATE(IF(E11&lt;&gt;T11,"НеРавны",),IF(AND(NOT(ISBLANK(R11)),R11&lt;&gt;T11),"Д",),IF(AND(NOT(ISBLANK(S11)),S11&lt;&gt;U11),"Ш",))</f>
        <v>ДШ</v>
      </c>
      <c r="O11" s="22">
        <f>O10+1</f>
        <v>2</v>
      </c>
      <c r="P11" s="18" t="s">
        <v>197</v>
      </c>
      <c r="Q11" s="18">
        <v>1</v>
      </c>
      <c r="R11" s="18">
        <v>344</v>
      </c>
      <c r="S11" s="18">
        <v>624</v>
      </c>
      <c r="T11" s="3">
        <v>343</v>
      </c>
      <c r="U11" s="3">
        <v>623</v>
      </c>
      <c r="V11" s="23"/>
      <c r="W11" s="23" t="s">
        <v>227</v>
      </c>
      <c r="X11" s="26" t="str">
        <f>J182</f>
        <v>ЛДСП Lamarty 2750*1830*16 Белый б/к</v>
      </c>
      <c r="Y11" s="18" t="s">
        <v>158</v>
      </c>
      <c r="Z11" s="18">
        <v>1</v>
      </c>
      <c r="AA11" s="18" t="s">
        <v>185</v>
      </c>
      <c r="AB11" s="18"/>
      <c r="AC11" s="18"/>
      <c r="AD11" s="56"/>
    </row>
    <row r="12" spans="1:56" x14ac:dyDescent="0.25">
      <c r="A12" s="9" t="str">
        <f>CONCATENATE(O12,".",LEFT(J12))</f>
        <v>3.Л</v>
      </c>
      <c r="B12" s="32" t="str">
        <f>CONCATENATE(IF(OR(Y12="Не определена",Y12,ISBLANK(Y12)),"↕",),IF(Y12="Не обязательна","±",),Q12,".",P12)</f>
        <v>1.горизонт (паз_16)</v>
      </c>
      <c r="C12" s="54" t="str">
        <f>I182</f>
        <v>-</v>
      </c>
      <c r="D12" s="54" t="str">
        <f>I182</f>
        <v>-</v>
      </c>
      <c r="E12" s="48">
        <f>IF(M12="скрутка",T12+$Q$1,IF(M12="склейка",T12+$Q$1,IF(M12="запил торца",ROUND(T12+$P$1,0),IF(M12="запил торцов",ROUND(T12+$P$1*2,0),T12))))+IF(G12=$O$1,$P$1,)+IF(H12=$O$1,$P$1,)</f>
        <v>537</v>
      </c>
      <c r="F12" s="48">
        <f>IF(M12="скрутка",U12+$Q$1,IF(M12="склейка",U12+$Q$1,IF(M12="запил торца",ROUND(U12+$P$1,0),IF(M12="запил торцов",ROUND(U12+$P$1*2,0),U12))))+IF(C12=$O$1,$P$1,)+IF(D12=$O$1,$P$1,)</f>
        <v>623</v>
      </c>
      <c r="G12" s="47"/>
      <c r="H12" s="47"/>
      <c r="I12" s="49">
        <f>IF(OR(M12="скрутка",M12="склейка"),Z12*2,Z12)</f>
        <v>1</v>
      </c>
      <c r="J12" s="53" t="str">
        <f>X12</f>
        <v>ЛДСП Lamarty 2750*1830*16 Белый б/к</v>
      </c>
      <c r="K12" s="52" t="str">
        <f>IF(ISBLANK(AB12),"",AB12)</f>
        <v/>
      </c>
      <c r="L12" s="52" t="str">
        <f>IF(ISBLANK(AC12),"",AC12)</f>
        <v/>
      </c>
      <c r="M12" s="51" t="str">
        <f>IF(AA12="","",AA12)</f>
        <v>паз ХДФ*anna(уточнить);</v>
      </c>
      <c r="N12" s="30" t="str">
        <f>CONCATENATE(IF(E12&lt;&gt;T12,"НеРавны",),IF(AND(NOT(ISBLANK(R12)),R12&lt;&gt;T12),"Д",),IF(AND(NOT(ISBLANK(S12)),S12&lt;&gt;U12),"Ш",))</f>
        <v>Ш</v>
      </c>
      <c r="O12" s="22">
        <f>O11+1</f>
        <v>3</v>
      </c>
      <c r="P12" s="18" t="s">
        <v>196</v>
      </c>
      <c r="Q12" s="18">
        <v>1</v>
      </c>
      <c r="R12" s="18">
        <v>537</v>
      </c>
      <c r="S12" s="18">
        <v>624</v>
      </c>
      <c r="T12" s="3">
        <v>537</v>
      </c>
      <c r="U12" s="3">
        <v>623</v>
      </c>
      <c r="V12" s="23"/>
      <c r="W12" s="23" t="s">
        <v>228</v>
      </c>
      <c r="X12" s="26" t="str">
        <f>J182</f>
        <v>ЛДСП Lamarty 2750*1830*16 Белый б/к</v>
      </c>
      <c r="Y12" s="18" t="s">
        <v>158</v>
      </c>
      <c r="Z12" s="18">
        <v>1</v>
      </c>
      <c r="AA12" s="18" t="s">
        <v>203</v>
      </c>
      <c r="AB12" s="18"/>
      <c r="AC12" s="18"/>
      <c r="AD12" s="56"/>
    </row>
    <row r="13" spans="1:56" x14ac:dyDescent="0.25">
      <c r="A13" s="9" t="str">
        <f>CONCATENATE(O13,".",LEFT(J13))</f>
        <v>4.Л</v>
      </c>
      <c r="B13" s="32" t="str">
        <f>CONCATENATE(IF(OR(Y13="Не определена",Y13,ISBLANK(Y13)),"↕",),IF(Y13="Не обязательна","±",),Q13,".",P13)</f>
        <v>1.горизонт (паз_16)</v>
      </c>
      <c r="C13" s="54" t="str">
        <f>I182</f>
        <v>-</v>
      </c>
      <c r="D13" s="54" t="str">
        <f>I182</f>
        <v>-</v>
      </c>
      <c r="E13" s="48">
        <f>IF(M13="скрутка",T13+$Q$1,IF(M13="склейка",T13+$Q$1,IF(M13="запил торца",ROUND(T13+$P$1,0),IF(M13="запил торцов",ROUND(T13+$P$1*2,0),T13))))+IF(G13=$O$1,$P$1,)+IF(H13=$O$1,$P$1,)</f>
        <v>537</v>
      </c>
      <c r="F13" s="48">
        <f>IF(M13="скрутка",U13+$Q$1,IF(M13="склейка",U13+$Q$1,IF(M13="запил торца",ROUND(U13+$P$1,0),IF(M13="запил торцов",ROUND(U13+$P$1*2,0),U13))))+IF(C13=$O$1,$P$1,)+IF(D13=$O$1,$P$1,)</f>
        <v>623</v>
      </c>
      <c r="G13" s="47"/>
      <c r="H13" s="47"/>
      <c r="I13" s="49">
        <f>IF(OR(M13="скрутка",M13="склейка"),Z13*2,Z13)</f>
        <v>1</v>
      </c>
      <c r="J13" s="53" t="str">
        <f>X13</f>
        <v>ЛДСП Lamarty 2750*1830*16 Белый б/к</v>
      </c>
      <c r="K13" s="52" t="str">
        <f>IF(ISBLANK(AB13),"",AB13)</f>
        <v/>
      </c>
      <c r="L13" s="52" t="str">
        <f>IF(ISBLANK(AC13),"",AC13)</f>
        <v/>
      </c>
      <c r="M13" s="51" t="str">
        <f>IF(AA13="","",AA13)</f>
        <v>паз ХДФ 8*4(уточнить);</v>
      </c>
      <c r="N13" s="30" t="str">
        <f>CONCATENATE(IF(E13&lt;&gt;T13,"НеРавны",),IF(AND(NOT(ISBLANK(R13)),R13&lt;&gt;T13),"Д",),IF(AND(NOT(ISBLANK(S13)),S13&lt;&gt;U13),"Ш",))</f>
        <v>Ш</v>
      </c>
      <c r="O13" s="22">
        <f>O12+1</f>
        <v>4</v>
      </c>
      <c r="P13" s="18" t="s">
        <v>196</v>
      </c>
      <c r="Q13" s="18">
        <v>1</v>
      </c>
      <c r="R13" s="18">
        <v>537</v>
      </c>
      <c r="S13" s="18">
        <v>624</v>
      </c>
      <c r="T13" s="3">
        <v>537</v>
      </c>
      <c r="U13" s="3">
        <v>623</v>
      </c>
      <c r="V13" s="23"/>
      <c r="W13" s="23" t="s">
        <v>228</v>
      </c>
      <c r="X13" s="26" t="str">
        <f>J182</f>
        <v>ЛДСП Lamarty 2750*1830*16 Белый б/к</v>
      </c>
      <c r="Y13" s="18" t="s">
        <v>158</v>
      </c>
      <c r="Z13" s="18">
        <v>1</v>
      </c>
      <c r="AA13" s="18" t="s">
        <v>204</v>
      </c>
      <c r="AB13" s="18"/>
      <c r="AC13" s="18"/>
      <c r="AD13" s="56"/>
    </row>
    <row r="14" spans="1:56" x14ac:dyDescent="0.25">
      <c r="A14" s="9" t="str">
        <f>CONCATENATE(O14,".",LEFT(J14))</f>
        <v>1.М</v>
      </c>
      <c r="B14" s="32" t="str">
        <f>CONCATENATE(IF(OR(Y14="Не определена",Y14,ISBLANK(Y14)),"↕",),IF(Y14="Не обязательна","±",),Q14,".",P14)</f>
        <v>1.фасад (мыло)</v>
      </c>
      <c r="C14" s="54" t="str">
        <f>I186</f>
        <v>-</v>
      </c>
      <c r="D14" s="54" t="str">
        <f>I186</f>
        <v>-</v>
      </c>
      <c r="E14" s="48">
        <f>IF(M14="скрутка",T14+$Q$1,IF(M14="склейка",T14+$Q$1,IF(M14="запил торца",ROUND(T14+$P$1,0),IF(M14="запил торцов",ROUND(T14+$P$1*2,0),T14))))+IF(G14=$O$1,$P$1,)+IF(H14=$O$1,$P$1,)</f>
        <v>357</v>
      </c>
      <c r="F14" s="48">
        <f>IF(M14="скрутка",U14+$Q$1,IF(M14="склейка",U14+$Q$1,IF(M14="запил торца",ROUND(U14+$P$1,0),IF(M14="запил торцов",ROUND(U14+$P$1*2,0),U14))))+IF(C14=$O$1,$P$1,)+IF(D14=$O$1,$P$1,)</f>
        <v>566</v>
      </c>
      <c r="G14" s="54" t="str">
        <f>I186</f>
        <v>-</v>
      </c>
      <c r="H14" s="54" t="str">
        <f>I186</f>
        <v>-</v>
      </c>
      <c r="I14" s="49">
        <f>IF(OR(M14="скрутка",M14="склейка"),Z14*2,Z14)</f>
        <v>1</v>
      </c>
      <c r="J14" s="53" t="str">
        <f>X14</f>
        <v>МДФ 2800х2070х16 лам. Белый 2 ст. б/к</v>
      </c>
      <c r="K14" s="52" t="str">
        <f>IF(ISBLANK(AB14),"",AB14)</f>
        <v>KHR Глянец</v>
      </c>
      <c r="L14" s="52" t="str">
        <f>IF(ISBLANK(AC14),"",AC14)</f>
        <v/>
      </c>
      <c r="M14" s="51" t="str">
        <f>IF(AA14="","",AA14)</f>
        <v/>
      </c>
      <c r="N14" s="30" t="str">
        <f>CONCATENATE(IF(E14&lt;&gt;T14,"НеРавны",),IF(AND(NOT(ISBLANK(R14)),R14&lt;&gt;T14),"Д",),IF(AND(NOT(ISBLANK(S14)),S14&lt;&gt;U14),"Ш",))</f>
        <v/>
      </c>
      <c r="O14" s="22">
        <v>1</v>
      </c>
      <c r="P14" s="18" t="s">
        <v>223</v>
      </c>
      <c r="Q14" s="18">
        <v>1</v>
      </c>
      <c r="R14" s="18">
        <v>357</v>
      </c>
      <c r="S14" s="18">
        <v>566</v>
      </c>
      <c r="T14" s="3">
        <v>357</v>
      </c>
      <c r="U14" s="3">
        <v>566</v>
      </c>
      <c r="V14" s="23"/>
      <c r="W14" s="23" t="s">
        <v>229</v>
      </c>
      <c r="X14" s="18" t="str">
        <f>J186</f>
        <v>МДФ 2800х2070х16 лам. Белый 2 ст. б/к</v>
      </c>
      <c r="Y14" s="18" t="s">
        <v>158</v>
      </c>
      <c r="Z14" s="18">
        <v>1</v>
      </c>
      <c r="AA14" s="18"/>
      <c r="AB14" s="18" t="str">
        <f>K179</f>
        <v>KHR Глянец</v>
      </c>
      <c r="AC14" s="18"/>
      <c r="AD14" s="56"/>
    </row>
    <row r="15" spans="1:56" x14ac:dyDescent="0.25">
      <c r="A15" s="9" t="str">
        <f>CONCATENATE(O15,".",LEFT(J15))</f>
        <v>2.М</v>
      </c>
      <c r="B15" s="32" t="str">
        <f>CONCATENATE(IF(OR(Y15="Не определена",Y15,ISBLANK(Y15)),"↕",),IF(Y15="Не обязательна","±",),Q15,".",P15)</f>
        <v>1.фасадная накладка (мыло)</v>
      </c>
      <c r="C15" s="54" t="str">
        <f>I186</f>
        <v>-</v>
      </c>
      <c r="D15" s="54" t="str">
        <f>I186</f>
        <v>-</v>
      </c>
      <c r="E15" s="48">
        <f>IF(M15="скрутка",T15+$Q$1,IF(M15="склейка",T15+$Q$1,IF(M15="запил торца",ROUND(T15+$P$1,0),IF(M15="запил торцов",ROUND(T15+$P$1*2,0),T15))))+IF(G15=$O$1,$P$1,)+IF(H15=$O$1,$P$1,)</f>
        <v>360</v>
      </c>
      <c r="F15" s="48">
        <f>IF(M15="скрутка",U15+$Q$1,IF(M15="склейка",U15+$Q$1,IF(M15="запил торца",ROUND(U15+$P$1,0),IF(M15="запил торцов",ROUND(U15+$P$1*2,0),U15))))+IF(C15=$O$1,$P$1,)+IF(D15=$O$1,$P$1,)</f>
        <v>374</v>
      </c>
      <c r="G15" s="54" t="str">
        <f>I186</f>
        <v>-</v>
      </c>
      <c r="H15" s="54" t="str">
        <f>I186</f>
        <v>-</v>
      </c>
      <c r="I15" s="49">
        <f>IF(OR(M15="скрутка",M15="склейка"),Z15*2,Z15)</f>
        <v>1</v>
      </c>
      <c r="J15" s="53" t="str">
        <f>X15</f>
        <v>МДФ 2800х2070х16 лам. Белый 2 ст. б/к</v>
      </c>
      <c r="K15" s="52" t="str">
        <f>IF(ISBLANK(AB15),"",AB15)</f>
        <v>KHR Глянец</v>
      </c>
      <c r="L15" s="52" t="str">
        <f>IF(ISBLANK(AC15),"",AC15)</f>
        <v/>
      </c>
      <c r="M15" s="51" t="str">
        <f>IF(AA15="","",AA15)</f>
        <v/>
      </c>
      <c r="N15" s="30" t="str">
        <f>CONCATENATE(IF(E15&lt;&gt;T15,"НеРавны",),IF(AND(NOT(ISBLANK(R15)),R15&lt;&gt;T15),"Д",),IF(AND(NOT(ISBLANK(S15)),S15&lt;&gt;U15),"Ш",))</f>
        <v/>
      </c>
      <c r="O15" s="22">
        <f>O14+1</f>
        <v>2</v>
      </c>
      <c r="P15" s="18" t="s">
        <v>205</v>
      </c>
      <c r="Q15" s="18">
        <v>1</v>
      </c>
      <c r="R15" s="18">
        <v>360</v>
      </c>
      <c r="S15" s="18">
        <v>374</v>
      </c>
      <c r="T15" s="3">
        <v>360</v>
      </c>
      <c r="U15" s="3">
        <v>374</v>
      </c>
      <c r="V15" s="23"/>
      <c r="W15" s="23" t="s">
        <v>229</v>
      </c>
      <c r="X15" s="26" t="str">
        <f>J186</f>
        <v>МДФ 2800х2070х16 лам. Белый 2 ст. б/к</v>
      </c>
      <c r="Y15" s="18" t="s">
        <v>158</v>
      </c>
      <c r="Z15" s="18">
        <v>1</v>
      </c>
      <c r="AA15" s="18"/>
      <c r="AB15" s="18" t="str">
        <f>K179</f>
        <v>KHR Глянец</v>
      </c>
      <c r="AC15" s="18"/>
      <c r="AD15" s="56"/>
    </row>
    <row r="16" spans="1:56" x14ac:dyDescent="0.25">
      <c r="A16" s="9" t="str">
        <f>CONCATENATE(O16,".",LEFT(J16))</f>
        <v>2.X</v>
      </c>
      <c r="B16" s="32" t="str">
        <f>CONCATENATE(IF(OR(Y16="Не определена",Y16,ISBLANK(Y16)),"↕",),IF(Y16="Не обязательна","±",),Q16,".",P16)</f>
        <v>2.задняя стенка</v>
      </c>
      <c r="C16" s="47"/>
      <c r="D16" s="47"/>
      <c r="E16" s="48">
        <f>IF(M16="скрутка",T16+$Q$1,IF(M16="склейка",T16+$Q$1,IF(M16="запил торца",ROUND(T16+$P$1,0),IF(M16="запил торцов",ROUND(T16+$P$1*2,0),T16))))+IF(G16=$O$1,$P$1,)+IF(H16=$O$1,$P$1,)</f>
        <v>582</v>
      </c>
      <c r="F16" s="48">
        <f>IF(M16="скрутка",U16+$Q$1,IF(M16="склейка",U16+$Q$1,IF(M16="запил торца",ROUND(U16+$P$1,0),IF(M16="запил торцов",ROUND(U16+$P$1*2,0),U16))))+IF(C16=$O$1,$P$1,)+IF(D16=$O$1,$P$1,)</f>
        <v>326</v>
      </c>
      <c r="G16" s="47"/>
      <c r="H16" s="47"/>
      <c r="I16" s="49">
        <f>IF(OR(M16="скрутка",M16="склейка"),Z16*2,Z16)</f>
        <v>1</v>
      </c>
      <c r="J16" s="111" t="str">
        <f>X16</f>
        <v>XДФ 2800*2070*4 Белый б/к</v>
      </c>
      <c r="K16" s="52" t="str">
        <f>IF(ISBLANK(AB16),"",AB16)</f>
        <v/>
      </c>
      <c r="L16" s="52" t="str">
        <f>IF(ISBLANK(AC16),"",AC16)</f>
        <v/>
      </c>
      <c r="M16" s="51" t="str">
        <f>IF(AA16="","",AA16)</f>
        <v/>
      </c>
      <c r="N16" s="30" t="str">
        <f>CONCATENATE(IF(E16&lt;&gt;T16,"НеРавны",),IF(AND(NOT(ISBLANK(R16)),R16&lt;&gt;T16),"Д",),IF(AND(NOT(ISBLANK(S16)),S16&lt;&gt;U16),"Ш",))</f>
        <v/>
      </c>
      <c r="O16" s="22">
        <f>O9+1</f>
        <v>2</v>
      </c>
      <c r="P16" s="18" t="s">
        <v>189</v>
      </c>
      <c r="Q16" s="18">
        <v>2</v>
      </c>
      <c r="R16" s="18">
        <v>582</v>
      </c>
      <c r="S16" s="18">
        <v>326</v>
      </c>
      <c r="T16" s="3">
        <v>582</v>
      </c>
      <c r="U16" s="3">
        <v>326</v>
      </c>
      <c r="V16" s="23"/>
      <c r="W16" s="23" t="s">
        <v>164</v>
      </c>
      <c r="X16" s="26" t="str">
        <f>X9</f>
        <v>XДФ 2800*2070*4 Белый б/к</v>
      </c>
      <c r="Y16" s="18" t="s">
        <v>158</v>
      </c>
      <c r="Z16" s="18">
        <v>1</v>
      </c>
      <c r="AA16" s="18"/>
      <c r="AB16" s="18"/>
      <c r="AC16" s="18"/>
      <c r="AD16" s="56"/>
    </row>
    <row r="17" spans="1:30" x14ac:dyDescent="0.25">
      <c r="A17" s="9" t="str">
        <f>CONCATENATE(O17,".",LEFT(J17))</f>
        <v>5.Л</v>
      </c>
      <c r="B17" s="32" t="str">
        <f>CONCATENATE(IF(OR(Y17="Не определена",Y17,ISBLANK(Y17)),"↕",),IF(Y17="Не обязательна","±",),Q17,".",P17)</f>
        <v>2.бок (паз_16)</v>
      </c>
      <c r="C17" s="54" t="str">
        <f>I182</f>
        <v>-</v>
      </c>
      <c r="D17" s="54" t="str">
        <f>I182</f>
        <v>-</v>
      </c>
      <c r="E17" s="48">
        <f>IF(M17="скрутка",T17+$Q$1,IF(M17="склейка",T17+$Q$1,IF(M17="запил торца",ROUND(T17+$P$1,0),IF(M17="запил торцов",ROUND(T17+$P$1*2,0),T17))))+IF(G17=$O$1,$P$1,)+IF(H17=$O$1,$P$1,)</f>
        <v>343</v>
      </c>
      <c r="F17" s="48">
        <f>IF(M17="скрутка",U17+$Q$1,IF(M17="склейка",U17+$Q$1,IF(M17="запил торца",ROUND(U17+$P$1,0),IF(M17="запил торцов",ROUND(U17+$P$1*2,0),U17))))+IF(C17=$O$1,$P$1,)+IF(D17=$O$1,$P$1,)</f>
        <v>623</v>
      </c>
      <c r="G17" s="54" t="str">
        <f>I182</f>
        <v>-</v>
      </c>
      <c r="H17" s="54" t="str">
        <f>I182</f>
        <v>-</v>
      </c>
      <c r="I17" s="49">
        <f>IF(OR(M17="скрутка",M17="склейка"),Z17*2,Z17)</f>
        <v>1</v>
      </c>
      <c r="J17" s="53" t="str">
        <f>X17</f>
        <v>ЛДСП Lamarty 2750*1830*16 Белый б/к</v>
      </c>
      <c r="K17" s="52" t="str">
        <f>IF(ISBLANK(AB17),"",AB17)</f>
        <v/>
      </c>
      <c r="L17" s="52" t="str">
        <f>IF(ISBLANK(AC17),"",AC17)</f>
        <v/>
      </c>
      <c r="M17" s="51" t="str">
        <f>IF(AA17="","",AA17)</f>
        <v>паз ХДФ 8*4(по длине);</v>
      </c>
      <c r="N17" s="30" t="str">
        <f>CONCATENATE(IF(E17&lt;&gt;T17,"НеРавны",),IF(AND(NOT(ISBLANK(R17)),R17&lt;&gt;T17),"Д",),IF(AND(NOT(ISBLANK(S17)),S17&lt;&gt;U17),"Ш",))</f>
        <v>ДШ</v>
      </c>
      <c r="O17" s="22">
        <f>O13+1</f>
        <v>5</v>
      </c>
      <c r="P17" s="18" t="s">
        <v>197</v>
      </c>
      <c r="Q17" s="18">
        <v>2</v>
      </c>
      <c r="R17" s="18">
        <v>344</v>
      </c>
      <c r="S17" s="18">
        <v>624</v>
      </c>
      <c r="T17" s="3">
        <v>343</v>
      </c>
      <c r="U17" s="3">
        <v>623</v>
      </c>
      <c r="V17" s="23"/>
      <c r="W17" s="23" t="s">
        <v>227</v>
      </c>
      <c r="X17" s="26" t="str">
        <f>J182</f>
        <v>ЛДСП Lamarty 2750*1830*16 Белый б/к</v>
      </c>
      <c r="Y17" s="18" t="s">
        <v>158</v>
      </c>
      <c r="Z17" s="18">
        <v>1</v>
      </c>
      <c r="AA17" s="18" t="s">
        <v>185</v>
      </c>
      <c r="AB17" s="18"/>
      <c r="AC17" s="18"/>
      <c r="AD17" s="56"/>
    </row>
    <row r="18" spans="1:30" x14ac:dyDescent="0.25">
      <c r="A18" s="9" t="str">
        <f>CONCATENATE(O18,".",LEFT(J18))</f>
        <v>6.Л</v>
      </c>
      <c r="B18" s="32" t="str">
        <f>CONCATENATE(IF(OR(Y18="Не определена",Y18,ISBLANK(Y18)),"↕",),IF(Y18="Не обязательна","±",),Q18,".",P18)</f>
        <v>2.бок (паз_16)</v>
      </c>
      <c r="C18" s="54" t="str">
        <f>I182</f>
        <v>-</v>
      </c>
      <c r="D18" s="54" t="str">
        <f>I182</f>
        <v>-</v>
      </c>
      <c r="E18" s="48">
        <f>IF(M18="скрутка",T18+$Q$1,IF(M18="склейка",T18+$Q$1,IF(M18="запил торца",ROUND(T18+$P$1,0),IF(M18="запил торцов",ROUND(T18+$P$1*2,0),T18))))+IF(G18=$O$1,$P$1,)+IF(H18=$O$1,$P$1,)</f>
        <v>343</v>
      </c>
      <c r="F18" s="48">
        <f>IF(M18="скрутка",U18+$Q$1,IF(M18="склейка",U18+$Q$1,IF(M18="запил торца",ROUND(U18+$P$1,0),IF(M18="запил торцов",ROUND(U18+$P$1*2,0),U18))))+IF(C18=$O$1,$P$1,)+IF(D18=$O$1,$P$1,)</f>
        <v>623</v>
      </c>
      <c r="G18" s="54" t="str">
        <f>I182</f>
        <v>-</v>
      </c>
      <c r="H18" s="54" t="str">
        <f>I182</f>
        <v>-</v>
      </c>
      <c r="I18" s="49">
        <f>IF(OR(M18="скрутка",M18="склейка"),Z18*2,Z18)</f>
        <v>1</v>
      </c>
      <c r="J18" s="53" t="str">
        <f>X18</f>
        <v>ЛДСП Lamarty 2750*1830*16 Белый б/к</v>
      </c>
      <c r="K18" s="52" t="str">
        <f>IF(ISBLANK(AB18),"",AB18)</f>
        <v/>
      </c>
      <c r="L18" s="52" t="str">
        <f>IF(ISBLANK(AC18),"",AC18)</f>
        <v/>
      </c>
      <c r="M18" s="51" t="str">
        <f>IF(AA18="","",AA18)</f>
        <v>паз ХДФ 8*4(по длине);</v>
      </c>
      <c r="N18" s="30" t="str">
        <f>CONCATENATE(IF(E18&lt;&gt;T18,"НеРавны",),IF(AND(NOT(ISBLANK(R18)),R18&lt;&gt;T18),"Д",),IF(AND(NOT(ISBLANK(S18)),S18&lt;&gt;U18),"Ш",))</f>
        <v>ДШ</v>
      </c>
      <c r="O18" s="22">
        <f>O17+1</f>
        <v>6</v>
      </c>
      <c r="P18" s="18" t="s">
        <v>197</v>
      </c>
      <c r="Q18" s="18">
        <v>2</v>
      </c>
      <c r="R18" s="18">
        <v>344</v>
      </c>
      <c r="S18" s="18">
        <v>624</v>
      </c>
      <c r="T18" s="3">
        <v>343</v>
      </c>
      <c r="U18" s="3">
        <v>623</v>
      </c>
      <c r="V18" s="23"/>
      <c r="W18" s="23" t="s">
        <v>227</v>
      </c>
      <c r="X18" s="26" t="str">
        <f>J182</f>
        <v>ЛДСП Lamarty 2750*1830*16 Белый б/к</v>
      </c>
      <c r="Y18" s="18" t="s">
        <v>158</v>
      </c>
      <c r="Z18" s="18">
        <v>1</v>
      </c>
      <c r="AA18" s="18" t="s">
        <v>185</v>
      </c>
      <c r="AB18" s="18"/>
      <c r="AC18" s="18"/>
      <c r="AD18" s="56"/>
    </row>
    <row r="19" spans="1:30" x14ac:dyDescent="0.25">
      <c r="A19" s="9" t="str">
        <f>CONCATENATE(O19,".",LEFT(J19))</f>
        <v>7.Л</v>
      </c>
      <c r="B19" s="32" t="str">
        <f>CONCATENATE(IF(OR(Y19="Не определена",Y19,ISBLANK(Y19)),"↕",),IF(Y19="Не обязательна","±",),Q19,".",P19)</f>
        <v>2.горизонт (паз_16)</v>
      </c>
      <c r="C19" s="54" t="str">
        <f>I182</f>
        <v>-</v>
      </c>
      <c r="D19" s="54" t="str">
        <f>I182</f>
        <v>-</v>
      </c>
      <c r="E19" s="48">
        <f>IF(M19="скрутка",T19+$Q$1,IF(M19="склейка",T19+$Q$1,IF(M19="запил торца",ROUND(T19+$P$1,0),IF(M19="запил торцов",ROUND(T19+$P$1*2,0),T19))))+IF(G19=$O$1,$P$1,)+IF(H19=$O$1,$P$1,)</f>
        <v>568</v>
      </c>
      <c r="F19" s="48">
        <f>IF(M19="скрутка",U19+$Q$1,IF(M19="склейка",U19+$Q$1,IF(M19="запил торца",ROUND(U19+$P$1,0),IF(M19="запил торцов",ROUND(U19+$P$1*2,0),U19))))+IF(C19=$O$1,$P$1,)+IF(D19=$O$1,$P$1,)</f>
        <v>623</v>
      </c>
      <c r="G19" s="47"/>
      <c r="H19" s="47"/>
      <c r="I19" s="49">
        <f>IF(OR(M19="скрутка",M19="склейка"),Z19*2,Z19)</f>
        <v>1</v>
      </c>
      <c r="J19" s="53" t="str">
        <f>X19</f>
        <v>ЛДСП Lamarty 2750*1830*16 Белый б/к</v>
      </c>
      <c r="K19" s="52" t="str">
        <f>IF(ISBLANK(AB19),"",AB19)</f>
        <v/>
      </c>
      <c r="L19" s="52" t="str">
        <f>IF(ISBLANK(AC19),"",AC19)</f>
        <v/>
      </c>
      <c r="M19" s="51" t="str">
        <f>IF(AA19="","",AA19)</f>
        <v>паз ХДФ*anna(уточнить);</v>
      </c>
      <c r="N19" s="30" t="str">
        <f>CONCATENATE(IF(E19&lt;&gt;T19,"НеРавны",),IF(AND(NOT(ISBLANK(R19)),R19&lt;&gt;T19),"Д",),IF(AND(NOT(ISBLANK(S19)),S19&lt;&gt;U19),"Ш",))</f>
        <v>Ш</v>
      </c>
      <c r="O19" s="22">
        <f>O18+1</f>
        <v>7</v>
      </c>
      <c r="P19" s="18" t="s">
        <v>196</v>
      </c>
      <c r="Q19" s="18">
        <v>2</v>
      </c>
      <c r="R19" s="18">
        <v>568</v>
      </c>
      <c r="S19" s="18">
        <v>624</v>
      </c>
      <c r="T19" s="3">
        <v>568</v>
      </c>
      <c r="U19" s="3">
        <v>623</v>
      </c>
      <c r="V19" s="23"/>
      <c r="W19" s="23" t="s">
        <v>228</v>
      </c>
      <c r="X19" s="26" t="str">
        <f>J182</f>
        <v>ЛДСП Lamarty 2750*1830*16 Белый б/к</v>
      </c>
      <c r="Y19" s="18" t="s">
        <v>158</v>
      </c>
      <c r="Z19" s="18">
        <v>1</v>
      </c>
      <c r="AA19" s="18" t="s">
        <v>203</v>
      </c>
      <c r="AB19" s="18"/>
      <c r="AC19" s="18"/>
      <c r="AD19" s="56"/>
    </row>
    <row r="20" spans="1:30" x14ac:dyDescent="0.25">
      <c r="A20" s="9" t="str">
        <f>CONCATENATE(O20,".",LEFT(J20))</f>
        <v>8.Л</v>
      </c>
      <c r="B20" s="32" t="str">
        <f>CONCATENATE(IF(OR(Y20="Не определена",Y20,ISBLANK(Y20)),"↕",),IF(Y20="Не обязательна","±",),Q20,".",P20)</f>
        <v>2.горизонт (паз_16)</v>
      </c>
      <c r="C20" s="54" t="str">
        <f>I182</f>
        <v>-</v>
      </c>
      <c r="D20" s="54" t="str">
        <f>I182</f>
        <v>-</v>
      </c>
      <c r="E20" s="48">
        <f>IF(M20="скрутка",T20+$Q$1,IF(M20="склейка",T20+$Q$1,IF(M20="запил торца",ROUND(T20+$P$1,0),IF(M20="запил торцов",ROUND(T20+$P$1*2,0),T20))))+IF(G20=$O$1,$P$1,)+IF(H20=$O$1,$P$1,)</f>
        <v>568</v>
      </c>
      <c r="F20" s="48">
        <f>IF(M20="скрутка",U20+$Q$1,IF(M20="склейка",U20+$Q$1,IF(M20="запил торца",ROUND(U20+$P$1,0),IF(M20="запил торцов",ROUND(U20+$P$1*2,0),U20))))+IF(C20=$O$1,$P$1,)+IF(D20=$O$1,$P$1,)</f>
        <v>623</v>
      </c>
      <c r="G20" s="47"/>
      <c r="H20" s="47"/>
      <c r="I20" s="49">
        <f>IF(OR(M20="скрутка",M20="склейка"),Z20*2,Z20)</f>
        <v>1</v>
      </c>
      <c r="J20" s="53" t="str">
        <f>X20</f>
        <v>ЛДСП Lamarty 2750*1830*16 Белый б/к</v>
      </c>
      <c r="K20" s="52" t="str">
        <f>IF(ISBLANK(AB20),"",AB20)</f>
        <v/>
      </c>
      <c r="L20" s="52" t="str">
        <f>IF(ISBLANK(AC20),"",AC20)</f>
        <v/>
      </c>
      <c r="M20" s="51" t="str">
        <f>IF(AA20="","",AA20)</f>
        <v>паз ХДФ 8*4(уточнить);</v>
      </c>
      <c r="N20" s="30" t="str">
        <f>CONCATENATE(IF(E20&lt;&gt;T20,"НеРавны",),IF(AND(NOT(ISBLANK(R20)),R20&lt;&gt;T20),"Д",),IF(AND(NOT(ISBLANK(S20)),S20&lt;&gt;U20),"Ш",))</f>
        <v>Ш</v>
      </c>
      <c r="O20" s="22">
        <f>O19+1</f>
        <v>8</v>
      </c>
      <c r="P20" s="18" t="s">
        <v>196</v>
      </c>
      <c r="Q20" s="18">
        <v>2</v>
      </c>
      <c r="R20" s="18">
        <v>568</v>
      </c>
      <c r="S20" s="18">
        <v>624</v>
      </c>
      <c r="T20" s="3">
        <v>568</v>
      </c>
      <c r="U20" s="3">
        <v>623</v>
      </c>
      <c r="V20" s="23"/>
      <c r="W20" s="23" t="s">
        <v>228</v>
      </c>
      <c r="X20" s="26" t="str">
        <f>J182</f>
        <v>ЛДСП Lamarty 2750*1830*16 Белый б/к</v>
      </c>
      <c r="Y20" s="18" t="s">
        <v>158</v>
      </c>
      <c r="Z20" s="18">
        <v>1</v>
      </c>
      <c r="AA20" s="18" t="s">
        <v>204</v>
      </c>
      <c r="AB20" s="18"/>
      <c r="AC20" s="18"/>
      <c r="AD20" s="56"/>
    </row>
    <row r="21" spans="1:30" x14ac:dyDescent="0.25">
      <c r="A21" s="9" t="str">
        <f>CONCATENATE(O21,".",LEFT(J21))</f>
        <v>3.М</v>
      </c>
      <c r="B21" s="32" t="str">
        <f>CONCATENATE(IF(OR(Y21="Не определена",Y21,ISBLANK(Y21)),"↕",),IF(Y21="Не обязательна","±",),Q21,".",P21)</f>
        <v>2.фасад (мыло)</v>
      </c>
      <c r="C21" s="54" t="str">
        <f>I186</f>
        <v>-</v>
      </c>
      <c r="D21" s="54" t="str">
        <f>I186</f>
        <v>-</v>
      </c>
      <c r="E21" s="48">
        <f>IF(M21="скрутка",T21+$Q$1,IF(M21="склейка",T21+$Q$1,IF(M21="запил торца",ROUND(T21+$P$1,0),IF(M21="запил торцов",ROUND(T21+$P$1*2,0),T21))))+IF(G21=$O$1,$P$1,)+IF(H21=$O$1,$P$1,)</f>
        <v>357</v>
      </c>
      <c r="F21" s="48">
        <f>IF(M21="скрутка",U21+$Q$1,IF(M21="склейка",U21+$Q$1,IF(M21="запил торца",ROUND(U21+$P$1,0),IF(M21="запил торцов",ROUND(U21+$P$1*2,0),U21))))+IF(C21=$O$1,$P$1,)+IF(D21=$O$1,$P$1,)</f>
        <v>597</v>
      </c>
      <c r="G21" s="54" t="str">
        <f>I186</f>
        <v>-</v>
      </c>
      <c r="H21" s="54" t="str">
        <f>I186</f>
        <v>-</v>
      </c>
      <c r="I21" s="49">
        <f>IF(OR(M21="скрутка",M21="склейка"),Z21*2,Z21)</f>
        <v>1</v>
      </c>
      <c r="J21" s="53" t="str">
        <f>X21</f>
        <v>МДФ 2800х2070х16 лам. Белый 2 ст. б/к</v>
      </c>
      <c r="K21" s="52" t="str">
        <f>IF(ISBLANK(AB21),"",AB21)</f>
        <v>KHR Глянец</v>
      </c>
      <c r="L21" s="52" t="str">
        <f>IF(ISBLANK(AC21),"",AC21)</f>
        <v/>
      </c>
      <c r="M21" s="51" t="str">
        <f>IF(AA21="","",AA21)</f>
        <v/>
      </c>
      <c r="N21" s="30" t="str">
        <f>CONCATENATE(IF(E21&lt;&gt;T21,"НеРавны",),IF(AND(NOT(ISBLANK(R21)),R21&lt;&gt;T21),"Д",),IF(AND(NOT(ISBLANK(S21)),S21&lt;&gt;U21),"Ш",))</f>
        <v/>
      </c>
      <c r="O21" s="22">
        <f>O15+1</f>
        <v>3</v>
      </c>
      <c r="P21" s="18" t="s">
        <v>223</v>
      </c>
      <c r="Q21" s="18">
        <v>2</v>
      </c>
      <c r="R21" s="18">
        <v>357</v>
      </c>
      <c r="S21" s="18">
        <v>597</v>
      </c>
      <c r="T21" s="3">
        <v>357</v>
      </c>
      <c r="U21" s="3">
        <v>597</v>
      </c>
      <c r="V21" s="23"/>
      <c r="W21" s="23" t="s">
        <v>229</v>
      </c>
      <c r="X21" s="26" t="str">
        <f>J186</f>
        <v>МДФ 2800х2070х16 лам. Белый 2 ст. б/к</v>
      </c>
      <c r="Y21" s="18" t="s">
        <v>158</v>
      </c>
      <c r="Z21" s="18">
        <v>1</v>
      </c>
      <c r="AA21" s="18"/>
      <c r="AB21" s="18" t="str">
        <f>K179</f>
        <v>KHR Глянец</v>
      </c>
      <c r="AC21" s="18"/>
      <c r="AD21" s="56"/>
    </row>
    <row r="22" spans="1:30" x14ac:dyDescent="0.25">
      <c r="A22" s="9" t="str">
        <f>CONCATENATE(O22,".",LEFT(J22))</f>
        <v>9.Л</v>
      </c>
      <c r="B22" s="32" t="str">
        <f>CONCATENATE(IF(OR(Y22="Не определена",Y22,ISBLANK(Y22)),"↕",),IF(Y22="Не обязательна","±",),Q22,".",P22)</f>
        <v>3.бок (паз_16)</v>
      </c>
      <c r="C22" s="54" t="str">
        <f>I182</f>
        <v>-</v>
      </c>
      <c r="D22" s="54" t="str">
        <f>I182</f>
        <v>-</v>
      </c>
      <c r="E22" s="48">
        <f>IF(M22="скрутка",T22+$Q$1,IF(M22="склейка",T22+$Q$1,IF(M22="запил торца",ROUND(T22+$P$1,0),IF(M22="запил торцов",ROUND(T22+$P$1*2,0),T22))))+IF(G22=$O$1,$P$1,)+IF(H22=$O$1,$P$1,)</f>
        <v>343</v>
      </c>
      <c r="F22" s="48">
        <f>IF(M22="скрутка",U22+$Q$1,IF(M22="склейка",U22+$Q$1,IF(M22="запил торца",ROUND(U22+$P$1,0),IF(M22="запил торцов",ROUND(U22+$P$1*2,0),U22))))+IF(C22=$O$1,$P$1,)+IF(D22=$O$1,$P$1,)</f>
        <v>411</v>
      </c>
      <c r="G22" s="54" t="str">
        <f>I182</f>
        <v>-</v>
      </c>
      <c r="H22" s="54" t="str">
        <f>I182</f>
        <v>-</v>
      </c>
      <c r="I22" s="49">
        <f>IF(OR(M22="скрутка",M22="склейка"),Z22*2,Z22)</f>
        <v>1</v>
      </c>
      <c r="J22" s="53" t="str">
        <f>X22</f>
        <v>ЛДСП Lamarty 2750*1830*16 Белый б/к</v>
      </c>
      <c r="K22" s="52" t="str">
        <f>IF(ISBLANK(AB22),"",AB22)</f>
        <v/>
      </c>
      <c r="L22" s="52" t="str">
        <f>IF(ISBLANK(AC22),"",AC22)</f>
        <v/>
      </c>
      <c r="M22" s="51" t="str">
        <f>IF(AA22="","",AA22)</f>
        <v/>
      </c>
      <c r="N22" s="30" t="str">
        <f>CONCATENATE(IF(E22&lt;&gt;T22,"НеРавны",),IF(AND(NOT(ISBLANK(R22)),R22&lt;&gt;T22),"Д",),IF(AND(NOT(ISBLANK(S22)),S22&lt;&gt;U22),"Ш",))</f>
        <v>ДШ</v>
      </c>
      <c r="O22" s="22">
        <f>O20+1</f>
        <v>9</v>
      </c>
      <c r="P22" s="18" t="s">
        <v>197</v>
      </c>
      <c r="Q22" s="18">
        <v>3</v>
      </c>
      <c r="R22" s="18">
        <v>344</v>
      </c>
      <c r="S22" s="18">
        <v>412</v>
      </c>
      <c r="T22" s="3">
        <v>343</v>
      </c>
      <c r="U22" s="3">
        <v>411</v>
      </c>
      <c r="V22" s="23"/>
      <c r="W22" s="23" t="s">
        <v>227</v>
      </c>
      <c r="X22" s="26" t="str">
        <f>J182</f>
        <v>ЛДСП Lamarty 2750*1830*16 Белый б/к</v>
      </c>
      <c r="Y22" s="18" t="s">
        <v>158</v>
      </c>
      <c r="Z22" s="18">
        <v>1</v>
      </c>
      <c r="AA22" s="18"/>
      <c r="AB22" s="18"/>
      <c r="AC22" s="18"/>
      <c r="AD22" s="56"/>
    </row>
    <row r="23" spans="1:30" x14ac:dyDescent="0.25">
      <c r="A23" s="9" t="str">
        <f>CONCATENATE(O23,".",LEFT(J23))</f>
        <v>10.Л</v>
      </c>
      <c r="B23" s="32" t="str">
        <f>CONCATENATE(IF(OR(Y23="Не определена",Y23,ISBLANK(Y23)),"↕",),IF(Y23="Не обязательна","±",),Q23,".",P23)</f>
        <v>3.бок (паз_16)</v>
      </c>
      <c r="C23" s="54" t="str">
        <f>I182</f>
        <v>-</v>
      </c>
      <c r="D23" s="54" t="str">
        <f>I182</f>
        <v>-</v>
      </c>
      <c r="E23" s="48">
        <f>IF(M23="скрутка",T23+$Q$1,IF(M23="склейка",T23+$Q$1,IF(M23="запил торца",ROUND(T23+$P$1,0),IF(M23="запил торцов",ROUND(T23+$P$1*2,0),T23))))+IF(G23=$O$1,$P$1,)+IF(H23=$O$1,$P$1,)</f>
        <v>343</v>
      </c>
      <c r="F23" s="48">
        <f>IF(M23="скрутка",U23+$Q$1,IF(M23="склейка",U23+$Q$1,IF(M23="запил торца",ROUND(U23+$P$1,0),IF(M23="запил торцов",ROUND(U23+$P$1*2,0),U23))))+IF(C23=$O$1,$P$1,)+IF(D23=$O$1,$P$1,)</f>
        <v>623</v>
      </c>
      <c r="G23" s="54" t="str">
        <f>I182</f>
        <v>-</v>
      </c>
      <c r="H23" s="54" t="str">
        <f>I182</f>
        <v>-</v>
      </c>
      <c r="I23" s="49">
        <f>IF(OR(M23="скрутка",M23="склейка"),Z23*2,Z23)</f>
        <v>1</v>
      </c>
      <c r="J23" s="53" t="str">
        <f>X23</f>
        <v>ЛДСП Lamarty 2750*1830*16 Белый б/к</v>
      </c>
      <c r="K23" s="52" t="str">
        <f>IF(ISBLANK(AB23),"",AB23)</f>
        <v/>
      </c>
      <c r="L23" s="52" t="str">
        <f>IF(ISBLANK(AC23),"",AC23)</f>
        <v/>
      </c>
      <c r="M23" s="51" t="str">
        <f>IF(AA23="","",AA23)</f>
        <v/>
      </c>
      <c r="N23" s="30" t="str">
        <f>CONCATENATE(IF(E23&lt;&gt;T23,"НеРавны",),IF(AND(NOT(ISBLANK(R23)),R23&lt;&gt;T23),"Д",),IF(AND(NOT(ISBLANK(S23)),S23&lt;&gt;U23),"Ш",))</f>
        <v>ДШ</v>
      </c>
      <c r="O23" s="22">
        <f>O22+1</f>
        <v>10</v>
      </c>
      <c r="P23" s="18" t="s">
        <v>197</v>
      </c>
      <c r="Q23" s="18">
        <v>3</v>
      </c>
      <c r="R23" s="18">
        <v>344</v>
      </c>
      <c r="S23" s="18">
        <v>624</v>
      </c>
      <c r="T23" s="3">
        <v>343</v>
      </c>
      <c r="U23" s="3">
        <v>623</v>
      </c>
      <c r="V23" s="23"/>
      <c r="W23" s="23" t="s">
        <v>227</v>
      </c>
      <c r="X23" s="26" t="str">
        <f>J182</f>
        <v>ЛДСП Lamarty 2750*1830*16 Белый б/к</v>
      </c>
      <c r="Y23" s="18" t="s">
        <v>158</v>
      </c>
      <c r="Z23" s="18">
        <v>1</v>
      </c>
      <c r="AA23" s="18"/>
      <c r="AB23" s="18"/>
      <c r="AC23" s="18"/>
      <c r="AD23" s="56"/>
    </row>
    <row r="24" spans="1:30" x14ac:dyDescent="0.25">
      <c r="A24" s="9" t="str">
        <f>CONCATENATE(O24,".",LEFT(J24))</f>
        <v>11.Л</v>
      </c>
      <c r="B24" s="32" t="str">
        <f>CONCATENATE(IF(OR(Y24="Не определена",Y24,ISBLANK(Y24)),"↕",),IF(Y24="Не обязательна","±",),Q24,".",P24)</f>
        <v>3.горизонт</v>
      </c>
      <c r="C24" s="54" t="str">
        <f>I182</f>
        <v>-</v>
      </c>
      <c r="D24" s="54" t="str">
        <f>I182</f>
        <v>-</v>
      </c>
      <c r="E24" s="48">
        <f>IF(M24="скрутка",T24+$Q$1,IF(M24="склейка",T24+$Q$1,IF(M24="запил торца",ROUND(T24+$P$1,0),IF(M24="запил торцов",ROUND(T24+$P$1*2,0),T24))))+IF(G24=$O$1,$P$1,)+IF(H24=$O$1,$P$1,)</f>
        <v>568</v>
      </c>
      <c r="F24" s="48">
        <f>IF(M24="скрутка",U24+$Q$1,IF(M24="склейка",U24+$Q$1,IF(M24="запил торца",ROUND(U24+$P$1,0),IF(M24="запил торцов",ROUND(U24+$P$1*2,0),U24))))+IF(C24=$O$1,$P$1,)+IF(D24=$O$1,$P$1,)</f>
        <v>411</v>
      </c>
      <c r="G24" s="47"/>
      <c r="H24" s="47"/>
      <c r="I24" s="49">
        <f>IF(OR(M24="скрутка",M24="склейка"),Z24*2,Z24)</f>
        <v>1</v>
      </c>
      <c r="J24" s="53" t="str">
        <f>X24</f>
        <v>ЛДСП Lamarty 2750*1830*16 Белый б/к</v>
      </c>
      <c r="K24" s="52" t="str">
        <f>IF(ISBLANK(AB24),"",AB24)</f>
        <v/>
      </c>
      <c r="L24" s="52" t="str">
        <f>IF(ISBLANK(AC24),"",AC24)</f>
        <v/>
      </c>
      <c r="M24" s="51" t="str">
        <f>IF(AA24="","",AA24)</f>
        <v/>
      </c>
      <c r="N24" s="30" t="str">
        <f>CONCATENATE(IF(E24&lt;&gt;T24,"НеРавны",),IF(AND(NOT(ISBLANK(R24)),R24&lt;&gt;T24),"Д",),IF(AND(NOT(ISBLANK(S24)),S24&lt;&gt;U24),"Ш",))</f>
        <v>Ш</v>
      </c>
      <c r="O24" s="22">
        <f>O23+1</f>
        <v>11</v>
      </c>
      <c r="P24" s="18" t="s">
        <v>206</v>
      </c>
      <c r="Q24" s="18">
        <v>3</v>
      </c>
      <c r="R24" s="18">
        <v>568</v>
      </c>
      <c r="S24" s="18">
        <v>412</v>
      </c>
      <c r="T24" s="3">
        <v>568</v>
      </c>
      <c r="U24" s="3">
        <v>411</v>
      </c>
      <c r="V24" s="23"/>
      <c r="W24" s="23" t="s">
        <v>228</v>
      </c>
      <c r="X24" s="26" t="str">
        <f>J182</f>
        <v>ЛДСП Lamarty 2750*1830*16 Белый б/к</v>
      </c>
      <c r="Y24" s="18" t="s">
        <v>158</v>
      </c>
      <c r="Z24" s="18">
        <v>1</v>
      </c>
      <c r="AA24" s="18"/>
      <c r="AB24" s="18"/>
      <c r="AC24" s="18"/>
      <c r="AD24" s="56"/>
    </row>
    <row r="25" spans="1:30" x14ac:dyDescent="0.25">
      <c r="A25" s="9" t="str">
        <f>CONCATENATE(O25,".",LEFT(J25))</f>
        <v>12.Л</v>
      </c>
      <c r="B25" s="32" t="str">
        <f>CONCATENATE(IF(OR(Y25="Не определена",Y25,ISBLANK(Y25)),"↕",),IF(Y25="Не обязательна","±",),Q25,".",P25)</f>
        <v>3.горизонт</v>
      </c>
      <c r="C25" s="54" t="str">
        <f>I182</f>
        <v>-</v>
      </c>
      <c r="D25" s="54" t="str">
        <f>I182</f>
        <v>-</v>
      </c>
      <c r="E25" s="48">
        <f>IF(M25="скрутка",T25+$Q$1,IF(M25="склейка",T25+$Q$1,IF(M25="запил торца",ROUND(T25+$P$1,0),IF(M25="запил торцов",ROUND(T25+$P$1*2,0),T25))))+IF(G25=$O$1,$P$1,)+IF(H25=$O$1,$P$1,)</f>
        <v>568</v>
      </c>
      <c r="F25" s="48">
        <f>IF(M25="скрутка",U25+$Q$1,IF(M25="склейка",U25+$Q$1,IF(M25="запил торца",ROUND(U25+$P$1,0),IF(M25="запил торцов",ROUND(U25+$P$1*2,0),U25))))+IF(C25=$O$1,$P$1,)+IF(D25=$O$1,$P$1,)</f>
        <v>411</v>
      </c>
      <c r="G25" s="47"/>
      <c r="H25" s="47"/>
      <c r="I25" s="49">
        <f>IF(OR(M25="скрутка",M25="склейка"),Z25*2,Z25)</f>
        <v>1</v>
      </c>
      <c r="J25" s="53" t="str">
        <f>X25</f>
        <v>ЛДСП Lamarty 2750*1830*16 Белый б/к</v>
      </c>
      <c r="K25" s="52" t="str">
        <f>IF(ISBLANK(AB25),"",AB25)</f>
        <v/>
      </c>
      <c r="L25" s="52" t="str">
        <f>IF(ISBLANK(AC25),"",AC25)</f>
        <v/>
      </c>
      <c r="M25" s="51" t="str">
        <f>IF(AA25="","",AA25)</f>
        <v/>
      </c>
      <c r="N25" s="30" t="str">
        <f>CONCATENATE(IF(E25&lt;&gt;T25,"НеРавны",),IF(AND(NOT(ISBLANK(R25)),R25&lt;&gt;T25),"Д",),IF(AND(NOT(ISBLANK(S25)),S25&lt;&gt;U25),"Ш",))</f>
        <v>Ш</v>
      </c>
      <c r="O25" s="22">
        <f>O24+1</f>
        <v>12</v>
      </c>
      <c r="P25" s="18" t="s">
        <v>206</v>
      </c>
      <c r="Q25" s="18">
        <v>3</v>
      </c>
      <c r="R25" s="18">
        <v>568</v>
      </c>
      <c r="S25" s="18">
        <v>412</v>
      </c>
      <c r="T25" s="3">
        <v>568</v>
      </c>
      <c r="U25" s="3">
        <v>411</v>
      </c>
      <c r="V25" s="23"/>
      <c r="W25" s="23" t="s">
        <v>228</v>
      </c>
      <c r="X25" s="26" t="str">
        <f>J182</f>
        <v>ЛДСП Lamarty 2750*1830*16 Белый б/к</v>
      </c>
      <c r="Y25" s="18" t="s">
        <v>158</v>
      </c>
      <c r="Z25" s="18">
        <v>1</v>
      </c>
      <c r="AA25" s="18"/>
      <c r="AB25" s="18"/>
      <c r="AC25" s="18"/>
      <c r="AD25" s="56"/>
    </row>
    <row r="26" spans="1:30" x14ac:dyDescent="0.25">
      <c r="A26" s="9" t="str">
        <f>CONCATENATE(O26,".",LEFT(J26))</f>
        <v>13.Л</v>
      </c>
      <c r="B26" s="32" t="str">
        <f>CONCATENATE(IF(OR(Y26="Не определена",Y26,ISBLANK(Y26)),"↕",),IF(Y26="Не обязательна","±",),Q26,".",P26)</f>
        <v>3.щит</v>
      </c>
      <c r="C26" s="54" t="str">
        <f>I182</f>
        <v>-</v>
      </c>
      <c r="D26" s="54" t="str">
        <f>I182</f>
        <v>-</v>
      </c>
      <c r="E26" s="48">
        <f>IF(M26="скрутка",T26+$Q$1,IF(M26="склейка",T26+$Q$1,IF(M26="запил торца",ROUND(T26+$P$1,0),IF(M26="запил торцов",ROUND(T26+$P$1*2,0),T26))))+IF(G26=$O$1,$P$1,)+IF(H26=$O$1,$P$1,)</f>
        <v>310</v>
      </c>
      <c r="F26" s="48">
        <f>IF(M26="скрутка",U26+$Q$1,IF(M26="склейка",U26+$Q$1,IF(M26="запил торца",ROUND(U26+$P$1,0),IF(M26="запил торцов",ROUND(U26+$P$1*2,0),U26))))+IF(C26=$O$1,$P$1,)+IF(D26=$O$1,$P$1,)</f>
        <v>566</v>
      </c>
      <c r="G26" s="54" t="str">
        <f>I182</f>
        <v>-</v>
      </c>
      <c r="H26" s="54" t="str">
        <f>I182</f>
        <v>-</v>
      </c>
      <c r="I26" s="49">
        <f>IF(OR(M26="скрутка",M26="склейка"),Z26*2,Z26)</f>
        <v>1</v>
      </c>
      <c r="J26" s="53" t="str">
        <f>X26</f>
        <v>ЛДСП Lamarty 2750*1830*16 Белый б/к</v>
      </c>
      <c r="K26" s="52" t="str">
        <f>IF(ISBLANK(AB26),"",AB26)</f>
        <v/>
      </c>
      <c r="L26" s="52" t="str">
        <f>IF(ISBLANK(AC26),"",AC26)</f>
        <v/>
      </c>
      <c r="M26" s="51" t="str">
        <f>IF(AA26="","",AA26)</f>
        <v/>
      </c>
      <c r="N26" s="30" t="str">
        <f>CONCATENATE(IF(E26&lt;&gt;T26,"НеРавны",),IF(AND(NOT(ISBLANK(R26)),R26&lt;&gt;T26),"Д",),IF(AND(NOT(ISBLANK(S26)),S26&lt;&gt;U26),"Ш",))</f>
        <v>ДШ</v>
      </c>
      <c r="O26" s="22">
        <f>O25+1</f>
        <v>13</v>
      </c>
      <c r="P26" s="18" t="s">
        <v>207</v>
      </c>
      <c r="Q26" s="18">
        <v>3</v>
      </c>
      <c r="R26" s="18">
        <v>311</v>
      </c>
      <c r="S26" s="18">
        <v>567</v>
      </c>
      <c r="T26" s="3">
        <v>310</v>
      </c>
      <c r="U26" s="3">
        <v>566</v>
      </c>
      <c r="V26" s="23"/>
      <c r="W26" s="23" t="s">
        <v>227</v>
      </c>
      <c r="X26" s="26" t="str">
        <f>J182</f>
        <v>ЛДСП Lamarty 2750*1830*16 Белый б/к</v>
      </c>
      <c r="Y26" s="18" t="s">
        <v>158</v>
      </c>
      <c r="Z26" s="18">
        <v>1</v>
      </c>
      <c r="AA26" s="18"/>
      <c r="AB26" s="18"/>
      <c r="AC26" s="18"/>
      <c r="AD26" s="56"/>
    </row>
    <row r="27" spans="1:30" x14ac:dyDescent="0.25">
      <c r="A27" s="9" t="str">
        <f>CONCATENATE(O27,".",LEFT(J27))</f>
        <v>4.М</v>
      </c>
      <c r="B27" s="32" t="str">
        <f>CONCATENATE(IF(OR(Y27="Не определена",Y27,ISBLANK(Y27)),"↕",),IF(Y27="Не обязательна","±",),Q27,".",P27)</f>
        <v>3.фасад (мыло)</v>
      </c>
      <c r="C27" s="54" t="str">
        <f>I186</f>
        <v>-</v>
      </c>
      <c r="D27" s="54" t="str">
        <f>I186</f>
        <v>-</v>
      </c>
      <c r="E27" s="48">
        <f>IF(M27="скрутка",T27+$Q$1,IF(M27="склейка",T27+$Q$1,IF(M27="запил торца",ROUND(T27+$P$1,0),IF(M27="запил торцов",ROUND(T27+$P$1*2,0),T27))))+IF(G27=$O$1,$P$1,)+IF(H27=$O$1,$P$1,)</f>
        <v>357</v>
      </c>
      <c r="F27" s="48">
        <f>IF(M27="скрутка",U27+$Q$1,IF(M27="склейка",U27+$Q$1,IF(M27="запил торца",ROUND(U27+$P$1,0),IF(M27="запил торцов",ROUND(U27+$P$1*2,0),U27))))+IF(C27=$O$1,$P$1,)+IF(D27=$O$1,$P$1,)</f>
        <v>597</v>
      </c>
      <c r="G27" s="54" t="str">
        <f>I186</f>
        <v>-</v>
      </c>
      <c r="H27" s="54" t="str">
        <f>I186</f>
        <v>-</v>
      </c>
      <c r="I27" s="49">
        <f>IF(OR(M27="скрутка",M27="склейка"),Z27*2,Z27)</f>
        <v>1</v>
      </c>
      <c r="J27" s="53" t="str">
        <f>X27</f>
        <v>МДФ 2800х2070х16 лам. Белый 2 ст. б/к</v>
      </c>
      <c r="K27" s="52" t="str">
        <f>IF(ISBLANK(AB27),"",AB27)</f>
        <v>KHR Глянец</v>
      </c>
      <c r="L27" s="52" t="str">
        <f>IF(ISBLANK(AC27),"",AC27)</f>
        <v/>
      </c>
      <c r="M27" s="51" t="str">
        <f>IF(AA27="","",AA27)</f>
        <v/>
      </c>
      <c r="N27" s="30" t="str">
        <f>CONCATENATE(IF(E27&lt;&gt;T27,"НеРавны",),IF(AND(NOT(ISBLANK(R27)),R27&lt;&gt;T27),"Д",),IF(AND(NOT(ISBLANK(S27)),S27&lt;&gt;U27),"Ш",))</f>
        <v/>
      </c>
      <c r="O27" s="22">
        <f>O21+1</f>
        <v>4</v>
      </c>
      <c r="P27" s="18" t="s">
        <v>223</v>
      </c>
      <c r="Q27" s="18">
        <v>3</v>
      </c>
      <c r="R27" s="18">
        <v>357</v>
      </c>
      <c r="S27" s="18">
        <v>597</v>
      </c>
      <c r="T27" s="3">
        <v>357</v>
      </c>
      <c r="U27" s="3">
        <v>597</v>
      </c>
      <c r="V27" s="23"/>
      <c r="W27" s="23" t="s">
        <v>229</v>
      </c>
      <c r="X27" s="26" t="str">
        <f>J186</f>
        <v>МДФ 2800х2070х16 лам. Белый 2 ст. б/к</v>
      </c>
      <c r="Y27" s="18" t="s">
        <v>158</v>
      </c>
      <c r="Z27" s="18">
        <v>1</v>
      </c>
      <c r="AA27" s="18"/>
      <c r="AB27" s="18" t="str">
        <f>K179</f>
        <v>KHR Глянец</v>
      </c>
      <c r="AC27" s="18"/>
      <c r="AD27" s="56"/>
    </row>
    <row r="28" spans="1:30" x14ac:dyDescent="0.25">
      <c r="A28" s="9" t="str">
        <f>CONCATENATE(O28,".",LEFT(J28))</f>
        <v>14.Л</v>
      </c>
      <c r="B28" s="32" t="str">
        <f>CONCATENATE(IF(OR(Y28="Не определена",Y28,ISBLANK(Y28)),"↕",),IF(Y28="Не обязательна","±",),Q28,".",P28)</f>
        <v>4.бок (паз_16)</v>
      </c>
      <c r="C28" s="54" t="str">
        <f>I182</f>
        <v>-</v>
      </c>
      <c r="D28" s="54" t="str">
        <f>I182</f>
        <v>-</v>
      </c>
      <c r="E28" s="48">
        <f>IF(M28="скрутка",T28+$Q$1,IF(M28="склейка",T28+$Q$1,IF(M28="запил торца",ROUND(T28+$P$1,0),IF(M28="запил торцов",ROUND(T28+$P$1*2,0),T28))))+IF(G28=$O$1,$P$1,)+IF(H28=$O$1,$P$1,)</f>
        <v>343</v>
      </c>
      <c r="F28" s="48">
        <f>IF(M28="скрутка",U28+$Q$1,IF(M28="склейка",U28+$Q$1,IF(M28="запил торца",ROUND(U28+$P$1,0),IF(M28="запил торцов",ROUND(U28+$P$1*2,0),U28))))+IF(C28=$O$1,$P$1,)+IF(D28=$O$1,$P$1,)</f>
        <v>623</v>
      </c>
      <c r="G28" s="54" t="str">
        <f>I182</f>
        <v>-</v>
      </c>
      <c r="H28" s="54" t="str">
        <f>I182</f>
        <v>-</v>
      </c>
      <c r="I28" s="49">
        <f>IF(OR(M28="скрутка",M28="склейка"),Z28*2,Z28)</f>
        <v>1</v>
      </c>
      <c r="J28" s="53" t="str">
        <f>X28</f>
        <v>ЛДСП Lamarty 2750*1830*16 Белый б/к</v>
      </c>
      <c r="K28" s="52" t="str">
        <f>IF(ISBLANK(AB28),"",AB28)</f>
        <v/>
      </c>
      <c r="L28" s="52" t="str">
        <f>IF(ISBLANK(AC28),"",AC28)</f>
        <v/>
      </c>
      <c r="M28" s="51" t="str">
        <f>IF(AA28="","",AA28)</f>
        <v/>
      </c>
      <c r="N28" s="30" t="str">
        <f>CONCATENATE(IF(E28&lt;&gt;T28,"НеРавны",),IF(AND(NOT(ISBLANK(R28)),R28&lt;&gt;T28),"Д",),IF(AND(NOT(ISBLANK(S28)),S28&lt;&gt;U28),"Ш",))</f>
        <v>ДШ</v>
      </c>
      <c r="O28" s="22">
        <f>O26+1</f>
        <v>14</v>
      </c>
      <c r="P28" s="18" t="s">
        <v>197</v>
      </c>
      <c r="Q28" s="18">
        <v>4</v>
      </c>
      <c r="R28" s="18">
        <v>344</v>
      </c>
      <c r="S28" s="18">
        <v>624</v>
      </c>
      <c r="T28" s="3">
        <v>343</v>
      </c>
      <c r="U28" s="3">
        <v>623</v>
      </c>
      <c r="V28" s="23"/>
      <c r="W28" s="23" t="s">
        <v>227</v>
      </c>
      <c r="X28" s="26" t="str">
        <f>J182</f>
        <v>ЛДСП Lamarty 2750*1830*16 Белый б/к</v>
      </c>
      <c r="Y28" s="18" t="s">
        <v>158</v>
      </c>
      <c r="Z28" s="18">
        <v>1</v>
      </c>
      <c r="AA28" s="18"/>
      <c r="AB28" s="18"/>
      <c r="AC28" s="18"/>
      <c r="AD28" s="56"/>
    </row>
    <row r="29" spans="1:30" x14ac:dyDescent="0.25">
      <c r="A29" s="9" t="str">
        <f>CONCATENATE(O29,".",LEFT(J29))</f>
        <v>15.Л</v>
      </c>
      <c r="B29" s="32" t="str">
        <f>CONCATENATE(IF(OR(Y29="Не определена",Y29,ISBLANK(Y29)),"↕",),IF(Y29="Не обязательна","±",),Q29,".",P29)</f>
        <v>4.бок (паз_16)</v>
      </c>
      <c r="C29" s="54" t="str">
        <f>I182</f>
        <v>-</v>
      </c>
      <c r="D29" s="54" t="str">
        <f>I182</f>
        <v>-</v>
      </c>
      <c r="E29" s="48">
        <f>IF(M29="скрутка",T29+$Q$1,IF(M29="склейка",T29+$Q$1,IF(M29="запил торца",ROUND(T29+$P$1,0),IF(M29="запил торцов",ROUND(T29+$P$1*2,0),T29))))+IF(G29=$O$1,$P$1,)+IF(H29=$O$1,$P$1,)</f>
        <v>343</v>
      </c>
      <c r="F29" s="48">
        <f>IF(M29="скрутка",U29+$Q$1,IF(M29="склейка",U29+$Q$1,IF(M29="запил торца",ROUND(U29+$P$1,0),IF(M29="запил торцов",ROUND(U29+$P$1*2,0),U29))))+IF(C29=$O$1,$P$1,)+IF(D29=$O$1,$P$1,)</f>
        <v>411</v>
      </c>
      <c r="G29" s="54" t="str">
        <f>I182</f>
        <v>-</v>
      </c>
      <c r="H29" s="54" t="str">
        <f>I182</f>
        <v>-</v>
      </c>
      <c r="I29" s="49">
        <f>IF(OR(M29="скрутка",M29="склейка"),Z29*2,Z29)</f>
        <v>1</v>
      </c>
      <c r="J29" s="53" t="str">
        <f>X29</f>
        <v>ЛДСП Lamarty 2750*1830*16 Белый б/к</v>
      </c>
      <c r="K29" s="52" t="str">
        <f>IF(ISBLANK(AB29),"",AB29)</f>
        <v/>
      </c>
      <c r="L29" s="52" t="str">
        <f>IF(ISBLANK(AC29),"",AC29)</f>
        <v/>
      </c>
      <c r="M29" s="51" t="str">
        <f>IF(AA29="","",AA29)</f>
        <v/>
      </c>
      <c r="N29" s="30" t="str">
        <f>CONCATENATE(IF(E29&lt;&gt;T29,"НеРавны",),IF(AND(NOT(ISBLANK(R29)),R29&lt;&gt;T29),"Д",),IF(AND(NOT(ISBLANK(S29)),S29&lt;&gt;U29),"Ш",))</f>
        <v>ДШ</v>
      </c>
      <c r="O29" s="22">
        <f>O28+1</f>
        <v>15</v>
      </c>
      <c r="P29" s="18" t="s">
        <v>197</v>
      </c>
      <c r="Q29" s="18">
        <v>4</v>
      </c>
      <c r="R29" s="18">
        <v>344</v>
      </c>
      <c r="S29" s="18">
        <v>412</v>
      </c>
      <c r="T29" s="3">
        <v>343</v>
      </c>
      <c r="U29" s="3">
        <v>411</v>
      </c>
      <c r="V29" s="23"/>
      <c r="W29" s="23" t="s">
        <v>227</v>
      </c>
      <c r="X29" s="26" t="str">
        <f>J182</f>
        <v>ЛДСП Lamarty 2750*1830*16 Белый б/к</v>
      </c>
      <c r="Y29" s="18" t="s">
        <v>158</v>
      </c>
      <c r="Z29" s="18">
        <v>1</v>
      </c>
      <c r="AA29" s="18"/>
      <c r="AB29" s="18"/>
      <c r="AC29" s="18"/>
      <c r="AD29" s="56"/>
    </row>
    <row r="30" spans="1:30" x14ac:dyDescent="0.25">
      <c r="A30" s="9" t="str">
        <f>CONCATENATE(O30,".",LEFT(J30))</f>
        <v>16.Л</v>
      </c>
      <c r="B30" s="32" t="str">
        <f>CONCATENATE(IF(OR(Y30="Не определена",Y30,ISBLANK(Y30)),"↕",),IF(Y30="Не обязательна","±",),Q30,".",P30)</f>
        <v>4.горизонт</v>
      </c>
      <c r="C30" s="54" t="str">
        <f>I182</f>
        <v>-</v>
      </c>
      <c r="D30" s="54" t="str">
        <f>I182</f>
        <v>-</v>
      </c>
      <c r="E30" s="48">
        <f>IF(M30="скрутка",T30+$Q$1,IF(M30="склейка",T30+$Q$1,IF(M30="запил торца",ROUND(T30+$P$1,0),IF(M30="запил торцов",ROUND(T30+$P$1*2,0),T30))))+IF(G30=$O$1,$P$1,)+IF(H30=$O$1,$P$1,)</f>
        <v>568</v>
      </c>
      <c r="F30" s="48">
        <f>IF(M30="скрутка",U30+$Q$1,IF(M30="склейка",U30+$Q$1,IF(M30="запил торца",ROUND(U30+$P$1,0),IF(M30="запил торцов",ROUND(U30+$P$1*2,0),U30))))+IF(C30=$O$1,$P$1,)+IF(D30=$O$1,$P$1,)</f>
        <v>411</v>
      </c>
      <c r="G30" s="47"/>
      <c r="H30" s="47"/>
      <c r="I30" s="49">
        <f>IF(OR(M30="скрутка",M30="склейка"),Z30*2,Z30)</f>
        <v>1</v>
      </c>
      <c r="J30" s="53" t="str">
        <f>X30</f>
        <v>ЛДСП Lamarty 2750*1830*16 Белый б/к</v>
      </c>
      <c r="K30" s="52" t="str">
        <f>IF(ISBLANK(AB30),"",AB30)</f>
        <v/>
      </c>
      <c r="L30" s="52" t="str">
        <f>IF(ISBLANK(AC30),"",AC30)</f>
        <v/>
      </c>
      <c r="M30" s="51" t="str">
        <f>IF(AA30="","",AA30)</f>
        <v/>
      </c>
      <c r="N30" s="30" t="str">
        <f>CONCATENATE(IF(E30&lt;&gt;T30,"НеРавны",),IF(AND(NOT(ISBLANK(R30)),R30&lt;&gt;T30),"Д",),IF(AND(NOT(ISBLANK(S30)),S30&lt;&gt;U30),"Ш",))</f>
        <v>Ш</v>
      </c>
      <c r="O30" s="22">
        <f>O29+1</f>
        <v>16</v>
      </c>
      <c r="P30" s="18" t="s">
        <v>206</v>
      </c>
      <c r="Q30" s="18">
        <v>4</v>
      </c>
      <c r="R30" s="18">
        <v>568</v>
      </c>
      <c r="S30" s="18">
        <v>412</v>
      </c>
      <c r="T30" s="3">
        <v>568</v>
      </c>
      <c r="U30" s="3">
        <v>411</v>
      </c>
      <c r="V30" s="23"/>
      <c r="W30" s="23" t="s">
        <v>228</v>
      </c>
      <c r="X30" s="26" t="str">
        <f>J182</f>
        <v>ЛДСП Lamarty 2750*1830*16 Белый б/к</v>
      </c>
      <c r="Y30" s="18" t="s">
        <v>158</v>
      </c>
      <c r="Z30" s="18">
        <v>1</v>
      </c>
      <c r="AA30" s="18"/>
      <c r="AB30" s="18"/>
      <c r="AC30" s="18"/>
      <c r="AD30" s="56"/>
    </row>
    <row r="31" spans="1:30" x14ac:dyDescent="0.25">
      <c r="A31" s="9" t="str">
        <f>CONCATENATE(O31,".",LEFT(J31))</f>
        <v>17.Л</v>
      </c>
      <c r="B31" s="32" t="str">
        <f>CONCATENATE(IF(OR(Y31="Не определена",Y31,ISBLANK(Y31)),"↕",),IF(Y31="Не обязательна","±",),Q31,".",P31)</f>
        <v>4.горизонт</v>
      </c>
      <c r="C31" s="54" t="str">
        <f>I182</f>
        <v>-</v>
      </c>
      <c r="D31" s="54" t="str">
        <f>I182</f>
        <v>-</v>
      </c>
      <c r="E31" s="48">
        <f>IF(M31="скрутка",T31+$Q$1,IF(M31="склейка",T31+$Q$1,IF(M31="запил торца",ROUND(T31+$P$1,0),IF(M31="запил торцов",ROUND(T31+$P$1*2,0),T31))))+IF(G31=$O$1,$P$1,)+IF(H31=$O$1,$P$1,)</f>
        <v>568</v>
      </c>
      <c r="F31" s="48">
        <f>IF(M31="скрутка",U31+$Q$1,IF(M31="склейка",U31+$Q$1,IF(M31="запил торца",ROUND(U31+$P$1,0),IF(M31="запил торцов",ROUND(U31+$P$1*2,0),U31))))+IF(C31=$O$1,$P$1,)+IF(D31=$O$1,$P$1,)</f>
        <v>411</v>
      </c>
      <c r="G31" s="47"/>
      <c r="H31" s="47"/>
      <c r="I31" s="49">
        <f>IF(OR(M31="скрутка",M31="склейка"),Z31*2,Z31)</f>
        <v>1</v>
      </c>
      <c r="J31" s="53" t="str">
        <f>X31</f>
        <v>ЛДСП Lamarty 2750*1830*16 Белый б/к</v>
      </c>
      <c r="K31" s="52" t="str">
        <f>IF(ISBLANK(AB31),"",AB31)</f>
        <v/>
      </c>
      <c r="L31" s="52" t="str">
        <f>IF(ISBLANK(AC31),"",AC31)</f>
        <v/>
      </c>
      <c r="M31" s="51" t="str">
        <f>IF(AA31="","",AA31)</f>
        <v/>
      </c>
      <c r="N31" s="30" t="str">
        <f>CONCATENATE(IF(E31&lt;&gt;T31,"НеРавны",),IF(AND(NOT(ISBLANK(R31)),R31&lt;&gt;T31),"Д",),IF(AND(NOT(ISBLANK(S31)),S31&lt;&gt;U31),"Ш",))</f>
        <v>Ш</v>
      </c>
      <c r="O31" s="22">
        <f>O30+1</f>
        <v>17</v>
      </c>
      <c r="P31" s="18" t="s">
        <v>206</v>
      </c>
      <c r="Q31" s="18">
        <v>4</v>
      </c>
      <c r="R31" s="18">
        <v>568</v>
      </c>
      <c r="S31" s="18">
        <v>412</v>
      </c>
      <c r="T31" s="3">
        <v>568</v>
      </c>
      <c r="U31" s="3">
        <v>411</v>
      </c>
      <c r="V31" s="23"/>
      <c r="W31" s="23" t="s">
        <v>228</v>
      </c>
      <c r="X31" s="26" t="str">
        <f>J182</f>
        <v>ЛДСП Lamarty 2750*1830*16 Белый б/к</v>
      </c>
      <c r="Y31" s="18" t="s">
        <v>158</v>
      </c>
      <c r="Z31" s="18">
        <v>1</v>
      </c>
      <c r="AA31" s="18"/>
      <c r="AB31" s="18"/>
      <c r="AC31" s="18"/>
      <c r="AD31" s="56"/>
    </row>
    <row r="32" spans="1:30" x14ac:dyDescent="0.25">
      <c r="A32" s="9" t="str">
        <f>CONCATENATE(O32,".",LEFT(J32))</f>
        <v>18.Л</v>
      </c>
      <c r="B32" s="32" t="str">
        <f>CONCATENATE(IF(OR(Y32="Не определена",Y32,ISBLANK(Y32)),"↕",),IF(Y32="Не обязательна","±",),Q32,".",P32)</f>
        <v>4.щит</v>
      </c>
      <c r="C32" s="54" t="str">
        <f>I182</f>
        <v>-</v>
      </c>
      <c r="D32" s="54" t="str">
        <f>I182</f>
        <v>-</v>
      </c>
      <c r="E32" s="48">
        <f>IF(M32="скрутка",T32+$Q$1,IF(M32="склейка",T32+$Q$1,IF(M32="запил торца",ROUND(T32+$P$1,0),IF(M32="запил торцов",ROUND(T32+$P$1*2,0),T32))))+IF(G32=$O$1,$P$1,)+IF(H32=$O$1,$P$1,)</f>
        <v>310</v>
      </c>
      <c r="F32" s="48">
        <f>IF(M32="скрутка",U32+$Q$1,IF(M32="склейка",U32+$Q$1,IF(M32="запил торца",ROUND(U32+$P$1,0),IF(M32="запил торцов",ROUND(U32+$P$1*2,0),U32))))+IF(C32=$O$1,$P$1,)+IF(D32=$O$1,$P$1,)</f>
        <v>566</v>
      </c>
      <c r="G32" s="54" t="str">
        <f>I182</f>
        <v>-</v>
      </c>
      <c r="H32" s="54" t="str">
        <f>I182</f>
        <v>-</v>
      </c>
      <c r="I32" s="49">
        <f>IF(OR(M32="скрутка",M32="склейка"),Z32*2,Z32)</f>
        <v>1</v>
      </c>
      <c r="J32" s="53" t="str">
        <f>X32</f>
        <v>ЛДСП Lamarty 2750*1830*16 Белый б/к</v>
      </c>
      <c r="K32" s="52" t="str">
        <f>IF(ISBLANK(AB32),"",AB32)</f>
        <v/>
      </c>
      <c r="L32" s="52" t="str">
        <f>IF(ISBLANK(AC32),"",AC32)</f>
        <v/>
      </c>
      <c r="M32" s="51" t="str">
        <f>IF(AA32="","",AA32)</f>
        <v/>
      </c>
      <c r="N32" s="30" t="str">
        <f>CONCATENATE(IF(E32&lt;&gt;T32,"НеРавны",),IF(AND(NOT(ISBLANK(R32)),R32&lt;&gt;T32),"Д",),IF(AND(NOT(ISBLANK(S32)),S32&lt;&gt;U32),"Ш",))</f>
        <v>ДШ</v>
      </c>
      <c r="O32" s="22">
        <f>O31+1</f>
        <v>18</v>
      </c>
      <c r="P32" s="18" t="s">
        <v>207</v>
      </c>
      <c r="Q32" s="18">
        <v>4</v>
      </c>
      <c r="R32" s="18">
        <v>311</v>
      </c>
      <c r="S32" s="18">
        <v>567</v>
      </c>
      <c r="T32" s="3">
        <v>310</v>
      </c>
      <c r="U32" s="3">
        <v>566</v>
      </c>
      <c r="V32" s="23"/>
      <c r="W32" s="23" t="s">
        <v>227</v>
      </c>
      <c r="X32" s="26" t="str">
        <f>J182</f>
        <v>ЛДСП Lamarty 2750*1830*16 Белый б/к</v>
      </c>
      <c r="Y32" s="18" t="s">
        <v>158</v>
      </c>
      <c r="Z32" s="18">
        <v>1</v>
      </c>
      <c r="AA32" s="18"/>
      <c r="AB32" s="18"/>
      <c r="AC32" s="18"/>
      <c r="AD32" s="56"/>
    </row>
    <row r="33" spans="1:30" x14ac:dyDescent="0.25">
      <c r="A33" s="9" t="str">
        <f>CONCATENATE(O33,".",LEFT(J33))</f>
        <v>5.М</v>
      </c>
      <c r="B33" s="32" t="str">
        <f>CONCATENATE(IF(OR(Y33="Не определена",Y33,ISBLANK(Y33)),"↕",),IF(Y33="Не обязательна","±",),Q33,".",P33)</f>
        <v>4.фасад (мыло)</v>
      </c>
      <c r="C33" s="54" t="str">
        <f>I186</f>
        <v>-</v>
      </c>
      <c r="D33" s="54" t="str">
        <f>I186</f>
        <v>-</v>
      </c>
      <c r="E33" s="48">
        <f>IF(M33="скрутка",T33+$Q$1,IF(M33="склейка",T33+$Q$1,IF(M33="запил торца",ROUND(T33+$P$1,0),IF(M33="запил торцов",ROUND(T33+$P$1*2,0),T33))))+IF(G33=$O$1,$P$1,)+IF(H33=$O$1,$P$1,)</f>
        <v>357</v>
      </c>
      <c r="F33" s="48">
        <f>IF(M33="скрутка",U33+$Q$1,IF(M33="склейка",U33+$Q$1,IF(M33="запил торца",ROUND(U33+$P$1,0),IF(M33="запил торцов",ROUND(U33+$P$1*2,0),U33))))+IF(C33=$O$1,$P$1,)+IF(D33=$O$1,$P$1,)</f>
        <v>597</v>
      </c>
      <c r="G33" s="54" t="str">
        <f>I186</f>
        <v>-</v>
      </c>
      <c r="H33" s="54" t="str">
        <f>I186</f>
        <v>-</v>
      </c>
      <c r="I33" s="49">
        <f>IF(OR(M33="скрутка",M33="склейка"),Z33*2,Z33)</f>
        <v>1</v>
      </c>
      <c r="J33" s="53" t="str">
        <f>X33</f>
        <v>МДФ 2800х2070х16 лам. Белый 2 ст. б/к</v>
      </c>
      <c r="K33" s="52" t="str">
        <f>IF(ISBLANK(AB33),"",AB33)</f>
        <v>KHR Глянец</v>
      </c>
      <c r="L33" s="52" t="str">
        <f>IF(ISBLANK(AC33),"",AC33)</f>
        <v/>
      </c>
      <c r="M33" s="51" t="str">
        <f>IF(AA33="","",AA33)</f>
        <v/>
      </c>
      <c r="N33" s="30" t="str">
        <f>CONCATENATE(IF(E33&lt;&gt;T33,"НеРавны",),IF(AND(NOT(ISBLANK(R33)),R33&lt;&gt;T33),"Д",),IF(AND(NOT(ISBLANK(S33)),S33&lt;&gt;U33),"Ш",))</f>
        <v/>
      </c>
      <c r="O33" s="22">
        <f>O27+1</f>
        <v>5</v>
      </c>
      <c r="P33" s="18" t="s">
        <v>223</v>
      </c>
      <c r="Q33" s="18">
        <v>4</v>
      </c>
      <c r="R33" s="18">
        <v>357</v>
      </c>
      <c r="S33" s="18">
        <v>597</v>
      </c>
      <c r="T33" s="3">
        <v>357</v>
      </c>
      <c r="U33" s="3">
        <v>597</v>
      </c>
      <c r="V33" s="23"/>
      <c r="W33" s="23" t="s">
        <v>229</v>
      </c>
      <c r="X33" s="26" t="str">
        <f>J186</f>
        <v>МДФ 2800х2070х16 лам. Белый 2 ст. б/к</v>
      </c>
      <c r="Y33" s="18" t="s">
        <v>158</v>
      </c>
      <c r="Z33" s="18">
        <v>1</v>
      </c>
      <c r="AA33" s="18"/>
      <c r="AB33" s="18" t="str">
        <f>K179</f>
        <v>KHR Глянец</v>
      </c>
      <c r="AC33" s="18"/>
      <c r="AD33" s="56"/>
    </row>
    <row r="34" spans="1:30" x14ac:dyDescent="0.25">
      <c r="A34" s="9" t="str">
        <f>CONCATENATE(O34,".",LEFT(J34))</f>
        <v>3.X</v>
      </c>
      <c r="B34" s="32" t="str">
        <f>CONCATENATE(IF(OR(Y34="Не определена",Y34,ISBLANK(Y34)),"↕",),IF(Y34="Не обязательна","±",),Q34,".",P34)</f>
        <v>5.задняя стенка</v>
      </c>
      <c r="C34" s="47"/>
      <c r="D34" s="47"/>
      <c r="E34" s="48">
        <f>IF(M34="скрутка",T34+$Q$1,IF(M34="склейка",T34+$Q$1,IF(M34="запил торца",ROUND(T34+$P$1,0),IF(M34="запил торцов",ROUND(T34+$P$1*2,0),T34))))+IF(G34=$O$1,$P$1,)+IF(H34=$O$1,$P$1,)</f>
        <v>362</v>
      </c>
      <c r="F34" s="48">
        <f>IF(M34="скрутка",U34+$Q$1,IF(M34="склейка",U34+$Q$1,IF(M34="запил торца",ROUND(U34+$P$1,0),IF(M34="запил торцов",ROUND(U34+$P$1*2,0),U34))))+IF(C34=$O$1,$P$1,)+IF(D34=$O$1,$P$1,)</f>
        <v>582</v>
      </c>
      <c r="G34" s="47"/>
      <c r="H34" s="47"/>
      <c r="I34" s="49">
        <f>IF(OR(M34="скрутка",M34="склейка"),Z34*2,Z34)</f>
        <v>1</v>
      </c>
      <c r="J34" s="111" t="str">
        <f>X34</f>
        <v>XДФ 2800*2070*4 Белый б/к</v>
      </c>
      <c r="K34" s="52" t="str">
        <f>IF(ISBLANK(AB34),"",AB34)</f>
        <v/>
      </c>
      <c r="L34" s="52" t="str">
        <f>IF(ISBLANK(AC34),"",AC34)</f>
        <v/>
      </c>
      <c r="M34" s="51" t="str">
        <f>IF(AA34="","",AA34)</f>
        <v/>
      </c>
      <c r="N34" s="30" t="str">
        <f>CONCATENATE(IF(E34&lt;&gt;T34,"НеРавны",),IF(AND(NOT(ISBLANK(R34)),R34&lt;&gt;T34),"Д",),IF(AND(NOT(ISBLANK(S34)),S34&lt;&gt;U34),"Ш",))</f>
        <v/>
      </c>
      <c r="O34" s="22">
        <f>O16+1</f>
        <v>3</v>
      </c>
      <c r="P34" s="18" t="s">
        <v>189</v>
      </c>
      <c r="Q34" s="18">
        <v>5</v>
      </c>
      <c r="R34" s="18">
        <v>362</v>
      </c>
      <c r="S34" s="18">
        <v>582</v>
      </c>
      <c r="T34" s="3">
        <v>362</v>
      </c>
      <c r="U34" s="3">
        <v>582</v>
      </c>
      <c r="V34" s="23"/>
      <c r="W34" s="23" t="s">
        <v>164</v>
      </c>
      <c r="X34" s="26" t="str">
        <f>X16</f>
        <v>XДФ 2800*2070*4 Белый б/к</v>
      </c>
      <c r="Y34" s="18" t="s">
        <v>158</v>
      </c>
      <c r="Z34" s="18">
        <v>1</v>
      </c>
      <c r="AA34" s="18"/>
      <c r="AB34" s="18"/>
      <c r="AC34" s="18"/>
      <c r="AD34" s="56"/>
    </row>
    <row r="35" spans="1:30" x14ac:dyDescent="0.25">
      <c r="A35" s="9" t="str">
        <f>CONCATENATE(O35,".",LEFT(J35))</f>
        <v>4.X</v>
      </c>
      <c r="B35" s="32" t="str">
        <f>CONCATENATE(IF(OR(Y35="Не определена",Y35,ISBLANK(Y35)),"↕",),IF(Y35="Не обязательна","±",),Q35,".",P35)</f>
        <v>5.задняя стенка</v>
      </c>
      <c r="C35" s="47"/>
      <c r="D35" s="47"/>
      <c r="E35" s="48">
        <f>IF(M35="скрутка",T35+$Q$1,IF(M35="склейка",T35+$Q$1,IF(M35="запил торца",ROUND(T35+$P$1,0),IF(M35="запил торцов",ROUND(T35+$P$1*2,0),T35))))+IF(G35=$O$1,$P$1,)+IF(H35=$O$1,$P$1,)</f>
        <v>640</v>
      </c>
      <c r="F35" s="48">
        <f>IF(M35="скрутка",U35+$Q$1,IF(M35="склейка",U35+$Q$1,IF(M35="запил торца",ROUND(U35+$P$1,0),IF(M35="запил торцов",ROUND(U35+$P$1*2,0),U35))))+IF(C35=$O$1,$P$1,)+IF(D35=$O$1,$P$1,)</f>
        <v>582</v>
      </c>
      <c r="G35" s="47"/>
      <c r="H35" s="47"/>
      <c r="I35" s="49">
        <f>IF(OR(M35="скрутка",M35="склейка"),Z35*2,Z35)</f>
        <v>1</v>
      </c>
      <c r="J35" s="111" t="str">
        <f>X35</f>
        <v>XДФ 2800*2070*4 Белый б/к</v>
      </c>
      <c r="K35" s="52" t="str">
        <f>IF(ISBLANK(AB35),"",AB35)</f>
        <v/>
      </c>
      <c r="L35" s="52" t="str">
        <f>IF(ISBLANK(AC35),"",AC35)</f>
        <v/>
      </c>
      <c r="M35" s="51" t="str">
        <f>IF(AA35="","",AA35)</f>
        <v/>
      </c>
      <c r="N35" s="30" t="str">
        <f>CONCATENATE(IF(E35&lt;&gt;T35,"НеРавны",),IF(AND(NOT(ISBLANK(R35)),R35&lt;&gt;T35),"Д",),IF(AND(NOT(ISBLANK(S35)),S35&lt;&gt;U35),"Ш",))</f>
        <v/>
      </c>
      <c r="O35" s="22">
        <f>O34+1</f>
        <v>4</v>
      </c>
      <c r="P35" s="18" t="s">
        <v>189</v>
      </c>
      <c r="Q35" s="18">
        <v>5</v>
      </c>
      <c r="R35" s="18">
        <v>640</v>
      </c>
      <c r="S35" s="18">
        <v>582</v>
      </c>
      <c r="T35" s="3">
        <v>640</v>
      </c>
      <c r="U35" s="3">
        <v>582</v>
      </c>
      <c r="V35" s="23"/>
      <c r="W35" s="23" t="s">
        <v>164</v>
      </c>
      <c r="X35" s="26" t="str">
        <f>X34</f>
        <v>XДФ 2800*2070*4 Белый б/к</v>
      </c>
      <c r="Y35" s="18" t="s">
        <v>158</v>
      </c>
      <c r="Z35" s="18">
        <v>1</v>
      </c>
      <c r="AA35" s="18"/>
      <c r="AB35" s="18"/>
      <c r="AC35" s="18"/>
      <c r="AD35" s="56"/>
    </row>
    <row r="36" spans="1:30" x14ac:dyDescent="0.25">
      <c r="A36" s="9" t="str">
        <f>CONCATENATE(O36,".",LEFT(J36))</f>
        <v>19.Л</v>
      </c>
      <c r="B36" s="32" t="str">
        <f>CONCATENATE(IF(OR(Y36="Не определена",Y36,ISBLANK(Y36)),"↕",),IF(Y36="Не обязательна","±",),Q36,".",P36)</f>
        <v>5.видимый бок лев. (паз_62)</v>
      </c>
      <c r="C36" s="54" t="str">
        <f>I182</f>
        <v>-</v>
      </c>
      <c r="D36" s="54" t="str">
        <f>I182</f>
        <v>-</v>
      </c>
      <c r="E36" s="48">
        <f>IF(M36="скрутка",T36+$Q$1,IF(M36="склейка",T36+$Q$1,IF(M36="запил торца",ROUND(T36+$P$1,0),IF(M36="запил торцов",ROUND(T36+$P$1*2,0),T36))))+IF(G36=$O$1,$P$1,)+IF(H36=$O$1,$P$1,)</f>
        <v>2343</v>
      </c>
      <c r="F36" s="48">
        <f>IF(M36="скрутка",U36+$Q$1,IF(M36="склейка",U36+$Q$1,IF(M36="запил торца",ROUND(U36+$P$1,0),IF(M36="запил торцов",ROUND(U36+$P$1*2,0),U36))))+IF(C36=$O$1,$P$1,)+IF(D36=$O$1,$P$1,)</f>
        <v>611</v>
      </c>
      <c r="G36" s="54" t="str">
        <f>I182</f>
        <v>-</v>
      </c>
      <c r="H36" s="54" t="str">
        <f>I182</f>
        <v>-</v>
      </c>
      <c r="I36" s="49">
        <f>IF(OR(M36="скрутка",M36="склейка"),Z36*2,Z36)</f>
        <v>1</v>
      </c>
      <c r="J36" s="53" t="str">
        <f>X36</f>
        <v>ЛДСП Lamarty 2750*1830*16 Белый б/к</v>
      </c>
      <c r="K36" s="52" t="str">
        <f>IF(ISBLANK(AB36),"",AB36)</f>
        <v/>
      </c>
      <c r="L36" s="52" t="str">
        <f>IF(ISBLANK(AC36),"",AC36)</f>
        <v/>
      </c>
      <c r="M36" s="51" t="str">
        <f>IF(AA36="","",AA36)</f>
        <v>паз ХДФ*anna(по длине);</v>
      </c>
      <c r="N36" s="30" t="str">
        <f>CONCATENATE(IF(E36&lt;&gt;T36,"НеРавны",),IF(AND(NOT(ISBLANK(R36)),R36&lt;&gt;T36),"Д",),IF(AND(NOT(ISBLANK(S36)),S36&lt;&gt;U36),"Ш",))</f>
        <v>ДШ</v>
      </c>
      <c r="O36" s="22">
        <f>O32+1</f>
        <v>19</v>
      </c>
      <c r="P36" s="18" t="s">
        <v>212</v>
      </c>
      <c r="Q36" s="18">
        <v>5</v>
      </c>
      <c r="R36" s="18">
        <v>2344</v>
      </c>
      <c r="S36" s="18">
        <v>612</v>
      </c>
      <c r="T36" s="3">
        <v>2343</v>
      </c>
      <c r="U36" s="3">
        <v>611</v>
      </c>
      <c r="V36" s="23"/>
      <c r="W36" s="23" t="s">
        <v>227</v>
      </c>
      <c r="X36" s="26" t="str">
        <f>J182</f>
        <v>ЛДСП Lamarty 2750*1830*16 Белый б/к</v>
      </c>
      <c r="Y36" s="18" t="s">
        <v>158</v>
      </c>
      <c r="Z36" s="18">
        <v>1</v>
      </c>
      <c r="AA36" s="18" t="s">
        <v>188</v>
      </c>
      <c r="AB36" s="18"/>
      <c r="AC36" s="18"/>
      <c r="AD36" s="56"/>
    </row>
    <row r="37" spans="1:30" ht="30" x14ac:dyDescent="0.25">
      <c r="A37" s="9" t="str">
        <f>CONCATENATE(O37,".",LEFT(J37))</f>
        <v>20.Л</v>
      </c>
      <c r="B37" s="32" t="str">
        <f>CONCATENATE(IF(OR(Y37="Не определена",Y37,ISBLANK(Y37)),"↕",),IF(Y37="Не обязательна","±",),Q37,".",P37)</f>
        <v>5.видимый бок пр. (четверть по низу, паз_74)</v>
      </c>
      <c r="C37" s="54" t="str">
        <f>I182</f>
        <v>-</v>
      </c>
      <c r="D37" s="54" t="str">
        <f>I182</f>
        <v>-</v>
      </c>
      <c r="E37" s="48">
        <f>IF(M37="скрутка",T37+$Q$1,IF(M37="склейка",T37+$Q$1,IF(M37="запил торца",ROUND(T37+$P$1,0),IF(M37="запил торцов",ROUND(T37+$P$1*2,0),T37))))+IF(G37=$O$1,$P$1,)+IF(H37=$O$1,$P$1,)</f>
        <v>2359</v>
      </c>
      <c r="F37" s="48">
        <f>IF(M37="скрутка",U37+$Q$1,IF(M37="склейка",U37+$Q$1,IF(M37="запил торца",ROUND(U37+$P$1,0),IF(M37="запил торцов",ROUND(U37+$P$1*2,0),U37))))+IF(C37=$O$1,$P$1,)+IF(D37=$O$1,$P$1,)</f>
        <v>623</v>
      </c>
      <c r="G37" s="54" t="str">
        <f>I182</f>
        <v>-</v>
      </c>
      <c r="H37" s="54" t="str">
        <f>I182</f>
        <v>-</v>
      </c>
      <c r="I37" s="49">
        <f>IF(OR(M37="скрутка",M37="склейка"),Z37*2,Z37)</f>
        <v>1</v>
      </c>
      <c r="J37" s="53" t="str">
        <f>X37</f>
        <v>ЛДСП Lamarty 2750*1830*16 Белый б/к</v>
      </c>
      <c r="K37" s="52" t="str">
        <f>IF(ISBLANK(AB37),"",AB37)</f>
        <v/>
      </c>
      <c r="L37" s="52" t="str">
        <f>IF(ISBLANK(AC37),"",AC37)</f>
        <v/>
      </c>
      <c r="M37" s="51" t="str">
        <f>IF(AA37="","",AA37)</f>
        <v>паз ХДФ*anna(по длине);</v>
      </c>
      <c r="N37" s="30" t="str">
        <f>CONCATENATE(IF(E37&lt;&gt;T37,"НеРавны",),IF(AND(NOT(ISBLANK(R37)),R37&lt;&gt;T37),"Д",),IF(AND(NOT(ISBLANK(S37)),S37&lt;&gt;U37),"Ш",))</f>
        <v>ДШ</v>
      </c>
      <c r="O37" s="22">
        <f>O36+1</f>
        <v>20</v>
      </c>
      <c r="P37" s="18" t="s">
        <v>211</v>
      </c>
      <c r="Q37" s="18">
        <v>5</v>
      </c>
      <c r="R37" s="18">
        <v>2360</v>
      </c>
      <c r="S37" s="18">
        <v>624</v>
      </c>
      <c r="T37" s="3">
        <v>2359</v>
      </c>
      <c r="U37" s="3">
        <v>623</v>
      </c>
      <c r="V37" s="23"/>
      <c r="W37" s="23" t="s">
        <v>227</v>
      </c>
      <c r="X37" s="26" t="str">
        <f>J182</f>
        <v>ЛДСП Lamarty 2750*1830*16 Белый б/к</v>
      </c>
      <c r="Y37" s="18" t="s">
        <v>158</v>
      </c>
      <c r="Z37" s="18">
        <v>1</v>
      </c>
      <c r="AA37" s="18" t="s">
        <v>188</v>
      </c>
      <c r="AB37" s="18"/>
      <c r="AC37" s="18"/>
      <c r="AD37" s="56"/>
    </row>
    <row r="38" spans="1:30" x14ac:dyDescent="0.25">
      <c r="A38" s="9" t="str">
        <f>CONCATENATE(O38,".",LEFT(J38))</f>
        <v>21.Л</v>
      </c>
      <c r="B38" s="32" t="str">
        <f>CONCATENATE(IF(OR(Y38="Не определена",Y38,ISBLANK(Y38)),"↕",),IF(Y38="Не обязательна","±",),Q38,".",P38)</f>
        <v>5.горизонт</v>
      </c>
      <c r="C38" s="54" t="str">
        <f>I182</f>
        <v>-</v>
      </c>
      <c r="D38" s="54" t="str">
        <f>I182</f>
        <v>-</v>
      </c>
      <c r="E38" s="48">
        <f>IF(M38="скрутка",T38+$Q$1,IF(M38="склейка",T38+$Q$1,IF(M38="запил торца",ROUND(T38+$P$1,0),IF(M38="запил торцов",ROUND(T38+$P$1*2,0),T38))))+IF(G38=$O$1,$P$1,)+IF(H38=$O$1,$P$1,)</f>
        <v>568</v>
      </c>
      <c r="F38" s="48">
        <f>IF(M38="скрутка",U38+$Q$1,IF(M38="склейка",U38+$Q$1,IF(M38="запил торца",ROUND(U38+$P$1,0),IF(M38="запил торцов",ROUND(U38+$P$1*2,0),U38))))+IF(C38=$O$1,$P$1,)+IF(D38=$O$1,$P$1,)</f>
        <v>559</v>
      </c>
      <c r="G38" s="47"/>
      <c r="H38" s="47"/>
      <c r="I38" s="49">
        <f>IF(OR(M38="скрутка",M38="склейка"),Z38*2,Z38)</f>
        <v>1</v>
      </c>
      <c r="J38" s="53" t="str">
        <f>X38</f>
        <v>ЛДСП Lamarty 2750*1830*16 Белый б/к</v>
      </c>
      <c r="K38" s="52" t="str">
        <f>IF(ISBLANK(AB38),"",AB38)</f>
        <v/>
      </c>
      <c r="L38" s="52" t="str">
        <f>IF(ISBLANK(AC38),"",AC38)</f>
        <v/>
      </c>
      <c r="M38" s="51" t="str">
        <f>IF(AA38="","",AA38)</f>
        <v/>
      </c>
      <c r="N38" s="30" t="str">
        <f>CONCATENATE(IF(E38&lt;&gt;T38,"НеРавны",),IF(AND(NOT(ISBLANK(R38)),R38&lt;&gt;T38),"Д",),IF(AND(NOT(ISBLANK(S38)),S38&lt;&gt;U38),"Ш",))</f>
        <v>Ш</v>
      </c>
      <c r="O38" s="22">
        <f>O37+1</f>
        <v>21</v>
      </c>
      <c r="P38" s="18" t="s">
        <v>206</v>
      </c>
      <c r="Q38" s="18">
        <v>5</v>
      </c>
      <c r="R38" s="18">
        <v>568</v>
      </c>
      <c r="S38" s="18">
        <v>560</v>
      </c>
      <c r="T38" s="3">
        <v>568</v>
      </c>
      <c r="U38" s="3">
        <v>559</v>
      </c>
      <c r="V38" s="23"/>
      <c r="W38" s="23" t="s">
        <v>228</v>
      </c>
      <c r="X38" s="26" t="str">
        <f>J182</f>
        <v>ЛДСП Lamarty 2750*1830*16 Белый б/к</v>
      </c>
      <c r="Y38" s="18" t="s">
        <v>158</v>
      </c>
      <c r="Z38" s="18">
        <v>1</v>
      </c>
      <c r="AA38" s="18"/>
      <c r="AB38" s="18"/>
      <c r="AC38" s="18"/>
      <c r="AD38" s="56"/>
    </row>
    <row r="39" spans="1:30" x14ac:dyDescent="0.25">
      <c r="A39" s="9" t="str">
        <f>CONCATENATE(O39,".",LEFT(J39))</f>
        <v>22.Л</v>
      </c>
      <c r="B39" s="32" t="str">
        <f>CONCATENATE(IF(OR(Y39="Не определена",Y39,ISBLANK(Y39)),"↕",),IF(Y39="Не обязательна","±",),Q39,".",P39)</f>
        <v>5.горизонт (паз_10)</v>
      </c>
      <c r="C39" s="54" t="str">
        <f>I182</f>
        <v>-</v>
      </c>
      <c r="D39" s="54" t="str">
        <f>I182</f>
        <v>-</v>
      </c>
      <c r="E39" s="48">
        <f>IF(M39="скрутка",T39+$Q$1,IF(M39="склейка",T39+$Q$1,IF(M39="запил торца",ROUND(T39+$P$1,0),IF(M39="запил торцов",ROUND(T39+$P$1*2,0),T39))))+IF(G39=$O$1,$P$1,)+IF(H39=$O$1,$P$1,)</f>
        <v>568</v>
      </c>
      <c r="F39" s="48">
        <f>IF(M39="скрутка",U39+$Q$1,IF(M39="склейка",U39+$Q$1,IF(M39="запил торца",ROUND(U39+$P$1,0),IF(M39="запил торцов",ROUND(U39+$P$1*2,0),U39))))+IF(C39=$O$1,$P$1,)+IF(D39=$O$1,$P$1,)</f>
        <v>559</v>
      </c>
      <c r="G39" s="47"/>
      <c r="H39" s="47"/>
      <c r="I39" s="49">
        <f>IF(OR(M39="скрутка",M39="склейка"),Z39*2,Z39)</f>
        <v>1</v>
      </c>
      <c r="J39" s="53" t="str">
        <f>X39</f>
        <v>ЛДСП Lamarty 2750*1830*16 Белый б/к</v>
      </c>
      <c r="K39" s="52" t="str">
        <f>IF(ISBLANK(AB39),"",AB39)</f>
        <v/>
      </c>
      <c r="L39" s="52" t="str">
        <f>IF(ISBLANK(AC39),"",AC39)</f>
        <v/>
      </c>
      <c r="M39" s="51" t="str">
        <f>IF(AA39="","",AA39)</f>
        <v>паз ХДФ 8*4(по длине);</v>
      </c>
      <c r="N39" s="30" t="str">
        <f>CONCATENATE(IF(E39&lt;&gt;T39,"НеРавны",),IF(AND(NOT(ISBLANK(R39)),R39&lt;&gt;T39),"Д",),IF(AND(NOT(ISBLANK(S39)),S39&lt;&gt;U39),"Ш",))</f>
        <v>Ш</v>
      </c>
      <c r="O39" s="22">
        <f>O38+1</f>
        <v>22</v>
      </c>
      <c r="P39" s="18" t="s">
        <v>213</v>
      </c>
      <c r="Q39" s="18">
        <v>5</v>
      </c>
      <c r="R39" s="18">
        <v>568</v>
      </c>
      <c r="S39" s="18">
        <v>560</v>
      </c>
      <c r="T39" s="3">
        <v>568</v>
      </c>
      <c r="U39" s="3">
        <v>559</v>
      </c>
      <c r="V39" s="23"/>
      <c r="W39" s="23" t="s">
        <v>228</v>
      </c>
      <c r="X39" s="26" t="str">
        <f>J182</f>
        <v>ЛДСП Lamarty 2750*1830*16 Белый б/к</v>
      </c>
      <c r="Y39" s="18" t="s">
        <v>158</v>
      </c>
      <c r="Z39" s="18">
        <v>1</v>
      </c>
      <c r="AA39" s="18" t="s">
        <v>185</v>
      </c>
      <c r="AB39" s="18"/>
      <c r="AC39" s="18"/>
      <c r="AD39" s="56"/>
    </row>
    <row r="40" spans="1:30" x14ac:dyDescent="0.25">
      <c r="A40" s="9" t="str">
        <f>CONCATENATE(O40,".",LEFT(J40))</f>
        <v>23.Л</v>
      </c>
      <c r="B40" s="32" t="str">
        <f>CONCATENATE(IF(OR(Y40="Не определена",Y40,ISBLANK(Y40)),"↕",),IF(Y40="Не обязательна","±",),Q40,".",P40)</f>
        <v>5.горизонт (паз_10)</v>
      </c>
      <c r="C40" s="54" t="str">
        <f>I182</f>
        <v>-</v>
      </c>
      <c r="D40" s="54" t="str">
        <f>I182</f>
        <v>-</v>
      </c>
      <c r="E40" s="48">
        <f>IF(M40="скрутка",T40+$Q$1,IF(M40="склейка",T40+$Q$1,IF(M40="запил торца",ROUND(T40+$P$1,0),IF(M40="запил торцов",ROUND(T40+$P$1*2,0),T40))))+IF(G40=$O$1,$P$1,)+IF(H40=$O$1,$P$1,)</f>
        <v>568</v>
      </c>
      <c r="F40" s="48">
        <f>IF(M40="скрутка",U40+$Q$1,IF(M40="склейка",U40+$Q$1,IF(M40="запил торца",ROUND(U40+$P$1,0),IF(M40="запил торцов",ROUND(U40+$P$1*2,0),U40))))+IF(C40=$O$1,$P$1,)+IF(D40=$O$1,$P$1,)</f>
        <v>559</v>
      </c>
      <c r="G40" s="47"/>
      <c r="H40" s="47"/>
      <c r="I40" s="49">
        <f>IF(OR(M40="скрутка",M40="склейка"),Z40*2,Z40)</f>
        <v>1</v>
      </c>
      <c r="J40" s="53" t="str">
        <f>X40</f>
        <v>ЛДСП Lamarty 2750*1830*16 Белый б/к</v>
      </c>
      <c r="K40" s="52" t="str">
        <f>IF(ISBLANK(AB40),"",AB40)</f>
        <v/>
      </c>
      <c r="L40" s="52" t="str">
        <f>IF(ISBLANK(AC40),"",AC40)</f>
        <v/>
      </c>
      <c r="M40" s="51" t="str">
        <f>IF(AA40="","",AA40)</f>
        <v>паз ХДФ 8*4(по длине);</v>
      </c>
      <c r="N40" s="30" t="str">
        <f>CONCATENATE(IF(E40&lt;&gt;T40,"НеРавны",),IF(AND(NOT(ISBLANK(R40)),R40&lt;&gt;T40),"Д",),IF(AND(NOT(ISBLANK(S40)),S40&lt;&gt;U40),"Ш",))</f>
        <v>Ш</v>
      </c>
      <c r="O40" s="22">
        <f>O39+1</f>
        <v>23</v>
      </c>
      <c r="P40" s="18" t="s">
        <v>213</v>
      </c>
      <c r="Q40" s="18">
        <v>5</v>
      </c>
      <c r="R40" s="18">
        <v>568</v>
      </c>
      <c r="S40" s="18">
        <v>560</v>
      </c>
      <c r="T40" s="3">
        <v>568</v>
      </c>
      <c r="U40" s="3">
        <v>559</v>
      </c>
      <c r="V40" s="23"/>
      <c r="W40" s="23" t="s">
        <v>228</v>
      </c>
      <c r="X40" s="26" t="str">
        <f>J182</f>
        <v>ЛДСП Lamarty 2750*1830*16 Белый б/к</v>
      </c>
      <c r="Y40" s="18" t="s">
        <v>158</v>
      </c>
      <c r="Z40" s="18">
        <v>1</v>
      </c>
      <c r="AA40" s="18" t="s">
        <v>185</v>
      </c>
      <c r="AB40" s="18"/>
      <c r="AC40" s="18"/>
      <c r="AD40" s="56"/>
    </row>
    <row r="41" spans="1:30" x14ac:dyDescent="0.25">
      <c r="A41" s="9" t="str">
        <f>CONCATENATE(O41,".",LEFT(J41))</f>
        <v>24.Л</v>
      </c>
      <c r="B41" s="32" t="str">
        <f>CONCATENATE(IF(OR(Y41="Не определена",Y41,ISBLANK(Y41)),"↕",),IF(Y41="Не обязательна","±",),Q41,".",P41)</f>
        <v>5.горизонт (паз_10)</v>
      </c>
      <c r="C41" s="54" t="str">
        <f>I182</f>
        <v>-</v>
      </c>
      <c r="D41" s="54" t="str">
        <f>I182</f>
        <v>-</v>
      </c>
      <c r="E41" s="48">
        <f>IF(M41="скрутка",T41+$Q$1,IF(M41="склейка",T41+$Q$1,IF(M41="запил торца",ROUND(T41+$P$1,0),IF(M41="запил торцов",ROUND(T41+$P$1*2,0),T41))))+IF(G41=$O$1,$P$1,)+IF(H41=$O$1,$P$1,)</f>
        <v>568</v>
      </c>
      <c r="F41" s="48">
        <f>IF(M41="скрутка",U41+$Q$1,IF(M41="склейка",U41+$Q$1,IF(M41="запил торца",ROUND(U41+$P$1,0),IF(M41="запил торцов",ROUND(U41+$P$1*2,0),U41))))+IF(C41=$O$1,$P$1,)+IF(D41=$O$1,$P$1,)</f>
        <v>559</v>
      </c>
      <c r="G41" s="47"/>
      <c r="H41" s="47"/>
      <c r="I41" s="49">
        <f>IF(OR(M41="скрутка",M41="склейка"),Z41*2,Z41)</f>
        <v>1</v>
      </c>
      <c r="J41" s="53" t="str">
        <f>X41</f>
        <v>ЛДСП Lamarty 2750*1830*16 Белый б/к</v>
      </c>
      <c r="K41" s="52" t="str">
        <f>IF(ISBLANK(AB41),"",AB41)</f>
        <v/>
      </c>
      <c r="L41" s="52" t="str">
        <f>IF(ISBLANK(AC41),"",AC41)</f>
        <v/>
      </c>
      <c r="M41" s="51" t="str">
        <f>IF(AA41="","",AA41)</f>
        <v>паз ХДФ 8*4(по длине);</v>
      </c>
      <c r="N41" s="30" t="str">
        <f>CONCATENATE(IF(E41&lt;&gt;T41,"НеРавны",),IF(AND(NOT(ISBLANK(R41)),R41&lt;&gt;T41),"Д",),IF(AND(NOT(ISBLANK(S41)),S41&lt;&gt;U41),"Ш",))</f>
        <v>Ш</v>
      </c>
      <c r="O41" s="22">
        <f>O40+1</f>
        <v>24</v>
      </c>
      <c r="P41" s="18" t="s">
        <v>213</v>
      </c>
      <c r="Q41" s="18">
        <v>5</v>
      </c>
      <c r="R41" s="18">
        <v>568</v>
      </c>
      <c r="S41" s="18">
        <v>560</v>
      </c>
      <c r="T41" s="3">
        <v>568</v>
      </c>
      <c r="U41" s="3">
        <v>559</v>
      </c>
      <c r="V41" s="23"/>
      <c r="W41" s="23" t="s">
        <v>228</v>
      </c>
      <c r="X41" s="26" t="str">
        <f>J182</f>
        <v>ЛДСП Lamarty 2750*1830*16 Белый б/к</v>
      </c>
      <c r="Y41" s="18" t="s">
        <v>158</v>
      </c>
      <c r="Z41" s="18">
        <v>1</v>
      </c>
      <c r="AA41" s="18" t="s">
        <v>185</v>
      </c>
      <c r="AB41" s="18"/>
      <c r="AC41" s="18"/>
      <c r="AD41" s="56"/>
    </row>
    <row r="42" spans="1:30" x14ac:dyDescent="0.25">
      <c r="A42" s="9" t="str">
        <f>CONCATENATE(O42,".",LEFT(J42))</f>
        <v>25.Л</v>
      </c>
      <c r="B42" s="32" t="str">
        <f>CONCATENATE(IF(OR(Y42="Не определена",Y42,ISBLANK(Y42)),"↕",),IF(Y42="Не обязательна","±",),Q42,".",P42)</f>
        <v>5.дно (паз_10)</v>
      </c>
      <c r="C42" s="54" t="str">
        <f>I182</f>
        <v>-</v>
      </c>
      <c r="D42" s="54" t="str">
        <f>I182</f>
        <v>-</v>
      </c>
      <c r="E42" s="48">
        <f>IF(M42="скрутка",T42+$Q$1,IF(M42="склейка",T42+$Q$1,IF(M42="запил торца",ROUND(T42+$P$1,0),IF(M42="запил торцов",ROUND(T42+$P$1*2,0),T42))))+IF(G42=$O$1,$P$1,)+IF(H42=$O$1,$P$1,)</f>
        <v>591</v>
      </c>
      <c r="F42" s="48">
        <f>IF(M42="скрутка",U42+$Q$1,IF(M42="склейка",U42+$Q$1,IF(M42="запил торца",ROUND(U42+$P$1,0),IF(M42="запил торцов",ROUND(U42+$P$1*2,0),U42))))+IF(C42=$O$1,$P$1,)+IF(D42=$O$1,$P$1,)</f>
        <v>559</v>
      </c>
      <c r="G42" s="54" t="str">
        <f>I182</f>
        <v>-</v>
      </c>
      <c r="H42" s="54" t="str">
        <f>I182</f>
        <v>-</v>
      </c>
      <c r="I42" s="49">
        <f>IF(OR(M42="скрутка",M42="склейка"),Z42*2,Z42)</f>
        <v>1</v>
      </c>
      <c r="J42" s="53" t="str">
        <f>X42</f>
        <v>ЛДСП Lamarty 2750*1830*16 Белый б/к</v>
      </c>
      <c r="K42" s="52" t="str">
        <f>IF(ISBLANK(AB42),"",AB42)</f>
        <v/>
      </c>
      <c r="L42" s="52" t="str">
        <f>IF(ISBLANK(AC42),"",AC42)</f>
        <v/>
      </c>
      <c r="M42" s="51" t="str">
        <f>IF(AA42="","",AA42)</f>
        <v>паз ХДФ*anna(по длине);</v>
      </c>
      <c r="N42" s="30" t="str">
        <f>CONCATENATE(IF(E42&lt;&gt;T42,"НеРавны",),IF(AND(NOT(ISBLANK(R42)),R42&lt;&gt;T42),"Д",),IF(AND(NOT(ISBLANK(S42)),S42&lt;&gt;U42),"Ш",))</f>
        <v>ДШ</v>
      </c>
      <c r="O42" s="22">
        <f>O41+1</f>
        <v>25</v>
      </c>
      <c r="P42" s="18" t="s">
        <v>190</v>
      </c>
      <c r="Q42" s="18">
        <v>5</v>
      </c>
      <c r="R42" s="18">
        <v>592</v>
      </c>
      <c r="S42" s="18">
        <v>560</v>
      </c>
      <c r="T42" s="3">
        <v>591</v>
      </c>
      <c r="U42" s="3">
        <v>559</v>
      </c>
      <c r="V42" s="23"/>
      <c r="W42" s="23" t="s">
        <v>227</v>
      </c>
      <c r="X42" s="26" t="str">
        <f>J182</f>
        <v>ЛДСП Lamarty 2750*1830*16 Белый б/к</v>
      </c>
      <c r="Y42" s="18" t="s">
        <v>158</v>
      </c>
      <c r="Z42" s="18">
        <v>1</v>
      </c>
      <c r="AA42" s="18" t="s">
        <v>188</v>
      </c>
      <c r="AB42" s="18"/>
      <c r="AC42" s="18"/>
      <c r="AD42" s="56"/>
    </row>
    <row r="43" spans="1:30" x14ac:dyDescent="0.25">
      <c r="A43" s="9" t="str">
        <f>CONCATENATE(O43,".",LEFT(J43))</f>
        <v>26.Л</v>
      </c>
      <c r="B43" s="32" t="str">
        <f>CONCATENATE(IF(OR(Y43="Не определена",Y43,ISBLANK(Y43)),"↕",),IF(Y43="Не обязательна","±",),Q43,".",P43)</f>
        <v>5.дно ящика</v>
      </c>
      <c r="C43" s="54" t="str">
        <f>I182</f>
        <v>-</v>
      </c>
      <c r="D43" s="54" t="str">
        <f>I182</f>
        <v>-</v>
      </c>
      <c r="E43" s="48">
        <f>IF(M43="скрутка",T43+$Q$1,IF(M43="склейка",T43+$Q$1,IF(M43="запил торца",ROUND(T43+$P$1,0),IF(M43="запил торцов",ROUND(T43+$P$1*2,0),T43))))+IF(G43=$O$1,$P$1,)+IF(H43=$O$1,$P$1,)</f>
        <v>493</v>
      </c>
      <c r="F43" s="48">
        <f>IF(M43="скрутка",U43+$Q$1,IF(M43="склейка",U43+$Q$1,IF(M43="запил торца",ROUND(U43+$P$1,0),IF(M43="запил торцов",ROUND(U43+$P$1*2,0),U43))))+IF(C43=$O$1,$P$1,)+IF(D43=$O$1,$P$1,)</f>
        <v>475</v>
      </c>
      <c r="G43" s="47"/>
      <c r="H43" s="47"/>
      <c r="I43" s="49">
        <f>IF(OR(M43="скрутка",M43="склейка"),Z43*2,Z43)</f>
        <v>1</v>
      </c>
      <c r="J43" s="53" t="str">
        <f>X43</f>
        <v>ЛДСП Lamarty 2750*1830*16 Белый б/к</v>
      </c>
      <c r="K43" s="52" t="str">
        <f>IF(ISBLANK(AB43),"",AB43)</f>
        <v/>
      </c>
      <c r="L43" s="52" t="str">
        <f>IF(ISBLANK(AC43),"",AC43)</f>
        <v/>
      </c>
      <c r="M43" s="51" t="str">
        <f>IF(AA43="","",AA43)</f>
        <v/>
      </c>
      <c r="N43" s="30" t="str">
        <f>CONCATENATE(IF(E43&lt;&gt;T43,"НеРавны",),IF(AND(NOT(ISBLANK(R43)),R43&lt;&gt;T43),"Д",),IF(AND(NOT(ISBLANK(S43)),S43&lt;&gt;U43),"Ш",))</f>
        <v>Ш</v>
      </c>
      <c r="O43" s="22">
        <f>O42+1</f>
        <v>26</v>
      </c>
      <c r="P43" s="18" t="s">
        <v>182</v>
      </c>
      <c r="Q43" s="18">
        <v>5</v>
      </c>
      <c r="R43" s="18">
        <v>493</v>
      </c>
      <c r="S43" s="18">
        <v>476</v>
      </c>
      <c r="T43" s="3">
        <v>493</v>
      </c>
      <c r="U43" s="3">
        <v>475</v>
      </c>
      <c r="V43" s="23"/>
      <c r="W43" s="23" t="s">
        <v>228</v>
      </c>
      <c r="X43" s="26" t="str">
        <f>J182</f>
        <v>ЛДСП Lamarty 2750*1830*16 Белый б/к</v>
      </c>
      <c r="Y43" s="18" t="s">
        <v>158</v>
      </c>
      <c r="Z43" s="18">
        <v>1</v>
      </c>
      <c r="AA43" s="18"/>
      <c r="AB43" s="18"/>
      <c r="AC43" s="18"/>
      <c r="AD43" s="56"/>
    </row>
    <row r="44" spans="1:30" x14ac:dyDescent="0.25">
      <c r="A44" s="9" t="str">
        <f>CONCATENATE(O44,".",LEFT(J44))</f>
        <v>27.Л</v>
      </c>
      <c r="B44" s="32" t="str">
        <f>CONCATENATE(IF(OR(Y44="Не определена",Y44,ISBLANK(Y44)),"↕",),IF(Y44="Не обязательна","±",),Q44,".",P44)</f>
        <v>5.задняя стенка ЛДСП</v>
      </c>
      <c r="C44" s="47"/>
      <c r="D44" s="47"/>
      <c r="E44" s="48">
        <f>IF(M44="скрутка",T44+$Q$1,IF(M44="склейка",T44+$Q$1,IF(M44="запил торца",ROUND(T44+$P$1,0),IF(M44="запил торцов",ROUND(T44+$P$1*2,0),T44))))+IF(G44=$O$1,$P$1,)+IF(H44=$O$1,$P$1,)</f>
        <v>568</v>
      </c>
      <c r="F44" s="48">
        <f>IF(M44="скрутка",U44+$Q$1,IF(M44="склейка",U44+$Q$1,IF(M44="запил торца",ROUND(U44+$P$1,0),IF(M44="запил торцов",ROUND(U44+$P$1*2,0),U44))))+IF(C44=$O$1,$P$1,)+IF(D44=$O$1,$P$1,)</f>
        <v>716</v>
      </c>
      <c r="G44" s="47"/>
      <c r="H44" s="47"/>
      <c r="I44" s="49">
        <f>IF(OR(M44="скрутка",M44="склейка"),Z44*2,Z44)</f>
        <v>1</v>
      </c>
      <c r="J44" s="53" t="str">
        <f>X44</f>
        <v>ЛДСП Lamarty 2750*1830*16 Белый б/к</v>
      </c>
      <c r="K44" s="52" t="str">
        <f>IF(ISBLANK(AB44),"",AB44)</f>
        <v/>
      </c>
      <c r="L44" s="52" t="str">
        <f>IF(ISBLANK(AC44),"",AC44)</f>
        <v/>
      </c>
      <c r="M44" s="51" t="str">
        <f>IF(AA44="","",AA44)</f>
        <v/>
      </c>
      <c r="N44" s="30" t="str">
        <f>CONCATENATE(IF(E44&lt;&gt;T44,"НеРавны",),IF(AND(NOT(ISBLANK(R44)),R44&lt;&gt;T44),"Д",),IF(AND(NOT(ISBLANK(S44)),S44&lt;&gt;U44),"Ш",))</f>
        <v/>
      </c>
      <c r="O44" s="22">
        <f>O43+1</f>
        <v>27</v>
      </c>
      <c r="P44" s="18" t="s">
        <v>219</v>
      </c>
      <c r="Q44" s="18">
        <v>5</v>
      </c>
      <c r="R44" s="18">
        <v>568</v>
      </c>
      <c r="S44" s="18">
        <v>716</v>
      </c>
      <c r="T44" s="3">
        <v>568</v>
      </c>
      <c r="U44" s="3">
        <v>716</v>
      </c>
      <c r="V44" s="23"/>
      <c r="W44" s="23" t="s">
        <v>164</v>
      </c>
      <c r="X44" s="26" t="str">
        <f>J182</f>
        <v>ЛДСП Lamarty 2750*1830*16 Белый б/к</v>
      </c>
      <c r="Y44" s="18" t="s">
        <v>158</v>
      </c>
      <c r="Z44" s="18">
        <v>1</v>
      </c>
      <c r="AA44" s="18"/>
      <c r="AB44" s="18"/>
      <c r="AC44" s="18"/>
      <c r="AD44" s="56"/>
    </row>
    <row r="45" spans="1:30" x14ac:dyDescent="0.25">
      <c r="A45" s="9" t="str">
        <f>CONCATENATE(O45,".",LEFT(J45))</f>
        <v>28.Л</v>
      </c>
      <c r="B45" s="32" t="str">
        <f>CONCATENATE(IF(OR(Y45="Не определена",Y45,ISBLANK(Y45)),"↕",),IF(Y45="Не обязательна","±",),Q45,".",P45)</f>
        <v>5.полка</v>
      </c>
      <c r="C45" s="54" t="str">
        <f>I182</f>
        <v>-</v>
      </c>
      <c r="D45" s="54" t="str">
        <f>I182</f>
        <v>-</v>
      </c>
      <c r="E45" s="48">
        <f>IF(M45="скрутка",T45+$Q$1,IF(M45="склейка",T45+$Q$1,IF(M45="запил торца",ROUND(T45+$P$1,0),IF(M45="запил торцов",ROUND(T45+$P$1*2,0),T45))))+IF(G45=$O$1,$P$1,)+IF(H45=$O$1,$P$1,)</f>
        <v>564</v>
      </c>
      <c r="F45" s="48">
        <f>IF(M45="скрутка",U45+$Q$1,IF(M45="склейка",U45+$Q$1,IF(M45="запил торца",ROUND(U45+$P$1,0),IF(M45="запил торцов",ROUND(U45+$P$1*2,0),U45))))+IF(C45=$O$1,$P$1,)+IF(D45=$O$1,$P$1,)</f>
        <v>539</v>
      </c>
      <c r="G45" s="54" t="str">
        <f>I182</f>
        <v>-</v>
      </c>
      <c r="H45" s="54" t="str">
        <f>I182</f>
        <v>-</v>
      </c>
      <c r="I45" s="49">
        <f>IF(OR(M45="скрутка",M45="склейка"),Z45*2,Z45)</f>
        <v>1</v>
      </c>
      <c r="J45" s="53" t="str">
        <f>X45</f>
        <v>ЛДСП Lamarty 2750*1830*16 Белый б/к</v>
      </c>
      <c r="K45" s="52" t="str">
        <f>IF(ISBLANK(AB45),"",AB45)</f>
        <v/>
      </c>
      <c r="L45" s="52" t="str">
        <f>IF(ISBLANK(AC45),"",AC45)</f>
        <v/>
      </c>
      <c r="M45" s="51" t="str">
        <f>IF(AA45="","",AA45)</f>
        <v/>
      </c>
      <c r="N45" s="30" t="str">
        <f>CONCATENATE(IF(E45&lt;&gt;T45,"НеРавны",),IF(AND(NOT(ISBLANK(R45)),R45&lt;&gt;T45),"Д",),IF(AND(NOT(ISBLANK(S45)),S45&lt;&gt;U45),"Ш",))</f>
        <v>ДШ</v>
      </c>
      <c r="O45" s="22">
        <f>O44+1</f>
        <v>28</v>
      </c>
      <c r="P45" s="18" t="s">
        <v>199</v>
      </c>
      <c r="Q45" s="18">
        <v>5</v>
      </c>
      <c r="R45" s="18">
        <v>565</v>
      </c>
      <c r="S45" s="18">
        <v>540</v>
      </c>
      <c r="T45" s="3">
        <v>564</v>
      </c>
      <c r="U45" s="3">
        <v>539</v>
      </c>
      <c r="V45" s="23"/>
      <c r="W45" s="23" t="s">
        <v>227</v>
      </c>
      <c r="X45" s="26" t="str">
        <f>J182</f>
        <v>ЛДСП Lamarty 2750*1830*16 Белый б/к</v>
      </c>
      <c r="Y45" s="18" t="s">
        <v>158</v>
      </c>
      <c r="Z45" s="18">
        <v>1</v>
      </c>
      <c r="AA45" s="18"/>
      <c r="AB45" s="18"/>
      <c r="AC45" s="18"/>
      <c r="AD45" s="56"/>
    </row>
    <row r="46" spans="1:30" x14ac:dyDescent="0.25">
      <c r="A46" s="9" t="str">
        <f>CONCATENATE(O46,".",LEFT(J46))</f>
        <v>29.Л</v>
      </c>
      <c r="B46" s="32" t="str">
        <f>CONCATENATE(IF(OR(Y46="Не определена",Y46,ISBLANK(Y46)),"↕",),IF(Y46="Не обязательна","±",),Q46,".",P46)</f>
        <v>5.полка СВЧ</v>
      </c>
      <c r="C46" s="54" t="str">
        <f>I182</f>
        <v>-</v>
      </c>
      <c r="D46" s="54" t="str">
        <f>I182</f>
        <v>-</v>
      </c>
      <c r="E46" s="48">
        <f>IF(M46="скрутка",T46+$Q$1,IF(M46="склейка",T46+$Q$1,IF(M46="запил торца",ROUND(T46+$P$1,0),IF(M46="запил торцов",ROUND(T46+$P$1*2,0),T46))))+IF(G46=$O$1,$P$1,)+IF(H46=$O$1,$P$1,)</f>
        <v>564</v>
      </c>
      <c r="F46" s="48">
        <f>IF(M46="скрутка",U46+$Q$1,IF(M46="склейка",U46+$Q$1,IF(M46="запил торца",ROUND(U46+$P$1,0),IF(M46="запил торцов",ROUND(U46+$P$1*2,0),U46))))+IF(C46=$O$1,$P$1,)+IF(D46=$O$1,$P$1,)</f>
        <v>533</v>
      </c>
      <c r="G46" s="54" t="str">
        <f>I182</f>
        <v>-</v>
      </c>
      <c r="H46" s="54" t="str">
        <f>I182</f>
        <v>-</v>
      </c>
      <c r="I46" s="49">
        <f>IF(OR(M46="скрутка",M46="склейка"),Z46*2,Z46)</f>
        <v>1</v>
      </c>
      <c r="J46" s="53" t="str">
        <f>X46</f>
        <v>ЛДСП Lamarty 2750*1830*16 Белый б/к</v>
      </c>
      <c r="K46" s="52" t="str">
        <f>IF(ISBLANK(AB46),"",AB46)</f>
        <v/>
      </c>
      <c r="L46" s="52" t="str">
        <f>IF(ISBLANK(AC46),"",AC46)</f>
        <v/>
      </c>
      <c r="M46" s="51" t="str">
        <f>IF(AA46="","",AA46)</f>
        <v/>
      </c>
      <c r="N46" s="30" t="str">
        <f>CONCATENATE(IF(E46&lt;&gt;T46,"НеРавны",),IF(AND(NOT(ISBLANK(R46)),R46&lt;&gt;T46),"Д",),IF(AND(NOT(ISBLANK(S46)),S46&lt;&gt;U46),"Ш",))</f>
        <v>ДШ</v>
      </c>
      <c r="O46" s="22">
        <f>O45+1</f>
        <v>29</v>
      </c>
      <c r="P46" s="18" t="s">
        <v>214</v>
      </c>
      <c r="Q46" s="18">
        <v>5</v>
      </c>
      <c r="R46" s="18">
        <v>565</v>
      </c>
      <c r="S46" s="18">
        <v>534</v>
      </c>
      <c r="T46" s="3">
        <v>564</v>
      </c>
      <c r="U46" s="3">
        <v>533</v>
      </c>
      <c r="V46" s="23"/>
      <c r="W46" s="23" t="s">
        <v>227</v>
      </c>
      <c r="X46" s="26" t="str">
        <f>J182</f>
        <v>ЛДСП Lamarty 2750*1830*16 Белый б/к</v>
      </c>
      <c r="Y46" s="18" t="s">
        <v>158</v>
      </c>
      <c r="Z46" s="18">
        <v>1</v>
      </c>
      <c r="AA46" s="18"/>
      <c r="AB46" s="18"/>
      <c r="AC46" s="18"/>
      <c r="AD46" s="56"/>
    </row>
    <row r="47" spans="1:30" x14ac:dyDescent="0.25">
      <c r="A47" s="9" t="str">
        <f>CONCATENATE(O47,".",LEFT(J47))</f>
        <v>30.Л</v>
      </c>
      <c r="B47" s="32" t="str">
        <f>CONCATENATE(IF(OR(Y47="Не определена",Y47,ISBLANK(Y47)),"↕",),IF(Y47="Не обязательна","±",),Q47,".",P47)</f>
        <v>5.тыл ящика</v>
      </c>
      <c r="C47" s="54" t="str">
        <f>I182</f>
        <v>-</v>
      </c>
      <c r="D47" s="54" t="str">
        <f>I182</f>
        <v>-</v>
      </c>
      <c r="E47" s="48">
        <f>IF(M47="скрутка",T47+$Q$1,IF(M47="склейка",T47+$Q$1,IF(M47="запил торца",ROUND(T47+$P$1,0),IF(M47="запил торцов",ROUND(T47+$P$1*2,0),T47))))+IF(G47=$O$1,$P$1,)+IF(H47=$O$1,$P$1,)</f>
        <v>481</v>
      </c>
      <c r="F47" s="48">
        <f>IF(M47="скрутка",U47+$Q$1,IF(M47="склейка",U47+$Q$1,IF(M47="запил торца",ROUND(U47+$P$1,0),IF(M47="запил торцов",ROUND(U47+$P$1*2,0),U47))))+IF(C47=$O$1,$P$1,)+IF(D47=$O$1,$P$1,)</f>
        <v>198</v>
      </c>
      <c r="G47" s="47"/>
      <c r="H47" s="47"/>
      <c r="I47" s="49">
        <f>IF(OR(M47="скрутка",M47="склейка"),Z47*2,Z47)</f>
        <v>1</v>
      </c>
      <c r="J47" s="53" t="str">
        <f>X47</f>
        <v>ЛДСП Lamarty 2750*1830*16 Белый б/к</v>
      </c>
      <c r="K47" s="52" t="str">
        <f>IF(ISBLANK(AB47),"",AB47)</f>
        <v/>
      </c>
      <c r="L47" s="52" t="str">
        <f>IF(ISBLANK(AC47),"",AC47)</f>
        <v/>
      </c>
      <c r="M47" s="51" t="str">
        <f>IF(AA47="","",AA47)</f>
        <v/>
      </c>
      <c r="N47" s="30" t="str">
        <f>CONCATENATE(IF(E47&lt;&gt;T47,"НеРавны",),IF(AND(NOT(ISBLANK(R47)),R47&lt;&gt;T47),"Д",),IF(AND(NOT(ISBLANK(S47)),S47&lt;&gt;U47),"Ш",))</f>
        <v>Ш</v>
      </c>
      <c r="O47" s="22">
        <f>O46+1</f>
        <v>30</v>
      </c>
      <c r="P47" s="18" t="s">
        <v>183</v>
      </c>
      <c r="Q47" s="18">
        <v>5</v>
      </c>
      <c r="R47" s="18">
        <v>481</v>
      </c>
      <c r="S47" s="18">
        <v>199</v>
      </c>
      <c r="T47" s="3">
        <v>481</v>
      </c>
      <c r="U47" s="3">
        <v>198</v>
      </c>
      <c r="V47" s="23"/>
      <c r="W47" s="23" t="s">
        <v>228</v>
      </c>
      <c r="X47" s="26" t="str">
        <f>J182</f>
        <v>ЛДСП Lamarty 2750*1830*16 Белый б/к</v>
      </c>
      <c r="Y47" s="18" t="s">
        <v>158</v>
      </c>
      <c r="Z47" s="18">
        <v>1</v>
      </c>
      <c r="AA47" s="18"/>
      <c r="AB47" s="18"/>
      <c r="AC47" s="18"/>
      <c r="AD47" s="56"/>
    </row>
    <row r="48" spans="1:30" x14ac:dyDescent="0.25">
      <c r="A48" s="9" t="str">
        <f>CONCATENATE(O48,".",LEFT(J48))</f>
        <v>6.М</v>
      </c>
      <c r="B48" s="32" t="str">
        <f>CONCATENATE(IF(OR(Y48="Не определена",Y48,ISBLANK(Y48)),"↕",),IF(Y48="Не обязательна","±",),Q48,".",P48)</f>
        <v>5.фасад (мыло)</v>
      </c>
      <c r="C48" s="54" t="str">
        <f>I186</f>
        <v>-</v>
      </c>
      <c r="D48" s="54" t="str">
        <f>I186</f>
        <v>-</v>
      </c>
      <c r="E48" s="48">
        <f>IF(M48="скрутка",T48+$Q$1,IF(M48="склейка",T48+$Q$1,IF(M48="запил торца",ROUND(T48+$P$1,0),IF(M48="запил торцов",ROUND(T48+$P$1*2,0),T48))))+IF(G48=$O$1,$P$1,)+IF(H48=$O$1,$P$1,)</f>
        <v>732</v>
      </c>
      <c r="F48" s="48">
        <f>IF(M48="скрутка",U48+$Q$1,IF(M48="склейка",U48+$Q$1,IF(M48="запил торца",ROUND(U48+$P$1,0),IF(M48="запил торцов",ROUND(U48+$P$1*2,0),U48))))+IF(C48=$O$1,$P$1,)+IF(D48=$O$1,$P$1,)</f>
        <v>597</v>
      </c>
      <c r="G48" s="54" t="str">
        <f>I186</f>
        <v>-</v>
      </c>
      <c r="H48" s="54" t="str">
        <f>I186</f>
        <v>-</v>
      </c>
      <c r="I48" s="49">
        <f>IF(OR(M48="скрутка",M48="склейка"),Z48*2,Z48)</f>
        <v>1</v>
      </c>
      <c r="J48" s="53" t="str">
        <f>X48</f>
        <v>МДФ 2800х2070х16 лам. Белый 2 ст. б/к</v>
      </c>
      <c r="K48" s="52" t="str">
        <f>IF(ISBLANK(AB48),"",AB48)</f>
        <v>KHR Глянец</v>
      </c>
      <c r="L48" s="52" t="str">
        <f>IF(ISBLANK(AC48),"",AC48)</f>
        <v/>
      </c>
      <c r="M48" s="51" t="str">
        <f>IF(AA48="","",AA48)</f>
        <v/>
      </c>
      <c r="N48" s="30" t="str">
        <f>CONCATENATE(IF(E48&lt;&gt;T48,"НеРавны",),IF(AND(NOT(ISBLANK(R48)),R48&lt;&gt;T48),"Д",),IF(AND(NOT(ISBLANK(S48)),S48&lt;&gt;U48),"Ш",))</f>
        <v/>
      </c>
      <c r="O48" s="22">
        <f>O33+1</f>
        <v>6</v>
      </c>
      <c r="P48" s="18" t="s">
        <v>223</v>
      </c>
      <c r="Q48" s="18">
        <v>5</v>
      </c>
      <c r="R48" s="18">
        <v>732</v>
      </c>
      <c r="S48" s="18">
        <v>597</v>
      </c>
      <c r="T48" s="3">
        <v>732</v>
      </c>
      <c r="U48" s="3">
        <v>597</v>
      </c>
      <c r="V48" s="23"/>
      <c r="W48" s="23" t="s">
        <v>229</v>
      </c>
      <c r="X48" s="26" t="str">
        <f>J186</f>
        <v>МДФ 2800х2070х16 лам. Белый 2 ст. б/к</v>
      </c>
      <c r="Y48" s="18" t="s">
        <v>158</v>
      </c>
      <c r="Z48" s="18">
        <v>1</v>
      </c>
      <c r="AA48" s="18"/>
      <c r="AB48" s="18" t="str">
        <f>K179</f>
        <v>KHR Глянец</v>
      </c>
      <c r="AC48" s="18"/>
      <c r="AD48" s="56"/>
    </row>
    <row r="49" spans="1:30" x14ac:dyDescent="0.25">
      <c r="A49" s="9" t="str">
        <f>CONCATENATE(O49,".",LEFT(J49))</f>
        <v>7.М</v>
      </c>
      <c r="B49" s="32" t="str">
        <f>CONCATENATE(IF(OR(Y49="Не определена",Y49,ISBLANK(Y49)),"↕",),IF(Y49="Не обязательна","±",),Q49,".",P49)</f>
        <v>5.фасад (мыло)</v>
      </c>
      <c r="C49" s="54" t="str">
        <f>I186</f>
        <v>-</v>
      </c>
      <c r="D49" s="54" t="str">
        <f>I186</f>
        <v>-</v>
      </c>
      <c r="E49" s="48">
        <f>IF(M49="скрутка",T49+$Q$1,IF(M49="склейка",T49+$Q$1,IF(M49="запил торца",ROUND(T49+$P$1,0),IF(M49="запил торцов",ROUND(T49+$P$1*2,0),T49))))+IF(G49=$O$1,$P$1,)+IF(H49=$O$1,$P$1,)</f>
        <v>647</v>
      </c>
      <c r="F49" s="48">
        <f>IF(M49="скрутка",U49+$Q$1,IF(M49="склейка",U49+$Q$1,IF(M49="запил торца",ROUND(U49+$P$1,0),IF(M49="запил торцов",ROUND(U49+$P$1*2,0),U49))))+IF(C49=$O$1,$P$1,)+IF(D49=$O$1,$P$1,)</f>
        <v>597</v>
      </c>
      <c r="G49" s="54" t="str">
        <f>I186</f>
        <v>-</v>
      </c>
      <c r="H49" s="54" t="str">
        <f>I186</f>
        <v>-</v>
      </c>
      <c r="I49" s="49">
        <f>IF(OR(M49="скрутка",M49="склейка"),Z49*2,Z49)</f>
        <v>1</v>
      </c>
      <c r="J49" s="53" t="str">
        <f>X49</f>
        <v>МДФ 2800х2070х16 лам. Белый 2 ст. б/к</v>
      </c>
      <c r="K49" s="52" t="str">
        <f>IF(ISBLANK(AB49),"",AB49)</f>
        <v>KHR Глянец</v>
      </c>
      <c r="L49" s="52" t="str">
        <f>IF(ISBLANK(AC49),"",AC49)</f>
        <v/>
      </c>
      <c r="M49" s="51" t="str">
        <f>IF(AA49="","",AA49)</f>
        <v/>
      </c>
      <c r="N49" s="30" t="str">
        <f>CONCATENATE(IF(E49&lt;&gt;T49,"НеРавны",),IF(AND(NOT(ISBLANK(R49)),R49&lt;&gt;T49),"Д",),IF(AND(NOT(ISBLANK(S49)),S49&lt;&gt;U49),"Ш",))</f>
        <v/>
      </c>
      <c r="O49" s="22">
        <f>O48+1</f>
        <v>7</v>
      </c>
      <c r="P49" s="18" t="s">
        <v>223</v>
      </c>
      <c r="Q49" s="18">
        <v>5</v>
      </c>
      <c r="R49" s="18">
        <v>647</v>
      </c>
      <c r="S49" s="18">
        <v>597</v>
      </c>
      <c r="T49" s="3">
        <v>647</v>
      </c>
      <c r="U49" s="3">
        <v>597</v>
      </c>
      <c r="V49" s="23"/>
      <c r="W49" s="23" t="s">
        <v>229</v>
      </c>
      <c r="X49" s="26" t="str">
        <f>J186</f>
        <v>МДФ 2800х2070х16 лам. Белый 2 ст. б/к</v>
      </c>
      <c r="Y49" s="18" t="s">
        <v>158</v>
      </c>
      <c r="Z49" s="18">
        <v>1</v>
      </c>
      <c r="AA49" s="18"/>
      <c r="AB49" s="18" t="str">
        <f>K179</f>
        <v>KHR Глянец</v>
      </c>
      <c r="AC49" s="18"/>
      <c r="AD49" s="56"/>
    </row>
    <row r="50" spans="1:30" ht="30" x14ac:dyDescent="0.25">
      <c r="A50" s="9" t="str">
        <f>CONCATENATE(O50,".",LEFT(J50))</f>
        <v>8.М</v>
      </c>
      <c r="B50" s="32" t="str">
        <f>CONCATENATE(IF(OR(Y50="Не определена",Y50,ISBLANK(Y50)),"↕",),IF(Y50="Не обязательна","±",),Q50,".",P50)</f>
        <v>5.фасад (мыло, 901246 в торец)</v>
      </c>
      <c r="C50" s="54" t="str">
        <f>I186</f>
        <v>-</v>
      </c>
      <c r="D50" s="54" t="str">
        <f>I186</f>
        <v>-</v>
      </c>
      <c r="E50" s="48">
        <f>IF(M50="скрутка",T50+$Q$1,IF(M50="склейка",T50+$Q$1,IF(M50="запил торца",ROUND(T50+$P$1,0),IF(M50="запил торцов",ROUND(T50+$P$1*2,0),T50))))+IF(G50=$O$1,$P$1,)+IF(H50=$O$1,$P$1,)</f>
        <v>337</v>
      </c>
      <c r="F50" s="48">
        <f>IF(M50="скрутка",U50+$Q$1,IF(M50="склейка",U50+$Q$1,IF(M50="запил торца",ROUND(U50+$P$1,0),IF(M50="запил торцов",ROUND(U50+$P$1*2,0),U50))))+IF(C50=$O$1,$P$1,)+IF(D50=$O$1,$P$1,)</f>
        <v>597</v>
      </c>
      <c r="G50" s="54" t="str">
        <f>I186</f>
        <v>-</v>
      </c>
      <c r="H50" s="54" t="str">
        <f>I186</f>
        <v>-</v>
      </c>
      <c r="I50" s="49">
        <f>IF(OR(M50="скрутка",M50="склейка"),Z50*2,Z50)</f>
        <v>1</v>
      </c>
      <c r="J50" s="53" t="str">
        <f>X50</f>
        <v>МДФ 2800х2070х16 лам. Белый 2 ст. б/к</v>
      </c>
      <c r="K50" s="52" t="str">
        <f>IF(ISBLANK(AB50),"",AB50)</f>
        <v>KHR Глянец</v>
      </c>
      <c r="L50" s="52" t="str">
        <f>IF(ISBLANK(AC50),"",AC50)</f>
        <v/>
      </c>
      <c r="M50" s="51" t="str">
        <f>IF(AA50="","",AA50)</f>
        <v/>
      </c>
      <c r="N50" s="30" t="str">
        <f>CONCATENATE(IF(E50&lt;&gt;T50,"НеРавны",),IF(AND(NOT(ISBLANK(R50)),R50&lt;&gt;T50),"Д",),IF(AND(NOT(ISBLANK(S50)),S50&lt;&gt;U50),"Ш",))</f>
        <v/>
      </c>
      <c r="O50" s="22">
        <f>O49+1</f>
        <v>8</v>
      </c>
      <c r="P50" s="18" t="s">
        <v>191</v>
      </c>
      <c r="Q50" s="18">
        <v>5</v>
      </c>
      <c r="R50" s="18">
        <v>337</v>
      </c>
      <c r="S50" s="18">
        <v>597</v>
      </c>
      <c r="T50" s="3">
        <v>337</v>
      </c>
      <c r="U50" s="3">
        <v>597</v>
      </c>
      <c r="V50" s="23"/>
      <c r="W50" s="23" t="s">
        <v>229</v>
      </c>
      <c r="X50" s="26" t="str">
        <f>J186</f>
        <v>МДФ 2800х2070х16 лам. Белый 2 ст. б/к</v>
      </c>
      <c r="Y50" s="18" t="s">
        <v>158</v>
      </c>
      <c r="Z50" s="18">
        <v>1</v>
      </c>
      <c r="AA50" s="18"/>
      <c r="AB50" s="18" t="str">
        <f>K179</f>
        <v>KHR Глянец</v>
      </c>
      <c r="AC50" s="18"/>
      <c r="AD50" s="56"/>
    </row>
    <row r="51" spans="1:30" x14ac:dyDescent="0.25">
      <c r="A51" s="9" t="str">
        <f>CONCATENATE(O51,".",LEFT(J51))</f>
        <v>5.X</v>
      </c>
      <c r="B51" s="32" t="str">
        <f>CONCATENATE(IF(OR(Y51="Не определена",Y51,ISBLANK(Y51)),"↕",),IF(Y51="Не обязательна","±",),Q51,".",P51)</f>
        <v>6.задняя стенка</v>
      </c>
      <c r="C51" s="47"/>
      <c r="D51" s="47"/>
      <c r="E51" s="48">
        <f>IF(M51="скрутка",T51+$Q$1,IF(M51="склейка",T51+$Q$1,IF(M51="запил торца",ROUND(T51+$P$1,0),IF(M51="запил торцов",ROUND(T51+$P$1*2,0),T51))))+IF(G51=$O$1,$P$1,)+IF(H51=$O$1,$P$1,)</f>
        <v>632</v>
      </c>
      <c r="F51" s="48">
        <f>IF(M51="скрутка",U51+$Q$1,IF(M51="склейка",U51+$Q$1,IF(M51="запил торца",ROUND(U51+$P$1,0),IF(M51="запил торцов",ROUND(U51+$P$1*2,0),U51))))+IF(C51=$O$1,$P$1,)+IF(D51=$O$1,$P$1,)</f>
        <v>562</v>
      </c>
      <c r="G51" s="47"/>
      <c r="H51" s="47"/>
      <c r="I51" s="49">
        <f>IF(OR(M51="скрутка",M51="склейка"),Z51*2,Z51)</f>
        <v>1</v>
      </c>
      <c r="J51" s="111" t="str">
        <f>X51</f>
        <v>XДФ 2800*2070*4 Белый б/к</v>
      </c>
      <c r="K51" s="52" t="str">
        <f>IF(ISBLANK(AB51),"",AB51)</f>
        <v/>
      </c>
      <c r="L51" s="52" t="str">
        <f>IF(ISBLANK(AC51),"",AC51)</f>
        <v/>
      </c>
      <c r="M51" s="51" t="str">
        <f>IF(AA51="","",AA51)</f>
        <v/>
      </c>
      <c r="N51" s="30" t="str">
        <f>CONCATENATE(IF(E51&lt;&gt;T51,"НеРавны",),IF(AND(NOT(ISBLANK(R51)),R51&lt;&gt;T51),"Д",),IF(AND(NOT(ISBLANK(S51)),S51&lt;&gt;U51),"Ш",))</f>
        <v/>
      </c>
      <c r="O51" s="22">
        <f>O35+1</f>
        <v>5</v>
      </c>
      <c r="P51" s="18" t="s">
        <v>189</v>
      </c>
      <c r="Q51" s="18">
        <v>6</v>
      </c>
      <c r="R51" s="18">
        <v>632</v>
      </c>
      <c r="S51" s="18">
        <v>562</v>
      </c>
      <c r="T51" s="3">
        <v>632</v>
      </c>
      <c r="U51" s="3">
        <v>562</v>
      </c>
      <c r="V51" s="23"/>
      <c r="W51" s="23" t="s">
        <v>164</v>
      </c>
      <c r="X51" s="26" t="str">
        <f>X35</f>
        <v>XДФ 2800*2070*4 Белый б/к</v>
      </c>
      <c r="Y51" s="18" t="s">
        <v>158</v>
      </c>
      <c r="Z51" s="18">
        <v>1</v>
      </c>
      <c r="AA51" s="18"/>
      <c r="AB51" s="18"/>
      <c r="AC51" s="18"/>
      <c r="AD51" s="56"/>
    </row>
    <row r="52" spans="1:30" x14ac:dyDescent="0.25">
      <c r="A52" s="9" t="str">
        <f>CONCATENATE(O52,".",LEFT(J52))</f>
        <v>31.Л</v>
      </c>
      <c r="B52" s="32" t="str">
        <f>CONCATENATE(IF(OR(Y52="Не определена",Y52,ISBLANK(Y52)),"↕",),IF(Y52="Не обязательна","±",),Q52,".",P52)</f>
        <v>6.бок (паз_74)</v>
      </c>
      <c r="C52" s="54" t="str">
        <f>I182</f>
        <v>-</v>
      </c>
      <c r="D52" s="54" t="str">
        <f>I182</f>
        <v>-</v>
      </c>
      <c r="E52" s="48">
        <f>IF(M52="скрутка",T52+$Q$1,IF(M52="склейка",T52+$Q$1,IF(M52="запил торца",ROUND(T52+$P$1,0),IF(M52="запил торцов",ROUND(T52+$P$1*2,0),T52))))+IF(G52=$O$1,$P$1,)+IF(H52=$O$1,$P$1,)</f>
        <v>649</v>
      </c>
      <c r="F52" s="48">
        <f>IF(M52="скрутка",U52+$Q$1,IF(M52="склейка",U52+$Q$1,IF(M52="запил торца",ROUND(U52+$P$1,0),IF(M52="запил торцов",ROUND(U52+$P$1*2,0),U52))))+IF(C52=$O$1,$P$1,)+IF(D52=$O$1,$P$1,)</f>
        <v>623</v>
      </c>
      <c r="G52" s="54" t="str">
        <f>I182</f>
        <v>-</v>
      </c>
      <c r="H52" s="54" t="str">
        <f>I182</f>
        <v>-</v>
      </c>
      <c r="I52" s="49">
        <f>IF(OR(M52="скрутка",M52="склейка"),Z52*2,Z52)</f>
        <v>1</v>
      </c>
      <c r="J52" s="53" t="str">
        <f>X52</f>
        <v>ЛДСП Lamarty 2750*1830*16 Белый б/к</v>
      </c>
      <c r="K52" s="52" t="str">
        <f>IF(ISBLANK(AB52),"",AB52)</f>
        <v/>
      </c>
      <c r="L52" s="52" t="str">
        <f>IF(ISBLANK(AC52),"",AC52)</f>
        <v/>
      </c>
      <c r="M52" s="51" t="str">
        <f>IF(AA52="","",AA52)</f>
        <v>паз ХДФ*anna(по длине);</v>
      </c>
      <c r="N52" s="30" t="str">
        <f>CONCATENATE(IF(E52&lt;&gt;T52,"НеРавны",),IF(AND(NOT(ISBLANK(R52)),R52&lt;&gt;T52),"Д",),IF(AND(NOT(ISBLANK(S52)),S52&lt;&gt;U52),"Ш",))</f>
        <v>ДШ</v>
      </c>
      <c r="O52" s="22">
        <f>O47+1</f>
        <v>31</v>
      </c>
      <c r="P52" s="18" t="s">
        <v>215</v>
      </c>
      <c r="Q52" s="18">
        <v>6</v>
      </c>
      <c r="R52" s="18">
        <v>650</v>
      </c>
      <c r="S52" s="18">
        <v>624</v>
      </c>
      <c r="T52" s="3">
        <v>649</v>
      </c>
      <c r="U52" s="3">
        <v>623</v>
      </c>
      <c r="V52" s="23"/>
      <c r="W52" s="23" t="s">
        <v>227</v>
      </c>
      <c r="X52" s="26" t="str">
        <f>J182</f>
        <v>ЛДСП Lamarty 2750*1830*16 Белый б/к</v>
      </c>
      <c r="Y52" s="18" t="s">
        <v>158</v>
      </c>
      <c r="Z52" s="18">
        <v>1</v>
      </c>
      <c r="AA52" s="18" t="s">
        <v>188</v>
      </c>
      <c r="AB52" s="18"/>
      <c r="AC52" s="18"/>
      <c r="AD52" s="56"/>
    </row>
    <row r="53" spans="1:30" x14ac:dyDescent="0.25">
      <c r="A53" s="9" t="str">
        <f>CONCATENATE(O53,".",LEFT(J53))</f>
        <v>32.Л</v>
      </c>
      <c r="B53" s="32" t="str">
        <f>CONCATENATE(IF(OR(Y53="Не определена",Y53,ISBLANK(Y53)),"↕",),IF(Y53="Не обязательна","±",),Q53,".",P53)</f>
        <v>6.бок (паз_74)</v>
      </c>
      <c r="C53" s="54" t="str">
        <f>I182</f>
        <v>-</v>
      </c>
      <c r="D53" s="54" t="str">
        <f>I182</f>
        <v>-</v>
      </c>
      <c r="E53" s="48">
        <f>IF(M53="скрутка",T53+$Q$1,IF(M53="склейка",T53+$Q$1,IF(M53="запил торца",ROUND(T53+$P$1,0),IF(M53="запил торцов",ROUND(T53+$P$1*2,0),T53))))+IF(G53=$O$1,$P$1,)+IF(H53=$O$1,$P$1,)</f>
        <v>649</v>
      </c>
      <c r="F53" s="48">
        <f>IF(M53="скрутка",U53+$Q$1,IF(M53="склейка",U53+$Q$1,IF(M53="запил торца",ROUND(U53+$P$1,0),IF(M53="запил торцов",ROUND(U53+$P$1*2,0),U53))))+IF(C53=$O$1,$P$1,)+IF(D53=$O$1,$P$1,)</f>
        <v>623</v>
      </c>
      <c r="G53" s="54" t="str">
        <f>I182</f>
        <v>-</v>
      </c>
      <c r="H53" s="54" t="str">
        <f>I182</f>
        <v>-</v>
      </c>
      <c r="I53" s="49">
        <f>IF(OR(M53="скрутка",M53="склейка"),Z53*2,Z53)</f>
        <v>1</v>
      </c>
      <c r="J53" s="53" t="str">
        <f>X53</f>
        <v>ЛДСП Lamarty 2750*1830*16 Белый б/к</v>
      </c>
      <c r="K53" s="52" t="str">
        <f>IF(ISBLANK(AB53),"",AB53)</f>
        <v/>
      </c>
      <c r="L53" s="52" t="str">
        <f>IF(ISBLANK(AC53),"",AC53)</f>
        <v/>
      </c>
      <c r="M53" s="51" t="str">
        <f>IF(AA53="","",AA53)</f>
        <v>паз ХДФ*anna(по длине);</v>
      </c>
      <c r="N53" s="30" t="str">
        <f>CONCATENATE(IF(E53&lt;&gt;T53,"НеРавны",),IF(AND(NOT(ISBLANK(R53)),R53&lt;&gt;T53),"Д",),IF(AND(NOT(ISBLANK(S53)),S53&lt;&gt;U53),"Ш",))</f>
        <v>ДШ</v>
      </c>
      <c r="O53" s="22">
        <f>O52+1</f>
        <v>32</v>
      </c>
      <c r="P53" s="18" t="s">
        <v>215</v>
      </c>
      <c r="Q53" s="18">
        <v>6</v>
      </c>
      <c r="R53" s="18">
        <v>650</v>
      </c>
      <c r="S53" s="18">
        <v>624</v>
      </c>
      <c r="T53" s="3">
        <v>649</v>
      </c>
      <c r="U53" s="3">
        <v>623</v>
      </c>
      <c r="V53" s="23"/>
      <c r="W53" s="23" t="s">
        <v>227</v>
      </c>
      <c r="X53" s="26" t="str">
        <f>J182</f>
        <v>ЛДСП Lamarty 2750*1830*16 Белый б/к</v>
      </c>
      <c r="Y53" s="18" t="s">
        <v>158</v>
      </c>
      <c r="Z53" s="18">
        <v>1</v>
      </c>
      <c r="AA53" s="18" t="s">
        <v>188</v>
      </c>
      <c r="AB53" s="18"/>
      <c r="AC53" s="18"/>
      <c r="AD53" s="56"/>
    </row>
    <row r="54" spans="1:30" x14ac:dyDescent="0.25">
      <c r="A54" s="9" t="str">
        <f>CONCATENATE(O54,".",LEFT(J54))</f>
        <v>33.Л</v>
      </c>
      <c r="B54" s="32" t="str">
        <f>CONCATENATE(IF(OR(Y54="Не определена",Y54,ISBLANK(Y54)),"↕",),IF(Y54="Не обязательна","±",),Q54,".",P54)</f>
        <v>6.горизонт</v>
      </c>
      <c r="C54" s="54" t="str">
        <f>I182</f>
        <v>-</v>
      </c>
      <c r="D54" s="54" t="str">
        <f>I182</f>
        <v>-</v>
      </c>
      <c r="E54" s="48">
        <f>IF(M54="скрутка",T54+$Q$1,IF(M54="склейка",T54+$Q$1,IF(M54="запил торца",ROUND(T54+$P$1,0),IF(M54="запил торцов",ROUND(T54+$P$1*2,0),T54))))+IF(G54=$O$1,$P$1,)+IF(H54=$O$1,$P$1,)</f>
        <v>548</v>
      </c>
      <c r="F54" s="48">
        <f>IF(M54="скрутка",U54+$Q$1,IF(M54="склейка",U54+$Q$1,IF(M54="запил торца",ROUND(U54+$P$1,0),IF(M54="запил торцов",ROUND(U54+$P$1*2,0),U54))))+IF(C54=$O$1,$P$1,)+IF(D54=$O$1,$P$1,)</f>
        <v>549</v>
      </c>
      <c r="G54" s="47"/>
      <c r="H54" s="47"/>
      <c r="I54" s="49">
        <f>IF(OR(M54="скрутка",M54="склейка"),Z54*2,Z54)</f>
        <v>1</v>
      </c>
      <c r="J54" s="53" t="str">
        <f>X54</f>
        <v>ЛДСП Lamarty 2750*1830*16 Белый б/к</v>
      </c>
      <c r="K54" s="52" t="str">
        <f>IF(ISBLANK(AB54),"",AB54)</f>
        <v/>
      </c>
      <c r="L54" s="52" t="str">
        <f>IF(ISBLANK(AC54),"",AC54)</f>
        <v/>
      </c>
      <c r="M54" s="51" t="str">
        <f>IF(AA54="","",AA54)</f>
        <v/>
      </c>
      <c r="N54" s="30" t="str">
        <f>CONCATENATE(IF(E54&lt;&gt;T54,"НеРавны",),IF(AND(NOT(ISBLANK(R54)),R54&lt;&gt;T54),"Д",),IF(AND(NOT(ISBLANK(S54)),S54&lt;&gt;U54),"Ш",))</f>
        <v>Ш</v>
      </c>
      <c r="O54" s="22">
        <f>O53+1</f>
        <v>33</v>
      </c>
      <c r="P54" s="18" t="s">
        <v>206</v>
      </c>
      <c r="Q54" s="18">
        <v>6</v>
      </c>
      <c r="R54" s="18">
        <v>548</v>
      </c>
      <c r="S54" s="18">
        <v>550</v>
      </c>
      <c r="T54" s="3">
        <v>548</v>
      </c>
      <c r="U54" s="3">
        <v>549</v>
      </c>
      <c r="V54" s="23"/>
      <c r="W54" s="23" t="s">
        <v>228</v>
      </c>
      <c r="X54" s="26" t="str">
        <f>J182</f>
        <v>ЛДСП Lamarty 2750*1830*16 Белый б/к</v>
      </c>
      <c r="Y54" s="18" t="s">
        <v>158</v>
      </c>
      <c r="Z54" s="18">
        <v>1</v>
      </c>
      <c r="AA54" s="18"/>
      <c r="AB54" s="18"/>
      <c r="AC54" s="18"/>
      <c r="AD54" s="56"/>
    </row>
    <row r="55" spans="1:30" x14ac:dyDescent="0.25">
      <c r="A55" s="9" t="str">
        <f>CONCATENATE(O55,".",LEFT(J55))</f>
        <v>34.Л</v>
      </c>
      <c r="B55" s="32" t="str">
        <f>CONCATENATE(IF(OR(Y55="Не определена",Y55,ISBLANK(Y55)),"↕",),IF(Y55="Не обязательна","±",),Q55,".",P55)</f>
        <v>6.горизонт (паз_10)</v>
      </c>
      <c r="C55" s="54" t="str">
        <f>I182</f>
        <v>-</v>
      </c>
      <c r="D55" s="54" t="str">
        <f>I182</f>
        <v>-</v>
      </c>
      <c r="E55" s="48">
        <f>IF(M55="скрутка",T55+$Q$1,IF(M55="склейка",T55+$Q$1,IF(M55="запил торца",ROUND(T55+$P$1,0),IF(M55="запил торцов",ROUND(T55+$P$1*2,0),T55))))+IF(G55=$O$1,$P$1,)+IF(H55=$O$1,$P$1,)</f>
        <v>548</v>
      </c>
      <c r="F55" s="48">
        <f>IF(M55="скрутка",U55+$Q$1,IF(M55="склейка",U55+$Q$1,IF(M55="запил торца",ROUND(U55+$P$1,0),IF(M55="запил торцов",ROUND(U55+$P$1*2,0),U55))))+IF(C55=$O$1,$P$1,)+IF(D55=$O$1,$P$1,)</f>
        <v>559</v>
      </c>
      <c r="G55" s="47"/>
      <c r="H55" s="47"/>
      <c r="I55" s="49">
        <f>IF(OR(M55="скрутка",M55="склейка"),Z55*2,Z55)</f>
        <v>1</v>
      </c>
      <c r="J55" s="53" t="str">
        <f>X55</f>
        <v>ЛДСП Lamarty 2750*1830*16 Белый б/к</v>
      </c>
      <c r="K55" s="52" t="str">
        <f>IF(ISBLANK(AB55),"",AB55)</f>
        <v/>
      </c>
      <c r="L55" s="52" t="str">
        <f>IF(ISBLANK(AC55),"",AC55)</f>
        <v/>
      </c>
      <c r="M55" s="51" t="str">
        <f>IF(AA55="","",AA55)</f>
        <v>паз ХДФ 8*4(уточнить);</v>
      </c>
      <c r="N55" s="30" t="str">
        <f>CONCATENATE(IF(E55&lt;&gt;T55,"НеРавны",),IF(AND(NOT(ISBLANK(R55)),R55&lt;&gt;T55),"Д",),IF(AND(NOT(ISBLANK(S55)),S55&lt;&gt;U55),"Ш",))</f>
        <v>Ш</v>
      </c>
      <c r="O55" s="22">
        <f>O54+1</f>
        <v>34</v>
      </c>
      <c r="P55" s="18" t="s">
        <v>213</v>
      </c>
      <c r="Q55" s="18">
        <v>6</v>
      </c>
      <c r="R55" s="18">
        <v>548</v>
      </c>
      <c r="S55" s="18">
        <v>560</v>
      </c>
      <c r="T55" s="3">
        <v>548</v>
      </c>
      <c r="U55" s="3">
        <v>559</v>
      </c>
      <c r="V55" s="23"/>
      <c r="W55" s="23" t="s">
        <v>228</v>
      </c>
      <c r="X55" s="26" t="str">
        <f>J182</f>
        <v>ЛДСП Lamarty 2750*1830*16 Белый б/к</v>
      </c>
      <c r="Y55" s="18" t="s">
        <v>158</v>
      </c>
      <c r="Z55" s="18">
        <v>1</v>
      </c>
      <c r="AA55" s="18" t="s">
        <v>204</v>
      </c>
      <c r="AB55" s="18"/>
      <c r="AC55" s="18"/>
      <c r="AD55" s="56"/>
    </row>
    <row r="56" spans="1:30" x14ac:dyDescent="0.25">
      <c r="A56" s="9" t="str">
        <f>CONCATENATE(O56,".",LEFT(J56))</f>
        <v>35.Л</v>
      </c>
      <c r="B56" s="32" t="str">
        <f>CONCATENATE(IF(OR(Y56="Не определена",Y56,ISBLANK(Y56)),"↕",),IF(Y56="Не обязательна","±",),Q56,".",P56)</f>
        <v>6.полка</v>
      </c>
      <c r="C56" s="54" t="str">
        <f>I182</f>
        <v>-</v>
      </c>
      <c r="D56" s="54" t="str">
        <f>I182</f>
        <v>-</v>
      </c>
      <c r="E56" s="48">
        <f>IF(M56="скрутка",T56+$Q$1,IF(M56="склейка",T56+$Q$1,IF(M56="запил торца",ROUND(T56+$P$1,0),IF(M56="запил торцов",ROUND(T56+$P$1*2,0),T56))))+IF(G56=$O$1,$P$1,)+IF(H56=$O$1,$P$1,)</f>
        <v>544</v>
      </c>
      <c r="F56" s="48">
        <f>IF(M56="скрутка",U56+$Q$1,IF(M56="склейка",U56+$Q$1,IF(M56="запил торца",ROUND(U56+$P$1,0),IF(M56="запил торцов",ROUND(U56+$P$1*2,0),U56))))+IF(C56=$O$1,$P$1,)+IF(D56=$O$1,$P$1,)</f>
        <v>539</v>
      </c>
      <c r="G56" s="54" t="str">
        <f>I182</f>
        <v>-</v>
      </c>
      <c r="H56" s="54" t="str">
        <f>I182</f>
        <v>-</v>
      </c>
      <c r="I56" s="49">
        <f>IF(OR(M56="скрутка",M56="склейка"),Z56*2,Z56)</f>
        <v>1</v>
      </c>
      <c r="J56" s="53" t="str">
        <f>X56</f>
        <v>ЛДСП Lamarty 2750*1830*16 Белый б/к</v>
      </c>
      <c r="K56" s="52" t="str">
        <f>IF(ISBLANK(AB56),"",AB56)</f>
        <v/>
      </c>
      <c r="L56" s="52" t="str">
        <f>IF(ISBLANK(AC56),"",AC56)</f>
        <v/>
      </c>
      <c r="M56" s="51" t="str">
        <f>IF(AA56="","",AA56)</f>
        <v/>
      </c>
      <c r="N56" s="30" t="str">
        <f>CONCATENATE(IF(E56&lt;&gt;T56,"НеРавны",),IF(AND(NOT(ISBLANK(R56)),R56&lt;&gt;T56),"Д",),IF(AND(NOT(ISBLANK(S56)),S56&lt;&gt;U56),"Ш",))</f>
        <v>ДШ</v>
      </c>
      <c r="O56" s="22">
        <f>O55+1</f>
        <v>35</v>
      </c>
      <c r="P56" s="18" t="s">
        <v>199</v>
      </c>
      <c r="Q56" s="18">
        <v>6</v>
      </c>
      <c r="R56" s="18">
        <v>545</v>
      </c>
      <c r="S56" s="18">
        <v>540</v>
      </c>
      <c r="T56" s="3">
        <v>544</v>
      </c>
      <c r="U56" s="3">
        <v>539</v>
      </c>
      <c r="V56" s="23"/>
      <c r="W56" s="23" t="s">
        <v>227</v>
      </c>
      <c r="X56" s="26" t="str">
        <f>J182</f>
        <v>ЛДСП Lamarty 2750*1830*16 Белый б/к</v>
      </c>
      <c r="Y56" s="18" t="s">
        <v>158</v>
      </c>
      <c r="Z56" s="18">
        <v>1</v>
      </c>
      <c r="AA56" s="18"/>
      <c r="AB56" s="18"/>
      <c r="AC56" s="18"/>
      <c r="AD56" s="56"/>
    </row>
    <row r="57" spans="1:30" x14ac:dyDescent="0.25">
      <c r="A57" s="9" t="str">
        <f>CONCATENATE(O57,".",LEFT(J57))</f>
        <v>9.М</v>
      </c>
      <c r="B57" s="32" t="str">
        <f>CONCATENATE(IF(OR(Y57="Не определена",Y57,ISBLANK(Y57)),"↕",),IF(Y57="Не обязательна","±",),Q57,".",P57)</f>
        <v>6.фасад (мыло)</v>
      </c>
      <c r="C57" s="54" t="str">
        <f>I186</f>
        <v>-</v>
      </c>
      <c r="D57" s="54" t="str">
        <f>I186</f>
        <v>-</v>
      </c>
      <c r="E57" s="48">
        <f>IF(M57="скрутка",T57+$Q$1,IF(M57="склейка",T57+$Q$1,IF(M57="запил торца",ROUND(T57+$P$1,0),IF(M57="запил торцов",ROUND(T57+$P$1*2,0),T57))))+IF(G57=$O$1,$P$1,)+IF(H57=$O$1,$P$1,)</f>
        <v>647</v>
      </c>
      <c r="F57" s="48">
        <f>IF(M57="скрутка",U57+$Q$1,IF(M57="склейка",U57+$Q$1,IF(M57="запил торца",ROUND(U57+$P$1,0),IF(M57="запил торцов",ROUND(U57+$P$1*2,0),U57))))+IF(C57=$O$1,$P$1,)+IF(D57=$O$1,$P$1,)</f>
        <v>577</v>
      </c>
      <c r="G57" s="54" t="str">
        <f>I186</f>
        <v>-</v>
      </c>
      <c r="H57" s="54" t="str">
        <f>I186</f>
        <v>-</v>
      </c>
      <c r="I57" s="49">
        <f>IF(OR(M57="скрутка",M57="склейка"),Z57*2,Z57)</f>
        <v>1</v>
      </c>
      <c r="J57" s="53" t="str">
        <f>X57</f>
        <v>МДФ 2800х2070х16 лам. Белый 2 ст. б/к</v>
      </c>
      <c r="K57" s="52" t="str">
        <f>IF(ISBLANK(AB57),"",AB57)</f>
        <v>KHR Глянец</v>
      </c>
      <c r="L57" s="52" t="str">
        <f>IF(ISBLANK(AC57),"",AC57)</f>
        <v/>
      </c>
      <c r="M57" s="51" t="str">
        <f>IF(AA57="","",AA57)</f>
        <v/>
      </c>
      <c r="N57" s="30" t="str">
        <f>CONCATENATE(IF(E57&lt;&gt;T57,"НеРавны",),IF(AND(NOT(ISBLANK(R57)),R57&lt;&gt;T57),"Д",),IF(AND(NOT(ISBLANK(S57)),S57&lt;&gt;U57),"Ш",))</f>
        <v/>
      </c>
      <c r="O57" s="22">
        <f>O50+1</f>
        <v>9</v>
      </c>
      <c r="P57" s="18" t="s">
        <v>223</v>
      </c>
      <c r="Q57" s="18">
        <v>6</v>
      </c>
      <c r="R57" s="18">
        <v>647</v>
      </c>
      <c r="S57" s="18">
        <v>577</v>
      </c>
      <c r="T57" s="3">
        <v>647</v>
      </c>
      <c r="U57" s="3">
        <v>577</v>
      </c>
      <c r="V57" s="23"/>
      <c r="W57" s="23" t="s">
        <v>229</v>
      </c>
      <c r="X57" s="26" t="str">
        <f>J186</f>
        <v>МДФ 2800х2070х16 лам. Белый 2 ст. б/к</v>
      </c>
      <c r="Y57" s="18" t="s">
        <v>158</v>
      </c>
      <c r="Z57" s="18">
        <v>1</v>
      </c>
      <c r="AA57" s="18"/>
      <c r="AB57" s="18" t="str">
        <f>K179</f>
        <v>KHR Глянец</v>
      </c>
      <c r="AC57" s="18"/>
      <c r="AD57" s="56"/>
    </row>
    <row r="58" spans="1:30" x14ac:dyDescent="0.25">
      <c r="A58" s="9" t="str">
        <f>CONCATENATE(O58,".",LEFT(J58))</f>
        <v>6.X</v>
      </c>
      <c r="B58" s="32" t="str">
        <f>CONCATENATE(IF(OR(Y58="Не определена",Y58,ISBLANK(Y58)),"↕",),IF(Y58="Не обязательна","±",),Q58,".",P58)</f>
        <v>7.задняя стенка</v>
      </c>
      <c r="C58" s="47"/>
      <c r="D58" s="47"/>
      <c r="E58" s="48">
        <f>IF(M58="скрутка",T58+$Q$1,IF(M58="склейка",T58+$Q$1,IF(M58="запил торца",ROUND(T58+$P$1,0),IF(M58="запил торцов",ROUND(T58+$P$1*2,0),T58))))+IF(G58=$O$1,$P$1,)+IF(H58=$O$1,$P$1,)</f>
        <v>632</v>
      </c>
      <c r="F58" s="48">
        <f>IF(M58="скрутка",U58+$Q$1,IF(M58="склейка",U58+$Q$1,IF(M58="запил торца",ROUND(U58+$P$1,0),IF(M58="запил торцов",ROUND(U58+$P$1*2,0),U58))))+IF(C58=$O$1,$P$1,)+IF(D58=$O$1,$P$1,)</f>
        <v>562</v>
      </c>
      <c r="G58" s="47"/>
      <c r="H58" s="47"/>
      <c r="I58" s="49">
        <f>IF(OR(M58="скрутка",M58="склейка"),Z58*2,Z58)</f>
        <v>1</v>
      </c>
      <c r="J58" s="111" t="str">
        <f>X58</f>
        <v>XДФ 2800*2070*4 Белый б/к</v>
      </c>
      <c r="K58" s="52" t="str">
        <f>IF(ISBLANK(AB58),"",AB58)</f>
        <v/>
      </c>
      <c r="L58" s="52" t="str">
        <f>IF(ISBLANK(AC58),"",AC58)</f>
        <v/>
      </c>
      <c r="M58" s="51" t="str">
        <f>IF(AA58="","",AA58)</f>
        <v/>
      </c>
      <c r="N58" s="30" t="str">
        <f>CONCATENATE(IF(E58&lt;&gt;T58,"НеРавны",),IF(AND(NOT(ISBLANK(R58)),R58&lt;&gt;T58),"Д",),IF(AND(NOT(ISBLANK(S58)),S58&lt;&gt;U58),"Ш",))</f>
        <v/>
      </c>
      <c r="O58" s="22">
        <f>O51+1</f>
        <v>6</v>
      </c>
      <c r="P58" s="18" t="s">
        <v>189</v>
      </c>
      <c r="Q58" s="18">
        <v>7</v>
      </c>
      <c r="R58" s="18">
        <v>632</v>
      </c>
      <c r="S58" s="18">
        <v>562</v>
      </c>
      <c r="T58" s="3">
        <v>632</v>
      </c>
      <c r="U58" s="3">
        <v>562</v>
      </c>
      <c r="V58" s="23"/>
      <c r="W58" s="23" t="s">
        <v>164</v>
      </c>
      <c r="X58" s="26" t="str">
        <f>X51</f>
        <v>XДФ 2800*2070*4 Белый б/к</v>
      </c>
      <c r="Y58" s="18" t="s">
        <v>158</v>
      </c>
      <c r="Z58" s="18">
        <v>1</v>
      </c>
      <c r="AA58" s="18"/>
      <c r="AB58" s="18"/>
      <c r="AC58" s="18"/>
      <c r="AD58" s="56"/>
    </row>
    <row r="59" spans="1:30" x14ac:dyDescent="0.25">
      <c r="A59" s="9" t="str">
        <f>CONCATENATE(O59,".",LEFT(J59))</f>
        <v>36.Л</v>
      </c>
      <c r="B59" s="32" t="str">
        <f>CONCATENATE(IF(OR(Y59="Не определена",Y59,ISBLANK(Y59)),"↕",),IF(Y59="Не обязательна","±",),Q59,".",P59)</f>
        <v>7.бок (паз_74)</v>
      </c>
      <c r="C59" s="54" t="str">
        <f>I182</f>
        <v>-</v>
      </c>
      <c r="D59" s="54" t="str">
        <f>I182</f>
        <v>-</v>
      </c>
      <c r="E59" s="48">
        <f>IF(M59="скрутка",T59+$Q$1,IF(M59="склейка",T59+$Q$1,IF(M59="запил торца",ROUND(T59+$P$1,0),IF(M59="запил торцов",ROUND(T59+$P$1*2,0),T59))))+IF(G59=$O$1,$P$1,)+IF(H59=$O$1,$P$1,)</f>
        <v>649</v>
      </c>
      <c r="F59" s="48">
        <f>IF(M59="скрутка",U59+$Q$1,IF(M59="склейка",U59+$Q$1,IF(M59="запил торца",ROUND(U59+$P$1,0),IF(M59="запил торцов",ROUND(U59+$P$1*2,0),U59))))+IF(C59=$O$1,$P$1,)+IF(D59=$O$1,$P$1,)</f>
        <v>623</v>
      </c>
      <c r="G59" s="54" t="str">
        <f>I182</f>
        <v>-</v>
      </c>
      <c r="H59" s="54" t="str">
        <f>I182</f>
        <v>-</v>
      </c>
      <c r="I59" s="49">
        <f>IF(OR(M59="скрутка",M59="склейка"),Z59*2,Z59)</f>
        <v>1</v>
      </c>
      <c r="J59" s="53" t="str">
        <f>X59</f>
        <v>ЛДСП Lamarty 2750*1830*16 Белый б/к</v>
      </c>
      <c r="K59" s="52" t="str">
        <f>IF(ISBLANK(AB59),"",AB59)</f>
        <v/>
      </c>
      <c r="L59" s="52" t="str">
        <f>IF(ISBLANK(AC59),"",AC59)</f>
        <v/>
      </c>
      <c r="M59" s="51" t="str">
        <f>IF(AA59="","",AA59)</f>
        <v>паз ХДФ*anna(по длине);</v>
      </c>
      <c r="N59" s="30" t="str">
        <f>CONCATENATE(IF(E59&lt;&gt;T59,"НеРавны",),IF(AND(NOT(ISBLANK(R59)),R59&lt;&gt;T59),"Д",),IF(AND(NOT(ISBLANK(S59)),S59&lt;&gt;U59),"Ш",))</f>
        <v>ДШ</v>
      </c>
      <c r="O59" s="22">
        <f>O56+1</f>
        <v>36</v>
      </c>
      <c r="P59" s="18" t="s">
        <v>215</v>
      </c>
      <c r="Q59" s="18">
        <v>7</v>
      </c>
      <c r="R59" s="18">
        <v>650</v>
      </c>
      <c r="S59" s="18">
        <v>624</v>
      </c>
      <c r="T59" s="3">
        <v>649</v>
      </c>
      <c r="U59" s="3">
        <v>623</v>
      </c>
      <c r="V59" s="23"/>
      <c r="W59" s="23" t="s">
        <v>227</v>
      </c>
      <c r="X59" s="26" t="str">
        <f>J182</f>
        <v>ЛДСП Lamarty 2750*1830*16 Белый б/к</v>
      </c>
      <c r="Y59" s="18" t="s">
        <v>158</v>
      </c>
      <c r="Z59" s="18">
        <v>1</v>
      </c>
      <c r="AA59" s="18" t="s">
        <v>188</v>
      </c>
      <c r="AB59" s="18"/>
      <c r="AC59" s="18"/>
      <c r="AD59" s="56"/>
    </row>
    <row r="60" spans="1:30" x14ac:dyDescent="0.25">
      <c r="A60" s="9" t="str">
        <f>CONCATENATE(O60,".",LEFT(J60))</f>
        <v>37.Л</v>
      </c>
      <c r="B60" s="32" t="str">
        <f>CONCATENATE(IF(OR(Y60="Не определена",Y60,ISBLANK(Y60)),"↕",),IF(Y60="Не обязательна","±",),Q60,".",P60)</f>
        <v>7.бок (паз_74)</v>
      </c>
      <c r="C60" s="54" t="str">
        <f>I182</f>
        <v>-</v>
      </c>
      <c r="D60" s="54" t="str">
        <f>I182</f>
        <v>-</v>
      </c>
      <c r="E60" s="48">
        <f>IF(M60="скрутка",T60+$Q$1,IF(M60="склейка",T60+$Q$1,IF(M60="запил торца",ROUND(T60+$P$1,0),IF(M60="запил торцов",ROUND(T60+$P$1*2,0),T60))))+IF(G60=$O$1,$P$1,)+IF(H60=$O$1,$P$1,)</f>
        <v>649</v>
      </c>
      <c r="F60" s="48">
        <f>IF(M60="скрутка",U60+$Q$1,IF(M60="склейка",U60+$Q$1,IF(M60="запил торца",ROUND(U60+$P$1,0),IF(M60="запил торцов",ROUND(U60+$P$1*2,0),U60))))+IF(C60=$O$1,$P$1,)+IF(D60=$O$1,$P$1,)</f>
        <v>623</v>
      </c>
      <c r="G60" s="54" t="str">
        <f>I182</f>
        <v>-</v>
      </c>
      <c r="H60" s="54" t="str">
        <f>I182</f>
        <v>-</v>
      </c>
      <c r="I60" s="49">
        <f>IF(OR(M60="скрутка",M60="склейка"),Z60*2,Z60)</f>
        <v>1</v>
      </c>
      <c r="J60" s="53" t="str">
        <f>X60</f>
        <v>ЛДСП Lamarty 2750*1830*16 Белый б/к</v>
      </c>
      <c r="K60" s="52" t="str">
        <f>IF(ISBLANK(AB60),"",AB60)</f>
        <v/>
      </c>
      <c r="L60" s="52" t="str">
        <f>IF(ISBLANK(AC60),"",AC60)</f>
        <v/>
      </c>
      <c r="M60" s="51" t="str">
        <f>IF(AA60="","",AA60)</f>
        <v>паз ХДФ*anna(по длине);</v>
      </c>
      <c r="N60" s="30" t="str">
        <f>CONCATENATE(IF(E60&lt;&gt;T60,"НеРавны",),IF(AND(NOT(ISBLANK(R60)),R60&lt;&gt;T60),"Д",),IF(AND(NOT(ISBLANK(S60)),S60&lt;&gt;U60),"Ш",))</f>
        <v>ДШ</v>
      </c>
      <c r="O60" s="22">
        <f>O59+1</f>
        <v>37</v>
      </c>
      <c r="P60" s="18" t="s">
        <v>215</v>
      </c>
      <c r="Q60" s="18">
        <v>7</v>
      </c>
      <c r="R60" s="18">
        <v>650</v>
      </c>
      <c r="S60" s="18">
        <v>624</v>
      </c>
      <c r="T60" s="3">
        <v>649</v>
      </c>
      <c r="U60" s="3">
        <v>623</v>
      </c>
      <c r="V60" s="23"/>
      <c r="W60" s="23" t="s">
        <v>227</v>
      </c>
      <c r="X60" s="26" t="str">
        <f>J182</f>
        <v>ЛДСП Lamarty 2750*1830*16 Белый б/к</v>
      </c>
      <c r="Y60" s="18" t="s">
        <v>158</v>
      </c>
      <c r="Z60" s="18">
        <v>1</v>
      </c>
      <c r="AA60" s="18" t="s">
        <v>188</v>
      </c>
      <c r="AB60" s="18"/>
      <c r="AC60" s="18"/>
      <c r="AD60" s="56"/>
    </row>
    <row r="61" spans="1:30" x14ac:dyDescent="0.25">
      <c r="A61" s="9" t="str">
        <f>CONCATENATE(O61,".",LEFT(J61))</f>
        <v>38.Л</v>
      </c>
      <c r="B61" s="32" t="str">
        <f>CONCATENATE(IF(OR(Y61="Не определена",Y61,ISBLANK(Y61)),"↕",),IF(Y61="Не обязательна","±",),Q61,".",P61)</f>
        <v>7.горизонт</v>
      </c>
      <c r="C61" s="54" t="str">
        <f>I182</f>
        <v>-</v>
      </c>
      <c r="D61" s="54" t="str">
        <f>I182</f>
        <v>-</v>
      </c>
      <c r="E61" s="48">
        <f>IF(M61="скрутка",T61+$Q$1,IF(M61="склейка",T61+$Q$1,IF(M61="запил торца",ROUND(T61+$P$1,0),IF(M61="запил торцов",ROUND(T61+$P$1*2,0),T61))))+IF(G61=$O$1,$P$1,)+IF(H61=$O$1,$P$1,)</f>
        <v>548</v>
      </c>
      <c r="F61" s="48">
        <f>IF(M61="скрутка",U61+$Q$1,IF(M61="склейка",U61+$Q$1,IF(M61="запил торца",ROUND(U61+$P$1,0),IF(M61="запил торцов",ROUND(U61+$P$1*2,0),U61))))+IF(C61=$O$1,$P$1,)+IF(D61=$O$1,$P$1,)</f>
        <v>549</v>
      </c>
      <c r="G61" s="47"/>
      <c r="H61" s="47"/>
      <c r="I61" s="49">
        <f>IF(OR(M61="скрутка",M61="склейка"),Z61*2,Z61)</f>
        <v>1</v>
      </c>
      <c r="J61" s="53" t="str">
        <f>X61</f>
        <v>ЛДСП Lamarty 2750*1830*16 Белый б/к</v>
      </c>
      <c r="K61" s="52" t="str">
        <f>IF(ISBLANK(AB61),"",AB61)</f>
        <v/>
      </c>
      <c r="L61" s="52" t="str">
        <f>IF(ISBLANK(AC61),"",AC61)</f>
        <v/>
      </c>
      <c r="M61" s="51" t="str">
        <f>IF(AA61="","",AA61)</f>
        <v/>
      </c>
      <c r="N61" s="30" t="str">
        <f>CONCATENATE(IF(E61&lt;&gt;T61,"НеРавны",),IF(AND(NOT(ISBLANK(R61)),R61&lt;&gt;T61),"Д",),IF(AND(NOT(ISBLANK(S61)),S61&lt;&gt;U61),"Ш",))</f>
        <v>Ш</v>
      </c>
      <c r="O61" s="22">
        <f>O60+1</f>
        <v>38</v>
      </c>
      <c r="P61" s="18" t="s">
        <v>206</v>
      </c>
      <c r="Q61" s="18">
        <v>7</v>
      </c>
      <c r="R61" s="18">
        <v>548</v>
      </c>
      <c r="S61" s="18">
        <v>550</v>
      </c>
      <c r="T61" s="3">
        <v>548</v>
      </c>
      <c r="U61" s="3">
        <v>549</v>
      </c>
      <c r="V61" s="23"/>
      <c r="W61" s="23" t="s">
        <v>228</v>
      </c>
      <c r="X61" s="26" t="str">
        <f>J182</f>
        <v>ЛДСП Lamarty 2750*1830*16 Белый б/к</v>
      </c>
      <c r="Y61" s="18" t="s">
        <v>158</v>
      </c>
      <c r="Z61" s="18">
        <v>1</v>
      </c>
      <c r="AA61" s="18"/>
      <c r="AB61" s="18"/>
      <c r="AC61" s="18"/>
      <c r="AD61" s="56"/>
    </row>
    <row r="62" spans="1:30" x14ac:dyDescent="0.25">
      <c r="A62" s="9" t="str">
        <f>CONCATENATE(O62,".",LEFT(J62))</f>
        <v>39.Л</v>
      </c>
      <c r="B62" s="32" t="str">
        <f>CONCATENATE(IF(OR(Y62="Не определена",Y62,ISBLANK(Y62)),"↕",),IF(Y62="Не обязательна","±",),Q62,".",P62)</f>
        <v>7.горизонт (паз_10)</v>
      </c>
      <c r="C62" s="54" t="str">
        <f>I182</f>
        <v>-</v>
      </c>
      <c r="D62" s="54" t="str">
        <f>I182</f>
        <v>-</v>
      </c>
      <c r="E62" s="48">
        <f>IF(M62="скрутка",T62+$Q$1,IF(M62="склейка",T62+$Q$1,IF(M62="запил торца",ROUND(T62+$P$1,0),IF(M62="запил торцов",ROUND(T62+$P$1*2,0),T62))))+IF(G62=$O$1,$P$1,)+IF(H62=$O$1,$P$1,)</f>
        <v>548</v>
      </c>
      <c r="F62" s="48">
        <f>IF(M62="скрутка",U62+$Q$1,IF(M62="склейка",U62+$Q$1,IF(M62="запил торца",ROUND(U62+$P$1,0),IF(M62="запил торцов",ROUND(U62+$P$1*2,0),U62))))+IF(C62=$O$1,$P$1,)+IF(D62=$O$1,$P$1,)</f>
        <v>559</v>
      </c>
      <c r="G62" s="47"/>
      <c r="H62" s="47"/>
      <c r="I62" s="49">
        <f>IF(OR(M62="скрутка",M62="склейка"),Z62*2,Z62)</f>
        <v>1</v>
      </c>
      <c r="J62" s="53" t="str">
        <f>X62</f>
        <v>ЛДСП Lamarty 2750*1830*16 Белый б/к</v>
      </c>
      <c r="K62" s="52" t="str">
        <f>IF(ISBLANK(AB62),"",AB62)</f>
        <v/>
      </c>
      <c r="L62" s="52" t="str">
        <f>IF(ISBLANK(AC62),"",AC62)</f>
        <v/>
      </c>
      <c r="M62" s="51" t="str">
        <f>IF(AA62="","",AA62)</f>
        <v>паз ХДФ 8*4(по длине);</v>
      </c>
      <c r="N62" s="30" t="str">
        <f>CONCATENATE(IF(E62&lt;&gt;T62,"НеРавны",),IF(AND(NOT(ISBLANK(R62)),R62&lt;&gt;T62),"Д",),IF(AND(NOT(ISBLANK(S62)),S62&lt;&gt;U62),"Ш",))</f>
        <v>Ш</v>
      </c>
      <c r="O62" s="22">
        <f>O61+1</f>
        <v>39</v>
      </c>
      <c r="P62" s="18" t="s">
        <v>213</v>
      </c>
      <c r="Q62" s="18">
        <v>7</v>
      </c>
      <c r="R62" s="18">
        <v>548</v>
      </c>
      <c r="S62" s="18">
        <v>560</v>
      </c>
      <c r="T62" s="3">
        <v>548</v>
      </c>
      <c r="U62" s="3">
        <v>559</v>
      </c>
      <c r="V62" s="23"/>
      <c r="W62" s="23" t="s">
        <v>228</v>
      </c>
      <c r="X62" s="26" t="str">
        <f>J182</f>
        <v>ЛДСП Lamarty 2750*1830*16 Белый б/к</v>
      </c>
      <c r="Y62" s="18" t="s">
        <v>158</v>
      </c>
      <c r="Z62" s="18">
        <v>1</v>
      </c>
      <c r="AA62" s="18" t="s">
        <v>185</v>
      </c>
      <c r="AB62" s="18"/>
      <c r="AC62" s="18"/>
      <c r="AD62" s="56"/>
    </row>
    <row r="63" spans="1:30" x14ac:dyDescent="0.25">
      <c r="A63" s="9" t="str">
        <f>CONCATENATE(O63,".",LEFT(J63))</f>
        <v>40.Л</v>
      </c>
      <c r="B63" s="32" t="str">
        <f>CONCATENATE(IF(OR(Y63="Не определена",Y63,ISBLANK(Y63)),"↕",),IF(Y63="Не обязательна","±",),Q63,".",P63)</f>
        <v>7.полка</v>
      </c>
      <c r="C63" s="54" t="str">
        <f>I182</f>
        <v>-</v>
      </c>
      <c r="D63" s="54" t="str">
        <f>I182</f>
        <v>-</v>
      </c>
      <c r="E63" s="48">
        <f>IF(M63="скрутка",T63+$Q$1,IF(M63="склейка",T63+$Q$1,IF(M63="запил торца",ROUND(T63+$P$1,0),IF(M63="запил торцов",ROUND(T63+$P$1*2,0),T63))))+IF(G63=$O$1,$P$1,)+IF(H63=$O$1,$P$1,)</f>
        <v>544</v>
      </c>
      <c r="F63" s="48">
        <f>IF(M63="скрутка",U63+$Q$1,IF(M63="склейка",U63+$Q$1,IF(M63="запил торца",ROUND(U63+$P$1,0),IF(M63="запил торцов",ROUND(U63+$P$1*2,0),U63))))+IF(C63=$O$1,$P$1,)+IF(D63=$O$1,$P$1,)</f>
        <v>539</v>
      </c>
      <c r="G63" s="54" t="str">
        <f>I182</f>
        <v>-</v>
      </c>
      <c r="H63" s="54" t="str">
        <f>I182</f>
        <v>-</v>
      </c>
      <c r="I63" s="49">
        <f>IF(OR(M63="скрутка",M63="склейка"),Z63*2,Z63)</f>
        <v>1</v>
      </c>
      <c r="J63" s="53" t="str">
        <f>X63</f>
        <v>ЛДСП Lamarty 2750*1830*16 Белый б/к</v>
      </c>
      <c r="K63" s="52" t="str">
        <f>IF(ISBLANK(AB63),"",AB63)</f>
        <v/>
      </c>
      <c r="L63" s="52" t="str">
        <f>IF(ISBLANK(AC63),"",AC63)</f>
        <v/>
      </c>
      <c r="M63" s="51" t="str">
        <f>IF(AA63="","",AA63)</f>
        <v/>
      </c>
      <c r="N63" s="30" t="str">
        <f>CONCATENATE(IF(E63&lt;&gt;T63,"НеРавны",),IF(AND(NOT(ISBLANK(R63)),R63&lt;&gt;T63),"Д",),IF(AND(NOT(ISBLANK(S63)),S63&lt;&gt;U63),"Ш",))</f>
        <v>ДШ</v>
      </c>
      <c r="O63" s="22">
        <f>O62+1</f>
        <v>40</v>
      </c>
      <c r="P63" s="18" t="s">
        <v>199</v>
      </c>
      <c r="Q63" s="18">
        <v>7</v>
      </c>
      <c r="R63" s="18">
        <v>545</v>
      </c>
      <c r="S63" s="18">
        <v>540</v>
      </c>
      <c r="T63" s="3">
        <v>544</v>
      </c>
      <c r="U63" s="3">
        <v>539</v>
      </c>
      <c r="V63" s="23"/>
      <c r="W63" s="23" t="s">
        <v>227</v>
      </c>
      <c r="X63" s="26" t="str">
        <f>J182</f>
        <v>ЛДСП Lamarty 2750*1830*16 Белый б/к</v>
      </c>
      <c r="Y63" s="18" t="s">
        <v>158</v>
      </c>
      <c r="Z63" s="18">
        <v>1</v>
      </c>
      <c r="AA63" s="18"/>
      <c r="AB63" s="18"/>
      <c r="AC63" s="18"/>
      <c r="AD63" s="56"/>
    </row>
    <row r="64" spans="1:30" x14ac:dyDescent="0.25">
      <c r="A64" s="9" t="str">
        <f>CONCATENATE(O64,".",LEFT(J64))</f>
        <v>10.М</v>
      </c>
      <c r="B64" s="32" t="str">
        <f>CONCATENATE(IF(OR(Y64="Не определена",Y64,ISBLANK(Y64)),"↕",),IF(Y64="Не обязательна","±",),Q64,".",P64)</f>
        <v>7.фасад (мыло)</v>
      </c>
      <c r="C64" s="54" t="str">
        <f>I186</f>
        <v>-</v>
      </c>
      <c r="D64" s="54" t="str">
        <f>I186</f>
        <v>-</v>
      </c>
      <c r="E64" s="48">
        <f>IF(M64="скрутка",T64+$Q$1,IF(M64="склейка",T64+$Q$1,IF(M64="запил торца",ROUND(T64+$P$1,0),IF(M64="запил торцов",ROUND(T64+$P$1*2,0),T64))))+IF(G64=$O$1,$P$1,)+IF(H64=$O$1,$P$1,)</f>
        <v>647</v>
      </c>
      <c r="F64" s="48">
        <f>IF(M64="скрутка",U64+$Q$1,IF(M64="склейка",U64+$Q$1,IF(M64="запил торца",ROUND(U64+$P$1,0),IF(M64="запил торцов",ROUND(U64+$P$1*2,0),U64))))+IF(C64=$O$1,$P$1,)+IF(D64=$O$1,$P$1,)</f>
        <v>577</v>
      </c>
      <c r="G64" s="54" t="str">
        <f>I186</f>
        <v>-</v>
      </c>
      <c r="H64" s="54" t="str">
        <f>I186</f>
        <v>-</v>
      </c>
      <c r="I64" s="49">
        <f>IF(OR(M64="скрутка",M64="склейка"),Z64*2,Z64)</f>
        <v>1</v>
      </c>
      <c r="J64" s="53" t="str">
        <f>X64</f>
        <v>МДФ 2800х2070х16 лам. Белый 2 ст. б/к</v>
      </c>
      <c r="K64" s="52" t="str">
        <f>IF(ISBLANK(AB64),"",AB64)</f>
        <v>KHR Глянец</v>
      </c>
      <c r="L64" s="52" t="str">
        <f>IF(ISBLANK(AC64),"",AC64)</f>
        <v/>
      </c>
      <c r="M64" s="51" t="str">
        <f>IF(AA64="","",AA64)</f>
        <v/>
      </c>
      <c r="N64" s="30" t="str">
        <f>CONCATENATE(IF(E64&lt;&gt;T64,"НеРавны",),IF(AND(NOT(ISBLANK(R64)),R64&lt;&gt;T64),"Д",),IF(AND(NOT(ISBLANK(S64)),S64&lt;&gt;U64),"Ш",))</f>
        <v/>
      </c>
      <c r="O64" s="22">
        <f>O57+1</f>
        <v>10</v>
      </c>
      <c r="P64" s="18" t="s">
        <v>223</v>
      </c>
      <c r="Q64" s="18">
        <v>7</v>
      </c>
      <c r="R64" s="18">
        <v>647</v>
      </c>
      <c r="S64" s="18">
        <v>577</v>
      </c>
      <c r="T64" s="3">
        <v>647</v>
      </c>
      <c r="U64" s="3">
        <v>577</v>
      </c>
      <c r="V64" s="23"/>
      <c r="W64" s="23" t="s">
        <v>229</v>
      </c>
      <c r="X64" s="26" t="str">
        <f>J186</f>
        <v>МДФ 2800х2070х16 лам. Белый 2 ст. б/к</v>
      </c>
      <c r="Y64" s="18" t="s">
        <v>158</v>
      </c>
      <c r="Z64" s="18">
        <v>1</v>
      </c>
      <c r="AA64" s="18"/>
      <c r="AB64" s="18" t="str">
        <f>K179</f>
        <v>KHR Глянец</v>
      </c>
      <c r="AC64" s="18"/>
      <c r="AD64" s="56"/>
    </row>
    <row r="65" spans="1:30" x14ac:dyDescent="0.25">
      <c r="A65" s="9" t="str">
        <f>CONCATENATE(O65,".",LEFT(J65))</f>
        <v>7.X</v>
      </c>
      <c r="B65" s="32" t="str">
        <f>CONCATENATE(IF(OR(Y65="Не определена",Y65,ISBLANK(Y65)),"↕",),IF(Y65="Не обязательна","±",),Q65,".",P65)</f>
        <v>8.задняя стенка</v>
      </c>
      <c r="C65" s="47"/>
      <c r="D65" s="47"/>
      <c r="E65" s="48">
        <f>IF(M65="скрутка",T65+$Q$1,IF(M65="склейка",T65+$Q$1,IF(M65="запил торца",ROUND(T65+$P$1,0),IF(M65="запил торцов",ROUND(T65+$P$1*2,0),T65))))+IF(G65=$O$1,$P$1,)+IF(H65=$O$1,$P$1,)</f>
        <v>567</v>
      </c>
      <c r="F65" s="48">
        <f>IF(M65="скрутка",U65+$Q$1,IF(M65="склейка",U65+$Q$1,IF(M65="запил торца",ROUND(U65+$P$1,0),IF(M65="запил торцов",ROUND(U65+$P$1*2,0),U65))))+IF(C65=$O$1,$P$1,)+IF(D65=$O$1,$P$1,)</f>
        <v>582</v>
      </c>
      <c r="G65" s="47"/>
      <c r="H65" s="47"/>
      <c r="I65" s="49">
        <f>IF(OR(M65="скрутка",M65="склейка"),Z65*2,Z65)</f>
        <v>1</v>
      </c>
      <c r="J65" s="111" t="str">
        <f>X65</f>
        <v>XДФ 2800*2070*4 Белый б/к</v>
      </c>
      <c r="K65" s="52" t="str">
        <f>IF(ISBLANK(AB65),"",AB65)</f>
        <v/>
      </c>
      <c r="L65" s="52" t="str">
        <f>IF(ISBLANK(AC65),"",AC65)</f>
        <v/>
      </c>
      <c r="M65" s="51" t="str">
        <f>IF(AA65="","",AA65)</f>
        <v/>
      </c>
      <c r="N65" s="30" t="str">
        <f>CONCATENATE(IF(E65&lt;&gt;T65,"НеРавны",),IF(AND(NOT(ISBLANK(R65)),R65&lt;&gt;T65),"Д",),IF(AND(NOT(ISBLANK(S65)),S65&lt;&gt;U65),"Ш",))</f>
        <v/>
      </c>
      <c r="O65" s="22">
        <f>O58+1</f>
        <v>7</v>
      </c>
      <c r="P65" s="18" t="s">
        <v>189</v>
      </c>
      <c r="Q65" s="18">
        <v>8</v>
      </c>
      <c r="R65" s="18">
        <v>567</v>
      </c>
      <c r="S65" s="18">
        <v>582</v>
      </c>
      <c r="T65" s="3">
        <v>567</v>
      </c>
      <c r="U65" s="3">
        <v>582</v>
      </c>
      <c r="V65" s="23"/>
      <c r="W65" s="23" t="s">
        <v>164</v>
      </c>
      <c r="X65" s="26" t="str">
        <f>X58</f>
        <v>XДФ 2800*2070*4 Белый б/к</v>
      </c>
      <c r="Y65" s="18" t="s">
        <v>158</v>
      </c>
      <c r="Z65" s="18">
        <v>1</v>
      </c>
      <c r="AA65" s="18"/>
      <c r="AB65" s="18"/>
      <c r="AC65" s="18"/>
      <c r="AD65" s="56"/>
    </row>
    <row r="66" spans="1:30" x14ac:dyDescent="0.25">
      <c r="A66" s="9" t="str">
        <f>CONCATENATE(O66,".",LEFT(J66))</f>
        <v>1.Л</v>
      </c>
      <c r="B66" s="32" t="str">
        <f>CONCATENATE(IF(OR(Y66="Не определена",Y66,ISBLANK(Y66)),"↕",),IF(Y66="Не обязательна","±",),Q66,".",P66)</f>
        <v>8.фасад (ПВХ_1мм в круг)</v>
      </c>
      <c r="C66" s="54">
        <f>I184</f>
        <v>1</v>
      </c>
      <c r="D66" s="54">
        <f>I184</f>
        <v>1</v>
      </c>
      <c r="E66" s="48">
        <f>IF(M66="скрутка",T66+$Q$1,IF(M66="склейка",T66+$Q$1,IF(M66="запил торца",ROUND(T66+$P$1,0),IF(M66="запил торцов",ROUND(T66+$P$1*2,0),T66))))+IF(G66=$O$1,$P$1,)+IF(H66=$O$1,$P$1,)</f>
        <v>607</v>
      </c>
      <c r="F66" s="48">
        <f>IF(M66="скрутка",U66+$Q$1,IF(M66="склейка",U66+$Q$1,IF(M66="запил торца",ROUND(U66+$P$1,0),IF(M66="запил торцов",ROUND(U66+$P$1*2,0),U66))))+IF(C66=$O$1,$P$1,)+IF(D66=$O$1,$P$1,)</f>
        <v>580</v>
      </c>
      <c r="G66" s="54">
        <f>I184</f>
        <v>1</v>
      </c>
      <c r="H66" s="54">
        <f>I184</f>
        <v>1</v>
      </c>
      <c r="I66" s="49">
        <f>IF(OR(M66="скрутка",M66="склейка"),Z66*2,Z66)</f>
        <v>1</v>
      </c>
      <c r="J66" s="53" t="str">
        <f>X66</f>
        <v>ЛДСП FB68 Ares 2800х2070х18</v>
      </c>
      <c r="K66" s="52" t="str">
        <f>IF(ISBLANK(AB66),"",AB66)</f>
        <v/>
      </c>
      <c r="L66" s="52" t="str">
        <f>IF(ISBLANK(AC66),"",AC66)</f>
        <v/>
      </c>
      <c r="M66" s="51" t="str">
        <f>IF(AA66="","",AA66)</f>
        <v/>
      </c>
      <c r="N66" s="30" t="str">
        <f>CONCATENATE(IF(E66&lt;&gt;T66,"НеРавны",),IF(AND(NOT(ISBLANK(R66)),R66&lt;&gt;T66),"Д",),IF(AND(NOT(ISBLANK(S66)),S66&lt;&gt;U66),"Ш",))</f>
        <v>ДШ</v>
      </c>
      <c r="O66" s="22">
        <v>1</v>
      </c>
      <c r="P66" s="18" t="s">
        <v>198</v>
      </c>
      <c r="Q66" s="18">
        <v>8</v>
      </c>
      <c r="R66" s="18">
        <v>609</v>
      </c>
      <c r="S66" s="18">
        <v>582</v>
      </c>
      <c r="T66" s="3">
        <v>607</v>
      </c>
      <c r="U66" s="3">
        <v>580</v>
      </c>
      <c r="V66" s="23"/>
      <c r="W66" s="23" t="s">
        <v>233</v>
      </c>
      <c r="X66" s="18" t="str">
        <f>J184</f>
        <v>ЛДСП FB68 Ares 2800х2070х18</v>
      </c>
      <c r="Y66" s="18" t="s">
        <v>158</v>
      </c>
      <c r="Z66" s="18">
        <v>1</v>
      </c>
      <c r="AA66" s="18"/>
      <c r="AB66" s="18"/>
      <c r="AC66" s="18"/>
      <c r="AD66" s="56"/>
    </row>
    <row r="67" spans="1:30" x14ac:dyDescent="0.25">
      <c r="A67" s="9" t="str">
        <f>CONCATENATE(O67,".",LEFT(J67))</f>
        <v>1.Л</v>
      </c>
      <c r="B67" s="32" t="str">
        <f>CONCATENATE(IF(OR(Y67="Не определена",Y67,ISBLANK(Y67)),"↕",),IF(Y67="Не обязательна","±",),Q67,".",P67)</f>
        <v>8.бок (паз_16)</v>
      </c>
      <c r="C67" s="54" t="str">
        <f>I183</f>
        <v>-</v>
      </c>
      <c r="D67" s="54" t="str">
        <f>I183</f>
        <v>-</v>
      </c>
      <c r="E67" s="48">
        <f>IF(M67="скрутка",T67+$Q$1,IF(M67="склейка",T67+$Q$1,IF(M67="запил торца",ROUND(T67+$P$1,0),IF(M67="запил торцов",ROUND(T67+$P$1*2,0),T67))))+IF(G67=$O$1,$P$1,)+IF(H67=$O$1,$P$1,)</f>
        <v>599</v>
      </c>
      <c r="F67" s="48">
        <f>IF(M67="скрутка",U67+$Q$1,IF(M67="склейка",U67+$Q$1,IF(M67="запил торца",ROUND(U67+$P$1,0),IF(M67="запил торцов",ROUND(U67+$P$1*2,0),U67))))+IF(C67=$O$1,$P$1,)+IF(D67=$O$1,$P$1,)</f>
        <v>299</v>
      </c>
      <c r="G67" s="54" t="str">
        <f>I183</f>
        <v>-</v>
      </c>
      <c r="H67" s="54" t="str">
        <f>I183</f>
        <v>-</v>
      </c>
      <c r="I67" s="49">
        <f>IF(OR(M67="скрутка",M67="склейка"),Z67*2,Z67)</f>
        <v>1</v>
      </c>
      <c r="J67" s="53" t="str">
        <f>X67</f>
        <v>ЛДСП Lamarty 2750*1830*16мм Вулканический серый б/к</v>
      </c>
      <c r="K67" s="52" t="str">
        <f>IF(ISBLANK(AB67),"",AB67)</f>
        <v/>
      </c>
      <c r="L67" s="52" t="str">
        <f>IF(ISBLANK(AC67),"",AC67)</f>
        <v/>
      </c>
      <c r="M67" s="51" t="str">
        <f>IF(AA67="","",AA67)</f>
        <v>паз ХДФ 8*4(по длине);</v>
      </c>
      <c r="N67" s="30" t="str">
        <f>CONCATENATE(IF(E67&lt;&gt;T67,"НеРавны",),IF(AND(NOT(ISBLANK(R67)),R67&lt;&gt;T67),"Д",),IF(AND(NOT(ISBLANK(S67)),S67&lt;&gt;U67),"Ш",))</f>
        <v>ДШ</v>
      </c>
      <c r="O67" s="22">
        <v>1</v>
      </c>
      <c r="P67" s="18" t="s">
        <v>197</v>
      </c>
      <c r="Q67" s="18">
        <v>8</v>
      </c>
      <c r="R67" s="18">
        <v>600</v>
      </c>
      <c r="S67" s="18">
        <v>300</v>
      </c>
      <c r="T67" s="3">
        <v>599</v>
      </c>
      <c r="U67" s="3">
        <v>299</v>
      </c>
      <c r="V67" s="23"/>
      <c r="W67" s="23" t="s">
        <v>232</v>
      </c>
      <c r="X67" s="18" t="str">
        <f>J183</f>
        <v>ЛДСП Lamarty 2750*1830*16мм Вулканический серый б/к</v>
      </c>
      <c r="Y67" s="18" t="s">
        <v>158</v>
      </c>
      <c r="Z67" s="18">
        <v>1</v>
      </c>
      <c r="AA67" s="18" t="s">
        <v>185</v>
      </c>
      <c r="AB67" s="18"/>
      <c r="AC67" s="18"/>
      <c r="AD67" s="56"/>
    </row>
    <row r="68" spans="1:30" x14ac:dyDescent="0.25">
      <c r="A68" s="9" t="str">
        <f>CONCATENATE(O68,".",LEFT(J68))</f>
        <v>2.Л</v>
      </c>
      <c r="B68" s="32" t="str">
        <f>CONCATENATE(IF(OR(Y68="Не определена",Y68,ISBLANK(Y68)),"↕",),IF(Y68="Не обязательна","±",),Q68,".",P68)</f>
        <v>8.бок (паз_16)</v>
      </c>
      <c r="C68" s="54" t="str">
        <f>I183</f>
        <v>-</v>
      </c>
      <c r="D68" s="54" t="str">
        <f>I183</f>
        <v>-</v>
      </c>
      <c r="E68" s="48">
        <f>IF(M68="скрутка",T68+$Q$1,IF(M68="склейка",T68+$Q$1,IF(M68="запил торца",ROUND(T68+$P$1,0),IF(M68="запил торцов",ROUND(T68+$P$1*2,0),T68))))+IF(G68=$O$1,$P$1,)+IF(H68=$O$1,$P$1,)</f>
        <v>599</v>
      </c>
      <c r="F68" s="48">
        <f>IF(M68="скрутка",U68+$Q$1,IF(M68="склейка",U68+$Q$1,IF(M68="запил торца",ROUND(U68+$P$1,0),IF(M68="запил торцов",ROUND(U68+$P$1*2,0),U68))))+IF(C68=$O$1,$P$1,)+IF(D68=$O$1,$P$1,)</f>
        <v>299</v>
      </c>
      <c r="G68" s="54" t="str">
        <f>I183</f>
        <v>-</v>
      </c>
      <c r="H68" s="54" t="str">
        <f>I183</f>
        <v>-</v>
      </c>
      <c r="I68" s="49">
        <f>IF(OR(M68="скрутка",M68="склейка"),Z68*2,Z68)</f>
        <v>1</v>
      </c>
      <c r="J68" s="53" t="str">
        <f>X68</f>
        <v>ЛДСП Lamarty 2750*1830*16мм Вулканический серый б/к</v>
      </c>
      <c r="K68" s="52" t="str">
        <f>IF(ISBLANK(AB68),"",AB68)</f>
        <v/>
      </c>
      <c r="L68" s="52" t="str">
        <f>IF(ISBLANK(AC68),"",AC68)</f>
        <v/>
      </c>
      <c r="M68" s="51" t="str">
        <f>IF(AA68="","",AA68)</f>
        <v>паз ХДФ 8*4(по длине);</v>
      </c>
      <c r="N68" s="30" t="str">
        <f>CONCATENATE(IF(E68&lt;&gt;T68,"НеРавны",),IF(AND(NOT(ISBLANK(R68)),R68&lt;&gt;T68),"Д",),IF(AND(NOT(ISBLANK(S68)),S68&lt;&gt;U68),"Ш",))</f>
        <v>ДШ</v>
      </c>
      <c r="O68" s="22">
        <f>O67+1</f>
        <v>2</v>
      </c>
      <c r="P68" s="18" t="s">
        <v>197</v>
      </c>
      <c r="Q68" s="18">
        <v>8</v>
      </c>
      <c r="R68" s="18">
        <v>600</v>
      </c>
      <c r="S68" s="18">
        <v>300</v>
      </c>
      <c r="T68" s="3">
        <v>599</v>
      </c>
      <c r="U68" s="3">
        <v>299</v>
      </c>
      <c r="V68" s="23"/>
      <c r="W68" s="23" t="s">
        <v>232</v>
      </c>
      <c r="X68" s="26" t="str">
        <f>J183</f>
        <v>ЛДСП Lamarty 2750*1830*16мм Вулканический серый б/к</v>
      </c>
      <c r="Y68" s="18" t="s">
        <v>158</v>
      </c>
      <c r="Z68" s="18">
        <v>1</v>
      </c>
      <c r="AA68" s="18" t="s">
        <v>185</v>
      </c>
      <c r="AB68" s="18"/>
      <c r="AC68" s="18"/>
      <c r="AD68" s="56"/>
    </row>
    <row r="69" spans="1:30" x14ac:dyDescent="0.25">
      <c r="A69" s="9" t="str">
        <f>CONCATENATE(O69,".",LEFT(J69))</f>
        <v>3.Л</v>
      </c>
      <c r="B69" s="32" t="str">
        <f>CONCATENATE(IF(OR(Y69="Не определена",Y69,ISBLANK(Y69)),"↕",),IF(Y69="Не обязательна","±",),Q69,".",P69)</f>
        <v>8.горизонт (паз_16)</v>
      </c>
      <c r="C69" s="54" t="str">
        <f>I183</f>
        <v>-</v>
      </c>
      <c r="D69" s="54" t="str">
        <f>I183</f>
        <v>-</v>
      </c>
      <c r="E69" s="48">
        <f>IF(M69="скрутка",T69+$Q$1,IF(M69="склейка",T69+$Q$1,IF(M69="запил торца",ROUND(T69+$P$1,0),IF(M69="запил торцов",ROUND(T69+$P$1*2,0),T69))))+IF(G69=$O$1,$P$1,)+IF(H69=$O$1,$P$1,)</f>
        <v>553</v>
      </c>
      <c r="F69" s="48">
        <f>IF(M69="скрутка",U69+$Q$1,IF(M69="склейка",U69+$Q$1,IF(M69="запил торца",ROUND(U69+$P$1,0),IF(M69="запил торцов",ROUND(U69+$P$1*2,0),U69))))+IF(C69=$O$1,$P$1,)+IF(D69=$O$1,$P$1,)</f>
        <v>299</v>
      </c>
      <c r="G69" s="47"/>
      <c r="H69" s="47"/>
      <c r="I69" s="49">
        <f>IF(OR(M69="скрутка",M69="склейка"),Z69*2,Z69)</f>
        <v>1</v>
      </c>
      <c r="J69" s="53" t="str">
        <f>X69</f>
        <v>ЛДСП Lamarty 2750*1830*16мм Вулканический серый б/к</v>
      </c>
      <c r="K69" s="52" t="str">
        <f>IF(ISBLANK(AB69),"",AB69)</f>
        <v/>
      </c>
      <c r="L69" s="52" t="str">
        <f>IF(ISBLANK(AC69),"",AC69)</f>
        <v/>
      </c>
      <c r="M69" s="51" t="str">
        <f>IF(AA69="","",AA69)</f>
        <v>паз ХДФ*anna(уточнить);</v>
      </c>
      <c r="N69" s="30" t="str">
        <f>CONCATENATE(IF(E69&lt;&gt;T69,"НеРавны",),IF(AND(NOT(ISBLANK(R69)),R69&lt;&gt;T69),"Д",),IF(AND(NOT(ISBLANK(S69)),S69&lt;&gt;U69),"Ш",))</f>
        <v>Ш</v>
      </c>
      <c r="O69" s="22">
        <f>O68+1</f>
        <v>3</v>
      </c>
      <c r="P69" s="18" t="s">
        <v>196</v>
      </c>
      <c r="Q69" s="18">
        <v>8</v>
      </c>
      <c r="R69" s="18">
        <v>553</v>
      </c>
      <c r="S69" s="18">
        <v>300</v>
      </c>
      <c r="T69" s="3">
        <v>553</v>
      </c>
      <c r="U69" s="3">
        <v>299</v>
      </c>
      <c r="V69" s="23"/>
      <c r="W69" s="23" t="s">
        <v>231</v>
      </c>
      <c r="X69" s="26" t="str">
        <f>J183</f>
        <v>ЛДСП Lamarty 2750*1830*16мм Вулканический серый б/к</v>
      </c>
      <c r="Y69" s="18" t="s">
        <v>158</v>
      </c>
      <c r="Z69" s="18">
        <v>1</v>
      </c>
      <c r="AA69" s="18" t="s">
        <v>203</v>
      </c>
      <c r="AB69" s="18"/>
      <c r="AC69" s="18"/>
      <c r="AD69" s="56"/>
    </row>
    <row r="70" spans="1:30" x14ac:dyDescent="0.25">
      <c r="A70" s="9" t="str">
        <f>CONCATENATE(O70,".",LEFT(J70))</f>
        <v>4.Л</v>
      </c>
      <c r="B70" s="32" t="str">
        <f>CONCATENATE(IF(OR(Y70="Не определена",Y70,ISBLANK(Y70)),"↕",),IF(Y70="Не обязательна","±",),Q70,".",P70)</f>
        <v>8.горизонт (паз_16)</v>
      </c>
      <c r="C70" s="54" t="str">
        <f>I183</f>
        <v>-</v>
      </c>
      <c r="D70" s="54" t="str">
        <f>I183</f>
        <v>-</v>
      </c>
      <c r="E70" s="48">
        <f>IF(M70="скрутка",T70+$Q$1,IF(M70="склейка",T70+$Q$1,IF(M70="запил торца",ROUND(T70+$P$1,0),IF(M70="запил торцов",ROUND(T70+$P$1*2,0),T70))))+IF(G70=$O$1,$P$1,)+IF(H70=$O$1,$P$1,)</f>
        <v>553</v>
      </c>
      <c r="F70" s="48">
        <f>IF(M70="скрутка",U70+$Q$1,IF(M70="склейка",U70+$Q$1,IF(M70="запил торца",ROUND(U70+$P$1,0),IF(M70="запил торцов",ROUND(U70+$P$1*2,0),U70))))+IF(C70=$O$1,$P$1,)+IF(D70=$O$1,$P$1,)</f>
        <v>299</v>
      </c>
      <c r="G70" s="47"/>
      <c r="H70" s="47"/>
      <c r="I70" s="49">
        <f>IF(OR(M70="скрутка",M70="склейка"),Z70*2,Z70)</f>
        <v>1</v>
      </c>
      <c r="J70" s="53" t="str">
        <f>X70</f>
        <v>ЛДСП Lamarty 2750*1830*16мм Вулканический серый б/к</v>
      </c>
      <c r="K70" s="52" t="str">
        <f>IF(ISBLANK(AB70),"",AB70)</f>
        <v/>
      </c>
      <c r="L70" s="52" t="str">
        <f>IF(ISBLANK(AC70),"",AC70)</f>
        <v/>
      </c>
      <c r="M70" s="51" t="str">
        <f>IF(AA70="","",AA70)</f>
        <v>паз ХДФ 8*4(уточнить);</v>
      </c>
      <c r="N70" s="30" t="str">
        <f>CONCATENATE(IF(E70&lt;&gt;T70,"НеРавны",),IF(AND(NOT(ISBLANK(R70)),R70&lt;&gt;T70),"Д",),IF(AND(NOT(ISBLANK(S70)),S70&lt;&gt;U70),"Ш",))</f>
        <v>Ш</v>
      </c>
      <c r="O70" s="22">
        <f>O69+1</f>
        <v>4</v>
      </c>
      <c r="P70" s="18" t="s">
        <v>196</v>
      </c>
      <c r="Q70" s="18">
        <v>8</v>
      </c>
      <c r="R70" s="18">
        <v>553</v>
      </c>
      <c r="S70" s="18">
        <v>300</v>
      </c>
      <c r="T70" s="3">
        <v>553</v>
      </c>
      <c r="U70" s="3">
        <v>299</v>
      </c>
      <c r="V70" s="23"/>
      <c r="W70" s="23" t="s">
        <v>231</v>
      </c>
      <c r="X70" s="26" t="str">
        <f>J183</f>
        <v>ЛДСП Lamarty 2750*1830*16мм Вулканический серый б/к</v>
      </c>
      <c r="Y70" s="18" t="s">
        <v>158</v>
      </c>
      <c r="Z70" s="18">
        <v>1</v>
      </c>
      <c r="AA70" s="18" t="s">
        <v>204</v>
      </c>
      <c r="AB70" s="18"/>
      <c r="AC70" s="18"/>
      <c r="AD70" s="56"/>
    </row>
    <row r="71" spans="1:30" x14ac:dyDescent="0.25">
      <c r="A71" s="9" t="str">
        <f>CONCATENATE(O71,".",LEFT(J71))</f>
        <v>5.Л</v>
      </c>
      <c r="B71" s="32" t="str">
        <f>CONCATENATE(IF(OR(Y71="Не определена",Y71,ISBLANK(Y71)),"↕",),IF(Y71="Не обязательна","±",),Q71,".",P71)</f>
        <v>8.полка</v>
      </c>
      <c r="C71" s="54" t="str">
        <f>I183</f>
        <v>-</v>
      </c>
      <c r="D71" s="54" t="str">
        <f>I183</f>
        <v>-</v>
      </c>
      <c r="E71" s="48">
        <f>IF(M71="скрутка",T71+$Q$1,IF(M71="склейка",T71+$Q$1,IF(M71="запил торца",ROUND(T71+$P$1,0),IF(M71="запил торцов",ROUND(T71+$P$1*2,0),T71))))+IF(G71=$O$1,$P$1,)+IF(H71=$O$1,$P$1,)</f>
        <v>549</v>
      </c>
      <c r="F71" s="48">
        <f>IF(M71="скрутка",U71+$Q$1,IF(M71="склейка",U71+$Q$1,IF(M71="запил торца",ROUND(U71+$P$1,0),IF(M71="запил торцов",ROUND(U71+$P$1*2,0),U71))))+IF(C71=$O$1,$P$1,)+IF(D71=$O$1,$P$1,)</f>
        <v>273</v>
      </c>
      <c r="G71" s="54" t="str">
        <f>I183</f>
        <v>-</v>
      </c>
      <c r="H71" s="54" t="str">
        <f>I183</f>
        <v>-</v>
      </c>
      <c r="I71" s="49">
        <f>IF(OR(M71="скрутка",M71="склейка"),Z71*2,Z71)</f>
        <v>1</v>
      </c>
      <c r="J71" s="53" t="str">
        <f>X71</f>
        <v>ЛДСП Lamarty 2750*1830*16мм Вулканический серый б/к</v>
      </c>
      <c r="K71" s="52" t="str">
        <f>IF(ISBLANK(AB71),"",AB71)</f>
        <v/>
      </c>
      <c r="L71" s="52" t="str">
        <f>IF(ISBLANK(AC71),"",AC71)</f>
        <v/>
      </c>
      <c r="M71" s="51" t="str">
        <f>IF(AA71="","",AA71)</f>
        <v/>
      </c>
      <c r="N71" s="30" t="str">
        <f>CONCATENATE(IF(E71&lt;&gt;T71,"НеРавны",),IF(AND(NOT(ISBLANK(R71)),R71&lt;&gt;T71),"Д",),IF(AND(NOT(ISBLANK(S71)),S71&lt;&gt;U71),"Ш",))</f>
        <v>ДШ</v>
      </c>
      <c r="O71" s="22">
        <f>O70+1</f>
        <v>5</v>
      </c>
      <c r="P71" s="18" t="s">
        <v>199</v>
      </c>
      <c r="Q71" s="18">
        <v>8</v>
      </c>
      <c r="R71" s="18">
        <v>550</v>
      </c>
      <c r="S71" s="18">
        <v>274</v>
      </c>
      <c r="T71" s="3">
        <v>549</v>
      </c>
      <c r="U71" s="3">
        <v>273</v>
      </c>
      <c r="V71" s="23"/>
      <c r="W71" s="23" t="s">
        <v>232</v>
      </c>
      <c r="X71" s="26" t="str">
        <f>J183</f>
        <v>ЛДСП Lamarty 2750*1830*16мм Вулканический серый б/к</v>
      </c>
      <c r="Y71" s="18" t="s">
        <v>158</v>
      </c>
      <c r="Z71" s="18">
        <v>1</v>
      </c>
      <c r="AA71" s="18"/>
      <c r="AB71" s="18"/>
      <c r="AC71" s="18"/>
      <c r="AD71" s="56"/>
    </row>
    <row r="72" spans="1:30" x14ac:dyDescent="0.25">
      <c r="A72" s="9" t="str">
        <f>CONCATENATE(O72,".",LEFT(J72))</f>
        <v>8.X</v>
      </c>
      <c r="B72" s="32" t="str">
        <f>CONCATENATE(IF(OR(Y72="Не определена",Y72,ISBLANK(Y72)),"↕",),IF(Y72="Не обязательна","±",),Q72,".",P72)</f>
        <v>9.задняя стенка</v>
      </c>
      <c r="C72" s="47"/>
      <c r="D72" s="47"/>
      <c r="E72" s="48">
        <f>IF(M72="скрутка",T72+$Q$1,IF(M72="склейка",T72+$Q$1,IF(M72="запил торца",ROUND(T72+$P$1,0),IF(M72="запил торцов",ROUND(T72+$P$1*2,0),T72))))+IF(G72=$O$1,$P$1,)+IF(H72=$O$1,$P$1,)</f>
        <v>582</v>
      </c>
      <c r="F72" s="48">
        <f>IF(M72="скрутка",U72+$Q$1,IF(M72="склейка",U72+$Q$1,IF(M72="запил торца",ROUND(U72+$P$1,0),IF(M72="запил торцов",ROUND(U72+$P$1*2,0),U72))))+IF(C72=$O$1,$P$1,)+IF(D72=$O$1,$P$1,)</f>
        <v>582</v>
      </c>
      <c r="G72" s="47"/>
      <c r="H72" s="47"/>
      <c r="I72" s="49">
        <f>IF(OR(M72="скрутка",M72="склейка"),Z72*2,Z72)</f>
        <v>1</v>
      </c>
      <c r="J72" s="111" t="str">
        <f>X72</f>
        <v>XДФ 2800*2070*4 Белый б/к</v>
      </c>
      <c r="K72" s="52" t="str">
        <f>IF(ISBLANK(AB72),"",AB72)</f>
        <v/>
      </c>
      <c r="L72" s="52" t="str">
        <f>IF(ISBLANK(AC72),"",AC72)</f>
        <v/>
      </c>
      <c r="M72" s="51" t="str">
        <f>IF(AA72="","",AA72)</f>
        <v/>
      </c>
      <c r="N72" s="30" t="str">
        <f>CONCATENATE(IF(E72&lt;&gt;T72,"НеРавны",),IF(AND(NOT(ISBLANK(R72)),R72&lt;&gt;T72),"Д",),IF(AND(NOT(ISBLANK(S72)),S72&lt;&gt;U72),"Ш",))</f>
        <v/>
      </c>
      <c r="O72" s="22">
        <f>O65+1</f>
        <v>8</v>
      </c>
      <c r="P72" s="18" t="s">
        <v>189</v>
      </c>
      <c r="Q72" s="18">
        <v>9</v>
      </c>
      <c r="R72" s="18">
        <v>582</v>
      </c>
      <c r="S72" s="18">
        <v>582</v>
      </c>
      <c r="T72" s="3">
        <v>582</v>
      </c>
      <c r="U72" s="3">
        <v>582</v>
      </c>
      <c r="V72" s="23"/>
      <c r="W72" s="23" t="s">
        <v>164</v>
      </c>
      <c r="X72" s="26" t="str">
        <f>X65</f>
        <v>XДФ 2800*2070*4 Белый б/к</v>
      </c>
      <c r="Y72" s="18" t="s">
        <v>158</v>
      </c>
      <c r="Z72" s="18">
        <v>1</v>
      </c>
      <c r="AA72" s="18"/>
      <c r="AB72" s="18"/>
      <c r="AC72" s="18"/>
      <c r="AD72" s="56"/>
    </row>
    <row r="73" spans="1:30" x14ac:dyDescent="0.25">
      <c r="A73" s="9" t="str">
        <f>CONCATENATE(O73,".",LEFT(J73))</f>
        <v>2.Л</v>
      </c>
      <c r="B73" s="32" t="str">
        <f>CONCATENATE(IF(OR(Y73="Не определена",Y73,ISBLANK(Y73)),"↕",),IF(Y73="Не обязательна","±",),Q73,".",P73)</f>
        <v>9.фасад (ПВХ_1мм в круг)</v>
      </c>
      <c r="C73" s="54">
        <f>I184</f>
        <v>1</v>
      </c>
      <c r="D73" s="54">
        <f>I184</f>
        <v>1</v>
      </c>
      <c r="E73" s="48">
        <f>IF(M73="скрутка",T73+$Q$1,IF(M73="склейка",T73+$Q$1,IF(M73="запил торца",ROUND(T73+$P$1,0),IF(M73="запил торцов",ROUND(T73+$P$1*2,0),T73))))+IF(G73=$O$1,$P$1,)+IF(H73=$O$1,$P$1,)</f>
        <v>607</v>
      </c>
      <c r="F73" s="48">
        <f>IF(M73="скрутка",U73+$Q$1,IF(M73="склейка",U73+$Q$1,IF(M73="запил торца",ROUND(U73+$P$1,0),IF(M73="запил торцов",ROUND(U73+$P$1*2,0),U73))))+IF(C73=$O$1,$P$1,)+IF(D73=$O$1,$P$1,)</f>
        <v>595</v>
      </c>
      <c r="G73" s="54">
        <f>I184</f>
        <v>1</v>
      </c>
      <c r="H73" s="54">
        <f>I184</f>
        <v>1</v>
      </c>
      <c r="I73" s="49">
        <f>IF(OR(M73="скрутка",M73="склейка"),Z73*2,Z73)</f>
        <v>1</v>
      </c>
      <c r="J73" s="53" t="str">
        <f>X73</f>
        <v>ЛДСП FB68 Ares 2800х2070х18</v>
      </c>
      <c r="K73" s="52" t="str">
        <f>IF(ISBLANK(AB73),"",AB73)</f>
        <v/>
      </c>
      <c r="L73" s="52" t="str">
        <f>IF(ISBLANK(AC73),"",AC73)</f>
        <v/>
      </c>
      <c r="M73" s="51" t="str">
        <f>IF(AA73="","",AA73)</f>
        <v/>
      </c>
      <c r="N73" s="30" t="str">
        <f>CONCATENATE(IF(E73&lt;&gt;T73,"НеРавны",),IF(AND(NOT(ISBLANK(R73)),R73&lt;&gt;T73),"Д",),IF(AND(NOT(ISBLANK(S73)),S73&lt;&gt;U73),"Ш",))</f>
        <v>ДШ</v>
      </c>
      <c r="O73" s="22">
        <f>O66+1</f>
        <v>2</v>
      </c>
      <c r="P73" s="18" t="s">
        <v>198</v>
      </c>
      <c r="Q73" s="18">
        <v>9</v>
      </c>
      <c r="R73" s="18">
        <v>609</v>
      </c>
      <c r="S73" s="18">
        <v>597</v>
      </c>
      <c r="T73" s="3">
        <v>607</v>
      </c>
      <c r="U73" s="3">
        <v>595</v>
      </c>
      <c r="V73" s="23"/>
      <c r="W73" s="23" t="s">
        <v>233</v>
      </c>
      <c r="X73" s="26" t="str">
        <f>J184</f>
        <v>ЛДСП FB68 Ares 2800х2070х18</v>
      </c>
      <c r="Y73" s="18" t="s">
        <v>158</v>
      </c>
      <c r="Z73" s="18">
        <v>1</v>
      </c>
      <c r="AA73" s="18"/>
      <c r="AB73" s="18"/>
      <c r="AC73" s="18"/>
      <c r="AD73" s="56"/>
    </row>
    <row r="74" spans="1:30" x14ac:dyDescent="0.25">
      <c r="A74" s="9" t="str">
        <f>CONCATENATE(O74,".",LEFT(J74))</f>
        <v>6.Л</v>
      </c>
      <c r="B74" s="32" t="str">
        <f>CONCATENATE(IF(OR(Y74="Не определена",Y74,ISBLANK(Y74)),"↕",),IF(Y74="Не обязательна","±",),Q74,".",P74)</f>
        <v>9.бок (паз_16)</v>
      </c>
      <c r="C74" s="54" t="str">
        <f>I183</f>
        <v>-</v>
      </c>
      <c r="D74" s="54" t="str">
        <f>I183</f>
        <v>-</v>
      </c>
      <c r="E74" s="48">
        <f>IF(M74="скрутка",T74+$Q$1,IF(M74="склейка",T74+$Q$1,IF(M74="запил торца",ROUND(T74+$P$1,0),IF(M74="запил торцов",ROUND(T74+$P$1*2,0),T74))))+IF(G74=$O$1,$P$1,)+IF(H74=$O$1,$P$1,)</f>
        <v>599</v>
      </c>
      <c r="F74" s="48">
        <f>IF(M74="скрутка",U74+$Q$1,IF(M74="склейка",U74+$Q$1,IF(M74="запил торца",ROUND(U74+$P$1,0),IF(M74="запил торцов",ROUND(U74+$P$1*2,0),U74))))+IF(C74=$O$1,$P$1,)+IF(D74=$O$1,$P$1,)</f>
        <v>299</v>
      </c>
      <c r="G74" s="54" t="str">
        <f>I183</f>
        <v>-</v>
      </c>
      <c r="H74" s="54" t="str">
        <f>I183</f>
        <v>-</v>
      </c>
      <c r="I74" s="49">
        <f>IF(OR(M74="скрутка",M74="склейка"),Z74*2,Z74)</f>
        <v>1</v>
      </c>
      <c r="J74" s="53" t="str">
        <f>X74</f>
        <v>ЛДСП Lamarty 2750*1830*16мм Вулканический серый б/к</v>
      </c>
      <c r="K74" s="52" t="str">
        <f>IF(ISBLANK(AB74),"",AB74)</f>
        <v/>
      </c>
      <c r="L74" s="52" t="str">
        <f>IF(ISBLANK(AC74),"",AC74)</f>
        <v/>
      </c>
      <c r="M74" s="51" t="str">
        <f>IF(AA74="","",AA74)</f>
        <v>паз ХДФ 8*4(по длине);</v>
      </c>
      <c r="N74" s="30" t="str">
        <f>CONCATENATE(IF(E74&lt;&gt;T74,"НеРавны",),IF(AND(NOT(ISBLANK(R74)),R74&lt;&gt;T74),"Д",),IF(AND(NOT(ISBLANK(S74)),S74&lt;&gt;U74),"Ш",))</f>
        <v>ДШ</v>
      </c>
      <c r="O74" s="22">
        <f>O71+1</f>
        <v>6</v>
      </c>
      <c r="P74" s="18" t="s">
        <v>197</v>
      </c>
      <c r="Q74" s="18">
        <v>9</v>
      </c>
      <c r="R74" s="18">
        <v>600</v>
      </c>
      <c r="S74" s="18">
        <v>300</v>
      </c>
      <c r="T74" s="3">
        <v>599</v>
      </c>
      <c r="U74" s="3">
        <v>299</v>
      </c>
      <c r="V74" s="23"/>
      <c r="W74" s="23" t="s">
        <v>232</v>
      </c>
      <c r="X74" s="26" t="str">
        <f>J183</f>
        <v>ЛДСП Lamarty 2750*1830*16мм Вулканический серый б/к</v>
      </c>
      <c r="Y74" s="18" t="s">
        <v>158</v>
      </c>
      <c r="Z74" s="18">
        <v>1</v>
      </c>
      <c r="AA74" s="18" t="s">
        <v>185</v>
      </c>
      <c r="AB74" s="18"/>
      <c r="AC74" s="18"/>
      <c r="AD74" s="56"/>
    </row>
    <row r="75" spans="1:30" x14ac:dyDescent="0.25">
      <c r="A75" s="9" t="str">
        <f>CONCATENATE(O75,".",LEFT(J75))</f>
        <v>7.Л</v>
      </c>
      <c r="B75" s="32" t="str">
        <f>CONCATENATE(IF(OR(Y75="Не определена",Y75,ISBLANK(Y75)),"↕",),IF(Y75="Не обязательна","±",),Q75,".",P75)</f>
        <v>9.бок (паз_16)</v>
      </c>
      <c r="C75" s="54" t="str">
        <f>I183</f>
        <v>-</v>
      </c>
      <c r="D75" s="54" t="str">
        <f>I183</f>
        <v>-</v>
      </c>
      <c r="E75" s="48">
        <f>IF(M75="скрутка",T75+$Q$1,IF(M75="склейка",T75+$Q$1,IF(M75="запил торца",ROUND(T75+$P$1,0),IF(M75="запил торцов",ROUND(T75+$P$1*2,0),T75))))+IF(G75=$O$1,$P$1,)+IF(H75=$O$1,$P$1,)</f>
        <v>599</v>
      </c>
      <c r="F75" s="48">
        <f>IF(M75="скрутка",U75+$Q$1,IF(M75="склейка",U75+$Q$1,IF(M75="запил торца",ROUND(U75+$P$1,0),IF(M75="запил торцов",ROUND(U75+$P$1*2,0),U75))))+IF(C75=$O$1,$P$1,)+IF(D75=$O$1,$P$1,)</f>
        <v>299</v>
      </c>
      <c r="G75" s="54" t="str">
        <f>I183</f>
        <v>-</v>
      </c>
      <c r="H75" s="54" t="str">
        <f>I183</f>
        <v>-</v>
      </c>
      <c r="I75" s="49">
        <f>IF(OR(M75="скрутка",M75="склейка"),Z75*2,Z75)</f>
        <v>1</v>
      </c>
      <c r="J75" s="53" t="str">
        <f>X75</f>
        <v>ЛДСП Lamarty 2750*1830*16мм Вулканический серый б/к</v>
      </c>
      <c r="K75" s="52" t="str">
        <f>IF(ISBLANK(AB75),"",AB75)</f>
        <v/>
      </c>
      <c r="L75" s="52" t="str">
        <f>IF(ISBLANK(AC75),"",AC75)</f>
        <v/>
      </c>
      <c r="M75" s="51" t="str">
        <f>IF(AA75="","",AA75)</f>
        <v>паз ХДФ 8*4(по длине);</v>
      </c>
      <c r="N75" s="30" t="str">
        <f>CONCATENATE(IF(E75&lt;&gt;T75,"НеРавны",),IF(AND(NOT(ISBLANK(R75)),R75&lt;&gt;T75),"Д",),IF(AND(NOT(ISBLANK(S75)),S75&lt;&gt;U75),"Ш",))</f>
        <v>ДШ</v>
      </c>
      <c r="O75" s="22">
        <f>O74+1</f>
        <v>7</v>
      </c>
      <c r="P75" s="18" t="s">
        <v>197</v>
      </c>
      <c r="Q75" s="18">
        <v>9</v>
      </c>
      <c r="R75" s="18">
        <v>600</v>
      </c>
      <c r="S75" s="18">
        <v>300</v>
      </c>
      <c r="T75" s="3">
        <v>599</v>
      </c>
      <c r="U75" s="3">
        <v>299</v>
      </c>
      <c r="V75" s="23"/>
      <c r="W75" s="23" t="s">
        <v>232</v>
      </c>
      <c r="X75" s="26" t="str">
        <f>J183</f>
        <v>ЛДСП Lamarty 2750*1830*16мм Вулканический серый б/к</v>
      </c>
      <c r="Y75" s="18" t="s">
        <v>158</v>
      </c>
      <c r="Z75" s="18">
        <v>1</v>
      </c>
      <c r="AA75" s="18" t="s">
        <v>185</v>
      </c>
      <c r="AB75" s="18"/>
      <c r="AC75" s="18"/>
      <c r="AD75" s="56"/>
    </row>
    <row r="76" spans="1:30" x14ac:dyDescent="0.25">
      <c r="A76" s="9" t="str">
        <f>CONCATENATE(O76,".",LEFT(J76))</f>
        <v>8.Л</v>
      </c>
      <c r="B76" s="32" t="str">
        <f>CONCATENATE(IF(OR(Y76="Не определена",Y76,ISBLANK(Y76)),"↕",),IF(Y76="Не обязательна","±",),Q76,".",P76)</f>
        <v>9.горизонт (паз_16)</v>
      </c>
      <c r="C76" s="54" t="str">
        <f>I183</f>
        <v>-</v>
      </c>
      <c r="D76" s="54" t="str">
        <f>I183</f>
        <v>-</v>
      </c>
      <c r="E76" s="48">
        <f>IF(M76="скрутка",T76+$Q$1,IF(M76="склейка",T76+$Q$1,IF(M76="запил торца",ROUND(T76+$P$1,0),IF(M76="запил торцов",ROUND(T76+$P$1*2,0),T76))))+IF(G76=$O$1,$P$1,)+IF(H76=$O$1,$P$1,)</f>
        <v>568</v>
      </c>
      <c r="F76" s="48">
        <f>IF(M76="скрутка",U76+$Q$1,IF(M76="склейка",U76+$Q$1,IF(M76="запил торца",ROUND(U76+$P$1,0),IF(M76="запил торцов",ROUND(U76+$P$1*2,0),U76))))+IF(C76=$O$1,$P$1,)+IF(D76=$O$1,$P$1,)</f>
        <v>299</v>
      </c>
      <c r="G76" s="47"/>
      <c r="H76" s="47"/>
      <c r="I76" s="49">
        <f>IF(OR(M76="скрутка",M76="склейка"),Z76*2,Z76)</f>
        <v>1</v>
      </c>
      <c r="J76" s="53" t="str">
        <f>X76</f>
        <v>ЛДСП Lamarty 2750*1830*16мм Вулканический серый б/к</v>
      </c>
      <c r="K76" s="52" t="str">
        <f>IF(ISBLANK(AB76),"",AB76)</f>
        <v/>
      </c>
      <c r="L76" s="52" t="str">
        <f>IF(ISBLANK(AC76),"",AC76)</f>
        <v/>
      </c>
      <c r="M76" s="51" t="str">
        <f>IF(AA76="","",AA76)</f>
        <v>паз ХДФ*anna(уточнить);</v>
      </c>
      <c r="N76" s="30" t="str">
        <f>CONCATENATE(IF(E76&lt;&gt;T76,"НеРавны",),IF(AND(NOT(ISBLANK(R76)),R76&lt;&gt;T76),"Д",),IF(AND(NOT(ISBLANK(S76)),S76&lt;&gt;U76),"Ш",))</f>
        <v>Ш</v>
      </c>
      <c r="O76" s="22">
        <f>O75+1</f>
        <v>8</v>
      </c>
      <c r="P76" s="18" t="s">
        <v>196</v>
      </c>
      <c r="Q76" s="18">
        <v>9</v>
      </c>
      <c r="R76" s="18">
        <v>568</v>
      </c>
      <c r="S76" s="18">
        <v>300</v>
      </c>
      <c r="T76" s="3">
        <v>568</v>
      </c>
      <c r="U76" s="3">
        <v>299</v>
      </c>
      <c r="V76" s="23"/>
      <c r="W76" s="23" t="s">
        <v>231</v>
      </c>
      <c r="X76" s="26" t="str">
        <f>J183</f>
        <v>ЛДСП Lamarty 2750*1830*16мм Вулканический серый б/к</v>
      </c>
      <c r="Y76" s="18" t="s">
        <v>158</v>
      </c>
      <c r="Z76" s="18">
        <v>1</v>
      </c>
      <c r="AA76" s="18" t="s">
        <v>203</v>
      </c>
      <c r="AB76" s="18"/>
      <c r="AC76" s="18"/>
      <c r="AD76" s="56"/>
    </row>
    <row r="77" spans="1:30" x14ac:dyDescent="0.25">
      <c r="A77" s="9" t="str">
        <f>CONCATENATE(O77,".",LEFT(J77))</f>
        <v>9.Л</v>
      </c>
      <c r="B77" s="32" t="str">
        <f>CONCATENATE(IF(OR(Y77="Не определена",Y77,ISBLANK(Y77)),"↕",),IF(Y77="Не обязательна","±",),Q77,".",P77)</f>
        <v>9.горизонт (паз_16)</v>
      </c>
      <c r="C77" s="54" t="str">
        <f>I183</f>
        <v>-</v>
      </c>
      <c r="D77" s="54" t="str">
        <f>I183</f>
        <v>-</v>
      </c>
      <c r="E77" s="48">
        <f>IF(M77="скрутка",T77+$Q$1,IF(M77="склейка",T77+$Q$1,IF(M77="запил торца",ROUND(T77+$P$1,0),IF(M77="запил торцов",ROUND(T77+$P$1*2,0),T77))))+IF(G77=$O$1,$P$1,)+IF(H77=$O$1,$P$1,)</f>
        <v>568</v>
      </c>
      <c r="F77" s="48">
        <f>IF(M77="скрутка",U77+$Q$1,IF(M77="склейка",U77+$Q$1,IF(M77="запил торца",ROUND(U77+$P$1,0),IF(M77="запил торцов",ROUND(U77+$P$1*2,0),U77))))+IF(C77=$O$1,$P$1,)+IF(D77=$O$1,$P$1,)</f>
        <v>299</v>
      </c>
      <c r="G77" s="47"/>
      <c r="H77" s="47"/>
      <c r="I77" s="49">
        <f>IF(OR(M77="скрутка",M77="склейка"),Z77*2,Z77)</f>
        <v>1</v>
      </c>
      <c r="J77" s="53" t="str">
        <f>X77</f>
        <v>ЛДСП Lamarty 2750*1830*16мм Вулканический серый б/к</v>
      </c>
      <c r="K77" s="52" t="str">
        <f>IF(ISBLANK(AB77),"",AB77)</f>
        <v/>
      </c>
      <c r="L77" s="52" t="str">
        <f>IF(ISBLANK(AC77),"",AC77)</f>
        <v/>
      </c>
      <c r="M77" s="51" t="str">
        <f>IF(AA77="","",AA77)</f>
        <v>паз ХДФ 8*4(уточнить);</v>
      </c>
      <c r="N77" s="30" t="str">
        <f>CONCATENATE(IF(E77&lt;&gt;T77,"НеРавны",),IF(AND(NOT(ISBLANK(R77)),R77&lt;&gt;T77),"Д",),IF(AND(NOT(ISBLANK(S77)),S77&lt;&gt;U77),"Ш",))</f>
        <v>Ш</v>
      </c>
      <c r="O77" s="22">
        <f>O76+1</f>
        <v>9</v>
      </c>
      <c r="P77" s="18" t="s">
        <v>196</v>
      </c>
      <c r="Q77" s="18">
        <v>9</v>
      </c>
      <c r="R77" s="18">
        <v>568</v>
      </c>
      <c r="S77" s="18">
        <v>300</v>
      </c>
      <c r="T77" s="3">
        <v>568</v>
      </c>
      <c r="U77" s="3">
        <v>299</v>
      </c>
      <c r="V77" s="23"/>
      <c r="W77" s="23" t="s">
        <v>231</v>
      </c>
      <c r="X77" s="26" t="str">
        <f>J183</f>
        <v>ЛДСП Lamarty 2750*1830*16мм Вулканический серый б/к</v>
      </c>
      <c r="Y77" s="18" t="s">
        <v>158</v>
      </c>
      <c r="Z77" s="18">
        <v>1</v>
      </c>
      <c r="AA77" s="18" t="s">
        <v>204</v>
      </c>
      <c r="AB77" s="18"/>
      <c r="AC77" s="18"/>
      <c r="AD77" s="56"/>
    </row>
    <row r="78" spans="1:30" x14ac:dyDescent="0.25">
      <c r="A78" s="9" t="str">
        <f>CONCATENATE(O78,".",LEFT(J78))</f>
        <v>9.X</v>
      </c>
      <c r="B78" s="32" t="str">
        <f>CONCATENATE(IF(OR(Y78="Не определена",Y78,ISBLANK(Y78)),"↕",),IF(Y78="Не обязательна","±",),Q78,".",P78)</f>
        <v>10.задняя стенка</v>
      </c>
      <c r="C78" s="47"/>
      <c r="D78" s="47"/>
      <c r="E78" s="48">
        <f>IF(M78="скрутка",T78+$Q$1,IF(M78="склейка",T78+$Q$1,IF(M78="запил торца",ROUND(T78+$P$1,0),IF(M78="запил торцов",ROUND(T78+$P$1*2,0),T78))))+IF(G78=$O$1,$P$1,)+IF(H78=$O$1,$P$1,)</f>
        <v>582</v>
      </c>
      <c r="F78" s="48">
        <f>IF(M78="скрутка",U78+$Q$1,IF(M78="склейка",U78+$Q$1,IF(M78="запил торца",ROUND(U78+$P$1,0),IF(M78="запил торцов",ROUND(U78+$P$1*2,0),U78))))+IF(C78=$O$1,$P$1,)+IF(D78=$O$1,$P$1,)</f>
        <v>417</v>
      </c>
      <c r="G78" s="47"/>
      <c r="H78" s="47"/>
      <c r="I78" s="49">
        <f>IF(OR(M78="скрутка",M78="склейка"),Z78*2,Z78)</f>
        <v>1</v>
      </c>
      <c r="J78" s="111" t="str">
        <f>X78</f>
        <v>XДФ 2800*2070*4 Белый б/к</v>
      </c>
      <c r="K78" s="52" t="str">
        <f>IF(ISBLANK(AB78),"",AB78)</f>
        <v/>
      </c>
      <c r="L78" s="52" t="str">
        <f>IF(ISBLANK(AC78),"",AC78)</f>
        <v/>
      </c>
      <c r="M78" s="51" t="str">
        <f>IF(AA78="","",AA78)</f>
        <v/>
      </c>
      <c r="N78" s="30" t="str">
        <f>CONCATENATE(IF(E78&lt;&gt;T78,"НеРавны",),IF(AND(NOT(ISBLANK(R78)),R78&lt;&gt;T78),"Д",),IF(AND(NOT(ISBLANK(S78)),S78&lt;&gt;U78),"Ш",))</f>
        <v/>
      </c>
      <c r="O78" s="22">
        <f>O72+1</f>
        <v>9</v>
      </c>
      <c r="P78" s="18" t="s">
        <v>189</v>
      </c>
      <c r="Q78" s="18">
        <v>10</v>
      </c>
      <c r="R78" s="18">
        <v>582</v>
      </c>
      <c r="S78" s="18">
        <v>417</v>
      </c>
      <c r="T78" s="3">
        <v>582</v>
      </c>
      <c r="U78" s="3">
        <v>417</v>
      </c>
      <c r="V78" s="23"/>
      <c r="W78" s="23" t="s">
        <v>164</v>
      </c>
      <c r="X78" s="26" t="str">
        <f>X72</f>
        <v>XДФ 2800*2070*4 Белый б/к</v>
      </c>
      <c r="Y78" s="18" t="s">
        <v>158</v>
      </c>
      <c r="Z78" s="18">
        <v>1</v>
      </c>
      <c r="AA78" s="18"/>
      <c r="AB78" s="18"/>
      <c r="AC78" s="18"/>
      <c r="AD78" s="56"/>
    </row>
    <row r="79" spans="1:30" x14ac:dyDescent="0.25">
      <c r="A79" s="9" t="str">
        <f>CONCATENATE(O79,".",LEFT(J79))</f>
        <v>3.Л</v>
      </c>
      <c r="B79" s="32" t="str">
        <f>CONCATENATE(IF(OR(Y79="Не определена",Y79,ISBLANK(Y79)),"↕",),IF(Y79="Не обязательна","±",),Q79,".",P79)</f>
        <v>10.фасад (ПВХ_1мм в круг)</v>
      </c>
      <c r="C79" s="54">
        <f>I184</f>
        <v>1</v>
      </c>
      <c r="D79" s="54">
        <f>I184</f>
        <v>1</v>
      </c>
      <c r="E79" s="48">
        <f>IF(M79="скрутка",T79+$Q$1,IF(M79="склейка",T79+$Q$1,IF(M79="запил торца",ROUND(T79+$P$1,0),IF(M79="запил торцов",ROUND(T79+$P$1*2,0),T79))))+IF(G79=$O$1,$P$1,)+IF(H79=$O$1,$P$1,)</f>
        <v>607</v>
      </c>
      <c r="F79" s="48">
        <f>IF(M79="скрутка",U79+$Q$1,IF(M79="склейка",U79+$Q$1,IF(M79="запил торца",ROUND(U79+$P$1,0),IF(M79="запил торцов",ROUND(U79+$P$1*2,0),U79))))+IF(C79=$O$1,$P$1,)+IF(D79=$O$1,$P$1,)</f>
        <v>595</v>
      </c>
      <c r="G79" s="54">
        <f>I184</f>
        <v>1</v>
      </c>
      <c r="H79" s="54">
        <f>I184</f>
        <v>1</v>
      </c>
      <c r="I79" s="49">
        <f>IF(OR(M79="скрутка",M79="склейка"),Z79*2,Z79)</f>
        <v>1</v>
      </c>
      <c r="J79" s="53" t="str">
        <f>X79</f>
        <v>ЛДСП FB68 Ares 2800х2070х18</v>
      </c>
      <c r="K79" s="52" t="str">
        <f>IF(ISBLANK(AB79),"",AB79)</f>
        <v/>
      </c>
      <c r="L79" s="52" t="str">
        <f>IF(ISBLANK(AC79),"",AC79)</f>
        <v/>
      </c>
      <c r="M79" s="51" t="str">
        <f>IF(AA79="","",AA79)</f>
        <v/>
      </c>
      <c r="N79" s="30" t="str">
        <f>CONCATENATE(IF(E79&lt;&gt;T79,"НеРавны",),IF(AND(NOT(ISBLANK(R79)),R79&lt;&gt;T79),"Д",),IF(AND(NOT(ISBLANK(S79)),S79&lt;&gt;U79),"Ш",))</f>
        <v>ДШ</v>
      </c>
      <c r="O79" s="22">
        <f>O73+1</f>
        <v>3</v>
      </c>
      <c r="P79" s="18" t="s">
        <v>198</v>
      </c>
      <c r="Q79" s="18">
        <v>10</v>
      </c>
      <c r="R79" s="18">
        <v>609</v>
      </c>
      <c r="S79" s="18">
        <v>597</v>
      </c>
      <c r="T79" s="3">
        <v>607</v>
      </c>
      <c r="U79" s="3">
        <v>595</v>
      </c>
      <c r="V79" s="23"/>
      <c r="W79" s="23" t="s">
        <v>233</v>
      </c>
      <c r="X79" s="26" t="str">
        <f>J184</f>
        <v>ЛДСП FB68 Ares 2800х2070х18</v>
      </c>
      <c r="Y79" s="18" t="s">
        <v>158</v>
      </c>
      <c r="Z79" s="18">
        <v>1</v>
      </c>
      <c r="AA79" s="18"/>
      <c r="AB79" s="18"/>
      <c r="AC79" s="18"/>
      <c r="AD79" s="56"/>
    </row>
    <row r="80" spans="1:30" x14ac:dyDescent="0.25">
      <c r="A80" s="9" t="str">
        <f>CONCATENATE(O80,".",LEFT(J80))</f>
        <v>10.Л</v>
      </c>
      <c r="B80" s="32" t="str">
        <f>CONCATENATE(IF(OR(Y80="Не определена",Y80,ISBLANK(Y80)),"↕",),IF(Y80="Не обязательна","±",),Q80,".",P80)</f>
        <v>10.бок (паз_16)</v>
      </c>
      <c r="C80" s="54" t="str">
        <f>I183</f>
        <v>-</v>
      </c>
      <c r="D80" s="54" t="str">
        <f>I183</f>
        <v>-</v>
      </c>
      <c r="E80" s="48">
        <f>IF(M80="скрутка",T80+$Q$1,IF(M80="склейка",T80+$Q$1,IF(M80="запил торца",ROUND(T80+$P$1,0),IF(M80="запил торцов",ROUND(T80+$P$1*2,0),T80))))+IF(G80=$O$1,$P$1,)+IF(H80=$O$1,$P$1,)</f>
        <v>583</v>
      </c>
      <c r="F80" s="48">
        <f>IF(M80="скрутка",U80+$Q$1,IF(M80="склейка",U80+$Q$1,IF(M80="запил торца",ROUND(U80+$P$1,0),IF(M80="запил торцов",ROUND(U80+$P$1*2,0),U80))))+IF(C80=$O$1,$P$1,)+IF(D80=$O$1,$P$1,)</f>
        <v>299</v>
      </c>
      <c r="G80" s="54" t="str">
        <f>I183</f>
        <v>-</v>
      </c>
      <c r="H80" s="54" t="str">
        <f>I183</f>
        <v>-</v>
      </c>
      <c r="I80" s="49">
        <f>IF(OR(M80="скрутка",M80="склейка"),Z80*2,Z80)</f>
        <v>1</v>
      </c>
      <c r="J80" s="53" t="str">
        <f>X80</f>
        <v>ЛДСП Lamarty 2750*1830*16мм Вулканический серый б/к</v>
      </c>
      <c r="K80" s="52" t="str">
        <f>IF(ISBLANK(AB80),"",AB80)</f>
        <v/>
      </c>
      <c r="L80" s="52" t="str">
        <f>IF(ISBLANK(AC80),"",AC80)</f>
        <v/>
      </c>
      <c r="M80" s="51" t="str">
        <f>IF(AA80="","",AA80)</f>
        <v>паз ХДФ 8*4(по длине);</v>
      </c>
      <c r="N80" s="30" t="str">
        <f>CONCATENATE(IF(E80&lt;&gt;T80,"НеРавны",),IF(AND(NOT(ISBLANK(R80)),R80&lt;&gt;T80),"Д",),IF(AND(NOT(ISBLANK(S80)),S80&lt;&gt;U80),"Ш",))</f>
        <v>ДШ</v>
      </c>
      <c r="O80" s="22">
        <f>O77+1</f>
        <v>10</v>
      </c>
      <c r="P80" s="18" t="s">
        <v>197</v>
      </c>
      <c r="Q80" s="18">
        <v>10</v>
      </c>
      <c r="R80" s="18">
        <v>584</v>
      </c>
      <c r="S80" s="18">
        <v>300</v>
      </c>
      <c r="T80" s="3">
        <v>583</v>
      </c>
      <c r="U80" s="3">
        <v>299</v>
      </c>
      <c r="V80" s="23"/>
      <c r="W80" s="23" t="s">
        <v>232</v>
      </c>
      <c r="X80" s="26" t="str">
        <f>J183</f>
        <v>ЛДСП Lamarty 2750*1830*16мм Вулканический серый б/к</v>
      </c>
      <c r="Y80" s="18" t="s">
        <v>158</v>
      </c>
      <c r="Z80" s="18">
        <v>1</v>
      </c>
      <c r="AA80" s="18" t="s">
        <v>185</v>
      </c>
      <c r="AB80" s="18"/>
      <c r="AC80" s="18"/>
      <c r="AD80" s="56"/>
    </row>
    <row r="81" spans="1:30" x14ac:dyDescent="0.25">
      <c r="A81" s="9" t="str">
        <f>CONCATENATE(O81,".",LEFT(J81))</f>
        <v>11.Л</v>
      </c>
      <c r="B81" s="32" t="str">
        <f>CONCATENATE(IF(OR(Y81="Не определена",Y81,ISBLANK(Y81)),"↕",),IF(Y81="Не обязательна","±",),Q81,".",P81)</f>
        <v>10.бок (паз_16)</v>
      </c>
      <c r="C81" s="54" t="str">
        <f>I183</f>
        <v>-</v>
      </c>
      <c r="D81" s="54" t="str">
        <f>I183</f>
        <v>-</v>
      </c>
      <c r="E81" s="48">
        <f>IF(M81="скрутка",T81+$Q$1,IF(M81="склейка",T81+$Q$1,IF(M81="запил торца",ROUND(T81+$P$1,0),IF(M81="запил торцов",ROUND(T81+$P$1*2,0),T81))))+IF(G81=$O$1,$P$1,)+IF(H81=$O$1,$P$1,)</f>
        <v>583</v>
      </c>
      <c r="F81" s="48">
        <f>IF(M81="скрутка",U81+$Q$1,IF(M81="склейка",U81+$Q$1,IF(M81="запил торца",ROUND(U81+$P$1,0),IF(M81="запил торцов",ROUND(U81+$P$1*2,0),U81))))+IF(C81=$O$1,$P$1,)+IF(D81=$O$1,$P$1,)</f>
        <v>299</v>
      </c>
      <c r="G81" s="54" t="str">
        <f>I183</f>
        <v>-</v>
      </c>
      <c r="H81" s="54" t="str">
        <f>I183</f>
        <v>-</v>
      </c>
      <c r="I81" s="49">
        <f>IF(OR(M81="скрутка",M81="склейка"),Z81*2,Z81)</f>
        <v>1</v>
      </c>
      <c r="J81" s="53" t="str">
        <f>X81</f>
        <v>ЛДСП Lamarty 2750*1830*16мм Вулканический серый б/к</v>
      </c>
      <c r="K81" s="52" t="str">
        <f>IF(ISBLANK(AB81),"",AB81)</f>
        <v/>
      </c>
      <c r="L81" s="52" t="str">
        <f>IF(ISBLANK(AC81),"",AC81)</f>
        <v/>
      </c>
      <c r="M81" s="51" t="str">
        <f>IF(AA81="","",AA81)</f>
        <v>паз ХДФ 8*4(по длине);</v>
      </c>
      <c r="N81" s="30" t="str">
        <f>CONCATENATE(IF(E81&lt;&gt;T81,"НеРавны",),IF(AND(NOT(ISBLANK(R81)),R81&lt;&gt;T81),"Д",),IF(AND(NOT(ISBLANK(S81)),S81&lt;&gt;U81),"Ш",))</f>
        <v>ДШ</v>
      </c>
      <c r="O81" s="22">
        <f>O80+1</f>
        <v>11</v>
      </c>
      <c r="P81" s="18" t="s">
        <v>197</v>
      </c>
      <c r="Q81" s="18">
        <v>10</v>
      </c>
      <c r="R81" s="18">
        <v>584</v>
      </c>
      <c r="S81" s="18">
        <v>300</v>
      </c>
      <c r="T81" s="3">
        <v>583</v>
      </c>
      <c r="U81" s="3">
        <v>299</v>
      </c>
      <c r="V81" s="23"/>
      <c r="W81" s="23" t="s">
        <v>232</v>
      </c>
      <c r="X81" s="26" t="str">
        <f>J183</f>
        <v>ЛДСП Lamarty 2750*1830*16мм Вулканический серый б/к</v>
      </c>
      <c r="Y81" s="18" t="s">
        <v>158</v>
      </c>
      <c r="Z81" s="18">
        <v>1</v>
      </c>
      <c r="AA81" s="18" t="s">
        <v>185</v>
      </c>
      <c r="AB81" s="18"/>
      <c r="AC81" s="18"/>
      <c r="AD81" s="56"/>
    </row>
    <row r="82" spans="1:30" x14ac:dyDescent="0.25">
      <c r="A82" s="9" t="str">
        <f>CONCATENATE(O82,".",LEFT(J82))</f>
        <v>12.Л</v>
      </c>
      <c r="B82" s="32" t="str">
        <f>CONCATENATE(IF(OR(Y82="Не определена",Y82,ISBLANK(Y82)),"↕",),IF(Y82="Не обязательна","±",),Q82,".",P82)</f>
        <v>10.бок короба</v>
      </c>
      <c r="C82" s="54" t="str">
        <f>I183</f>
        <v>-</v>
      </c>
      <c r="D82" s="54" t="str">
        <f>I183</f>
        <v>-</v>
      </c>
      <c r="E82" s="48">
        <f>IF(M82="скрутка",T82+$Q$1,IF(M82="склейка",T82+$Q$1,IF(M82="запил торца",ROUND(T82+$P$1,0),IF(M82="запил торцов",ROUND(T82+$P$1*2,0),T82))))+IF(G82=$O$1,$P$1,)+IF(H82=$O$1,$P$1,)</f>
        <v>402</v>
      </c>
      <c r="F82" s="48">
        <f>IF(M82="скрутка",U82+$Q$1,IF(M82="склейка",U82+$Q$1,IF(M82="запил торца",ROUND(U82+$P$1,0),IF(M82="запил торцов",ROUND(U82+$P$1*2,0),U82))))+IF(C82=$O$1,$P$1,)+IF(D82=$O$1,$P$1,)</f>
        <v>183</v>
      </c>
      <c r="G82" s="54" t="str">
        <f>I183</f>
        <v>-</v>
      </c>
      <c r="H82" s="54" t="str">
        <f>I183</f>
        <v>-</v>
      </c>
      <c r="I82" s="49">
        <f>IF(OR(M82="скрутка",M82="склейка"),Z82*2,Z82)</f>
        <v>1</v>
      </c>
      <c r="J82" s="53" t="str">
        <f>X82</f>
        <v>ЛДСП Lamarty 2750*1830*16мм Вулканический серый б/к</v>
      </c>
      <c r="K82" s="52" t="str">
        <f>IF(ISBLANK(AB82),"",AB82)</f>
        <v/>
      </c>
      <c r="L82" s="52" t="str">
        <f>IF(ISBLANK(AC82),"",AC82)</f>
        <v/>
      </c>
      <c r="M82" s="51" t="str">
        <f>IF(AA82="","",AA82)</f>
        <v/>
      </c>
      <c r="N82" s="30" t="str">
        <f>CONCATENATE(IF(E82&lt;&gt;T82,"НеРавны",),IF(AND(NOT(ISBLANK(R82)),R82&lt;&gt;T82),"Д",),IF(AND(NOT(ISBLANK(S82)),S82&lt;&gt;U82),"Ш",))</f>
        <v>ДШ</v>
      </c>
      <c r="O82" s="22">
        <f>O81+1</f>
        <v>12</v>
      </c>
      <c r="P82" s="18" t="s">
        <v>210</v>
      </c>
      <c r="Q82" s="18">
        <v>10</v>
      </c>
      <c r="R82" s="18">
        <v>403</v>
      </c>
      <c r="S82" s="18">
        <v>184</v>
      </c>
      <c r="T82" s="3">
        <v>402</v>
      </c>
      <c r="U82" s="3">
        <v>183</v>
      </c>
      <c r="V82" s="23"/>
      <c r="W82" s="23" t="s">
        <v>232</v>
      </c>
      <c r="X82" s="26" t="str">
        <f>J183</f>
        <v>ЛДСП Lamarty 2750*1830*16мм Вулканический серый б/к</v>
      </c>
      <c r="Y82" s="18" t="s">
        <v>158</v>
      </c>
      <c r="Z82" s="18">
        <v>1</v>
      </c>
      <c r="AA82" s="18"/>
      <c r="AB82" s="18"/>
      <c r="AC82" s="18"/>
      <c r="AD82" s="56"/>
    </row>
    <row r="83" spans="1:30" x14ac:dyDescent="0.25">
      <c r="A83" s="9" t="str">
        <f>CONCATENATE(O83,".",LEFT(J83))</f>
        <v>13.Л</v>
      </c>
      <c r="B83" s="32" t="str">
        <f>CONCATENATE(IF(OR(Y83="Не определена",Y83,ISBLANK(Y83)),"↕",),IF(Y83="Не обязательна","±",),Q83,".",P83)</f>
        <v>10.бок короба</v>
      </c>
      <c r="C83" s="54" t="str">
        <f>I183</f>
        <v>-</v>
      </c>
      <c r="D83" s="54" t="str">
        <f>I183</f>
        <v>-</v>
      </c>
      <c r="E83" s="48">
        <f>IF(M83="скрутка",T83+$Q$1,IF(M83="склейка",T83+$Q$1,IF(M83="запил торца",ROUND(T83+$P$1,0),IF(M83="запил торцов",ROUND(T83+$P$1*2,0),T83))))+IF(G83=$O$1,$P$1,)+IF(H83=$O$1,$P$1,)</f>
        <v>402</v>
      </c>
      <c r="F83" s="48">
        <f>IF(M83="скрутка",U83+$Q$1,IF(M83="склейка",U83+$Q$1,IF(M83="запил торца",ROUND(U83+$P$1,0),IF(M83="запил торцов",ROUND(U83+$P$1*2,0),U83))))+IF(C83=$O$1,$P$1,)+IF(D83=$O$1,$P$1,)</f>
        <v>183</v>
      </c>
      <c r="G83" s="54" t="str">
        <f>I183</f>
        <v>-</v>
      </c>
      <c r="H83" s="54" t="str">
        <f>I183</f>
        <v>-</v>
      </c>
      <c r="I83" s="49">
        <f>IF(OR(M83="скрутка",M83="склейка"),Z83*2,Z83)</f>
        <v>1</v>
      </c>
      <c r="J83" s="53" t="str">
        <f>X83</f>
        <v>ЛДСП Lamarty 2750*1830*16мм Вулканический серый б/к</v>
      </c>
      <c r="K83" s="52" t="str">
        <f>IF(ISBLANK(AB83),"",AB83)</f>
        <v/>
      </c>
      <c r="L83" s="52" t="str">
        <f>IF(ISBLANK(AC83),"",AC83)</f>
        <v/>
      </c>
      <c r="M83" s="51" t="str">
        <f>IF(AA83="","",AA83)</f>
        <v/>
      </c>
      <c r="N83" s="30" t="str">
        <f>CONCATENATE(IF(E83&lt;&gt;T83,"НеРавны",),IF(AND(NOT(ISBLANK(R83)),R83&lt;&gt;T83),"Д",),IF(AND(NOT(ISBLANK(S83)),S83&lt;&gt;U83),"Ш",))</f>
        <v>ДШ</v>
      </c>
      <c r="O83" s="22">
        <f>O82+1</f>
        <v>13</v>
      </c>
      <c r="P83" s="18" t="s">
        <v>210</v>
      </c>
      <c r="Q83" s="18">
        <v>10</v>
      </c>
      <c r="R83" s="18">
        <v>403</v>
      </c>
      <c r="S83" s="18">
        <v>184</v>
      </c>
      <c r="T83" s="3">
        <v>402</v>
      </c>
      <c r="U83" s="3">
        <v>183</v>
      </c>
      <c r="V83" s="23"/>
      <c r="W83" s="23" t="s">
        <v>232</v>
      </c>
      <c r="X83" s="26" t="str">
        <f>J183</f>
        <v>ЛДСП Lamarty 2750*1830*16мм Вулканический серый б/к</v>
      </c>
      <c r="Y83" s="18" t="s">
        <v>158</v>
      </c>
      <c r="Z83" s="18">
        <v>1</v>
      </c>
      <c r="AA83" s="18"/>
      <c r="AB83" s="18"/>
      <c r="AC83" s="18"/>
      <c r="AD83" s="56"/>
    </row>
    <row r="84" spans="1:30" x14ac:dyDescent="0.25">
      <c r="A84" s="9" t="str">
        <f>CONCATENATE(O84,".",LEFT(J84))</f>
        <v>14.Л</v>
      </c>
      <c r="B84" s="32" t="str">
        <f>CONCATENATE(IF(OR(Y84="Не определена",Y84,ISBLANK(Y84)),"↕",),IF(Y84="Не обязательна","±",),Q84,".",P84)</f>
        <v>10.горизонт (вырез, паз_16)</v>
      </c>
      <c r="C84" s="54" t="str">
        <f>I183</f>
        <v>-</v>
      </c>
      <c r="D84" s="54" t="str">
        <f>I183</f>
        <v>-</v>
      </c>
      <c r="E84" s="48">
        <f>IF(M84="скрутка",T84+$Q$1,IF(M84="склейка",T84+$Q$1,IF(M84="запил торца",ROUND(T84+$P$1,0),IF(M84="запил торцов",ROUND(T84+$P$1*2,0),T84))))+IF(G84=$O$1,$P$1,)+IF(H84=$O$1,$P$1,)</f>
        <v>568</v>
      </c>
      <c r="F84" s="48">
        <f>IF(M84="скрутка",U84+$Q$1,IF(M84="склейка",U84+$Q$1,IF(M84="запил торца",ROUND(U84+$P$1,0),IF(M84="запил торцов",ROUND(U84+$P$1*2,0),U84))))+IF(C84=$O$1,$P$1,)+IF(D84=$O$1,$P$1,)</f>
        <v>299</v>
      </c>
      <c r="G84" s="47"/>
      <c r="H84" s="47"/>
      <c r="I84" s="49">
        <f>IF(OR(M84="скрутка",M84="склейка"),Z84*2,Z84)</f>
        <v>1</v>
      </c>
      <c r="J84" s="53" t="str">
        <f>X84</f>
        <v>ЛДСП Lamarty 2750*1830*16мм Вулканический серый б/к</v>
      </c>
      <c r="K84" s="52" t="str">
        <f>IF(ISBLANK(AB84),"",AB84)</f>
        <v/>
      </c>
      <c r="L84" s="52" t="str">
        <f>IF(ISBLANK(AC84),"",AC84)</f>
        <v/>
      </c>
      <c r="M84" s="51" t="str">
        <f>IF(AA84="","",AA84)</f>
        <v>Вырез; паз ХДФ 8*4(по длине);</v>
      </c>
      <c r="N84" s="30" t="str">
        <f>CONCATENATE(IF(E84&lt;&gt;T84,"НеРавны",),IF(AND(NOT(ISBLANK(R84)),R84&lt;&gt;T84),"Д",),IF(AND(NOT(ISBLANK(S84)),S84&lt;&gt;U84),"Ш",))</f>
        <v>Ш</v>
      </c>
      <c r="O84" s="22">
        <f>O83+1</f>
        <v>14</v>
      </c>
      <c r="P84" s="18" t="s">
        <v>202</v>
      </c>
      <c r="Q84" s="18">
        <v>10</v>
      </c>
      <c r="R84" s="18">
        <v>568</v>
      </c>
      <c r="S84" s="18">
        <v>300</v>
      </c>
      <c r="T84" s="3">
        <v>568</v>
      </c>
      <c r="U84" s="3">
        <v>299</v>
      </c>
      <c r="V84" s="23"/>
      <c r="W84" s="23" t="s">
        <v>231</v>
      </c>
      <c r="X84" s="26" t="str">
        <f>J183</f>
        <v>ЛДСП Lamarty 2750*1830*16мм Вулканический серый б/к</v>
      </c>
      <c r="Y84" s="18" t="s">
        <v>158</v>
      </c>
      <c r="Z84" s="18">
        <v>1</v>
      </c>
      <c r="AA84" s="18" t="s">
        <v>201</v>
      </c>
      <c r="AB84" s="18"/>
      <c r="AC84" s="18"/>
      <c r="AD84" s="56"/>
    </row>
    <row r="85" spans="1:30" x14ac:dyDescent="0.25">
      <c r="A85" s="9" t="str">
        <f>CONCATENATE(O85,".",LEFT(J85))</f>
        <v>15.Л</v>
      </c>
      <c r="B85" s="32" t="str">
        <f>CONCATENATE(IF(OR(Y85="Не определена",Y85,ISBLANK(Y85)),"↕",),IF(Y85="Не обязательна","±",),Q85,".",P85)</f>
        <v>10.дно вытяжки (вырез)</v>
      </c>
      <c r="C85" s="54" t="str">
        <f>I183</f>
        <v>-</v>
      </c>
      <c r="D85" s="54" t="str">
        <f>I183</f>
        <v>-</v>
      </c>
      <c r="E85" s="48">
        <f>IF(M85="скрутка",T85+$Q$1,IF(M85="склейка",T85+$Q$1,IF(M85="запил торца",ROUND(T85+$P$1,0),IF(M85="запил торцов",ROUND(T85+$P$1*2,0),T85))))+IF(G85=$O$1,$P$1,)+IF(H85=$O$1,$P$1,)</f>
        <v>599</v>
      </c>
      <c r="F85" s="48">
        <f>IF(M85="скрутка",U85+$Q$1,IF(M85="склейка",U85+$Q$1,IF(M85="запил торца",ROUND(U85+$P$1,0),IF(M85="запил торцов",ROUND(U85+$P$1*2,0),U85))))+IF(C85=$O$1,$P$1,)+IF(D85=$O$1,$P$1,)</f>
        <v>299</v>
      </c>
      <c r="G85" s="54" t="str">
        <f>I183</f>
        <v>-</v>
      </c>
      <c r="H85" s="54" t="str">
        <f>I183</f>
        <v>-</v>
      </c>
      <c r="I85" s="49">
        <f>IF(OR(M85="скрутка",M85="склейка"),Z85*2,Z85)</f>
        <v>1</v>
      </c>
      <c r="J85" s="53" t="str">
        <f>X85</f>
        <v>ЛДСП Lamarty 2750*1830*16мм Вулканический серый б/к</v>
      </c>
      <c r="K85" s="52" t="str">
        <f>IF(ISBLANK(AB85),"",AB85)</f>
        <v/>
      </c>
      <c r="L85" s="52" t="str">
        <f>IF(ISBLANK(AC85),"",AC85)</f>
        <v/>
      </c>
      <c r="M85" s="51" t="str">
        <f>IF(AA85="","",AA85)</f>
        <v>Вырез;</v>
      </c>
      <c r="N85" s="30" t="str">
        <f>CONCATENATE(IF(E85&lt;&gt;T85,"НеРавны",),IF(AND(NOT(ISBLANK(R85)),R85&lt;&gt;T85),"Д",),IF(AND(NOT(ISBLANK(S85)),S85&lt;&gt;U85),"Ш",))</f>
        <v>ДШ</v>
      </c>
      <c r="O85" s="22">
        <f>O84+1</f>
        <v>15</v>
      </c>
      <c r="P85" s="18" t="s">
        <v>222</v>
      </c>
      <c r="Q85" s="18">
        <v>10</v>
      </c>
      <c r="R85" s="18">
        <v>600</v>
      </c>
      <c r="S85" s="18">
        <v>300</v>
      </c>
      <c r="T85" s="3">
        <v>599</v>
      </c>
      <c r="U85" s="3">
        <v>299</v>
      </c>
      <c r="V85" s="23"/>
      <c r="W85" s="23" t="s">
        <v>232</v>
      </c>
      <c r="X85" s="26" t="str">
        <f>J183</f>
        <v>ЛДСП Lamarty 2750*1830*16мм Вулканический серый б/к</v>
      </c>
      <c r="Y85" s="18" t="s">
        <v>158</v>
      </c>
      <c r="Z85" s="18">
        <v>1</v>
      </c>
      <c r="AA85" s="18" t="s">
        <v>172</v>
      </c>
      <c r="AB85" s="18"/>
      <c r="AC85" s="18"/>
      <c r="AD85" s="56"/>
    </row>
    <row r="86" spans="1:30" ht="30" x14ac:dyDescent="0.25">
      <c r="A86" s="9" t="str">
        <f>CONCATENATE(O86,".",LEFT(J86))</f>
        <v>16.Л</v>
      </c>
      <c r="B86" s="32" t="str">
        <f>CONCATENATE(IF(OR(Y86="Не определена",Y86,ISBLANK(Y86)),"↕",),IF(Y86="Не обязательна","±",),Q86,".",P86)</f>
        <v>10.полка вытяжки (паз_16, вырез)</v>
      </c>
      <c r="C86" s="54" t="str">
        <f>I183</f>
        <v>-</v>
      </c>
      <c r="D86" s="54" t="str">
        <f>I183</f>
        <v>-</v>
      </c>
      <c r="E86" s="48">
        <f>IF(M86="скрутка",T86+$Q$1,IF(M86="склейка",T86+$Q$1,IF(M86="запил торца",ROUND(T86+$P$1,0),IF(M86="запил торцов",ROUND(T86+$P$1*2,0),T86))))+IF(G86=$O$1,$P$1,)+IF(H86=$O$1,$P$1,)</f>
        <v>568</v>
      </c>
      <c r="F86" s="48">
        <f>IF(M86="скрутка",U86+$Q$1,IF(M86="склейка",U86+$Q$1,IF(M86="запил торца",ROUND(U86+$P$1,0),IF(M86="запил торцов",ROUND(U86+$P$1*2,0),U86))))+IF(C86=$O$1,$P$1,)+IF(D86=$O$1,$P$1,)</f>
        <v>299</v>
      </c>
      <c r="G86" s="47"/>
      <c r="H86" s="47"/>
      <c r="I86" s="49">
        <f>IF(OR(M86="скрутка",M86="склейка"),Z86*2,Z86)</f>
        <v>1</v>
      </c>
      <c r="J86" s="53" t="str">
        <f>X86</f>
        <v>ЛДСП Lamarty 2750*1830*16мм Вулканический серый б/к</v>
      </c>
      <c r="K86" s="52" t="str">
        <f>IF(ISBLANK(AB86),"",AB86)</f>
        <v/>
      </c>
      <c r="L86" s="52" t="str">
        <f>IF(ISBLANK(AC86),"",AC86)</f>
        <v/>
      </c>
      <c r="M86" s="51" t="str">
        <f>IF(AA86="","",AA86)</f>
        <v>Вырез; паз ХДФ 8*4(по длине);</v>
      </c>
      <c r="N86" s="30" t="str">
        <f>CONCATENATE(IF(E86&lt;&gt;T86,"НеРавны",),IF(AND(NOT(ISBLANK(R86)),R86&lt;&gt;T86),"Д",),IF(AND(NOT(ISBLANK(S86)),S86&lt;&gt;U86),"Ш",))</f>
        <v>Ш</v>
      </c>
      <c r="O86" s="22">
        <f>O85+1</f>
        <v>16</v>
      </c>
      <c r="P86" s="18" t="s">
        <v>200</v>
      </c>
      <c r="Q86" s="18">
        <v>10</v>
      </c>
      <c r="R86" s="18">
        <v>568</v>
      </c>
      <c r="S86" s="18">
        <v>300</v>
      </c>
      <c r="T86" s="3">
        <v>568</v>
      </c>
      <c r="U86" s="3">
        <v>299</v>
      </c>
      <c r="V86" s="23"/>
      <c r="W86" s="23" t="s">
        <v>231</v>
      </c>
      <c r="X86" s="26" t="str">
        <f>J183</f>
        <v>ЛДСП Lamarty 2750*1830*16мм Вулканический серый б/к</v>
      </c>
      <c r="Y86" s="18" t="s">
        <v>158</v>
      </c>
      <c r="Z86" s="18">
        <v>1</v>
      </c>
      <c r="AA86" s="18" t="s">
        <v>201</v>
      </c>
      <c r="AB86" s="18"/>
      <c r="AC86" s="18"/>
      <c r="AD86" s="56"/>
    </row>
    <row r="87" spans="1:30" x14ac:dyDescent="0.25">
      <c r="A87" s="9" t="str">
        <f>CONCATENATE(O87,".",LEFT(J87))</f>
        <v>17.Л</v>
      </c>
      <c r="B87" s="32" t="str">
        <f>CONCATENATE(IF(OR(Y87="Не определена",Y87,ISBLANK(Y87)),"↕",),IF(Y87="Не обязательна","±",),Q87,".",P87)</f>
        <v>10.фронт короба</v>
      </c>
      <c r="C87" s="54" t="str">
        <f>I183</f>
        <v>-</v>
      </c>
      <c r="D87" s="54" t="str">
        <f>I183</f>
        <v>-</v>
      </c>
      <c r="E87" s="48">
        <f>IF(M87="скрутка",T87+$Q$1,IF(M87="склейка",T87+$Q$1,IF(M87="запил торца",ROUND(T87+$P$1,0),IF(M87="запил торцов",ROUND(T87+$P$1*2,0),T87))))+IF(G87=$O$1,$P$1,)+IF(H87=$O$1,$P$1,)</f>
        <v>402</v>
      </c>
      <c r="F87" s="48">
        <f>IF(M87="скрутка",U87+$Q$1,IF(M87="склейка",U87+$Q$1,IF(M87="запил торца",ROUND(U87+$P$1,0),IF(M87="запил торцов",ROUND(U87+$P$1*2,0),U87))))+IF(C87=$O$1,$P$1,)+IF(D87=$O$1,$P$1,)</f>
        <v>201</v>
      </c>
      <c r="G87" s="54" t="str">
        <f>I183</f>
        <v>-</v>
      </c>
      <c r="H87" s="54" t="str">
        <f>I183</f>
        <v>-</v>
      </c>
      <c r="I87" s="49">
        <f>IF(OR(M87="скрутка",M87="склейка"),Z87*2,Z87)</f>
        <v>1</v>
      </c>
      <c r="J87" s="53" t="str">
        <f>X87</f>
        <v>ЛДСП Lamarty 2750*1830*16мм Вулканический серый б/к</v>
      </c>
      <c r="K87" s="52" t="str">
        <f>IF(ISBLANK(AB87),"",AB87)</f>
        <v/>
      </c>
      <c r="L87" s="52" t="str">
        <f>IF(ISBLANK(AC87),"",AC87)</f>
        <v/>
      </c>
      <c r="M87" s="51" t="str">
        <f>IF(AA87="","",AA87)</f>
        <v/>
      </c>
      <c r="N87" s="30" t="str">
        <f>CONCATENATE(IF(E87&lt;&gt;T87,"НеРавны",),IF(AND(NOT(ISBLANK(R87)),R87&lt;&gt;T87),"Д",),IF(AND(NOT(ISBLANK(S87)),S87&lt;&gt;U87),"Ш",))</f>
        <v>ДШ</v>
      </c>
      <c r="O87" s="22">
        <f>O86+1</f>
        <v>17</v>
      </c>
      <c r="P87" s="18" t="s">
        <v>209</v>
      </c>
      <c r="Q87" s="18">
        <v>10</v>
      </c>
      <c r="R87" s="18">
        <v>403</v>
      </c>
      <c r="S87" s="18">
        <v>202</v>
      </c>
      <c r="T87" s="3">
        <v>402</v>
      </c>
      <c r="U87" s="3">
        <v>201</v>
      </c>
      <c r="V87" s="23"/>
      <c r="W87" s="23" t="s">
        <v>232</v>
      </c>
      <c r="X87" s="26" t="str">
        <f>J183</f>
        <v>ЛДСП Lamarty 2750*1830*16мм Вулканический серый б/к</v>
      </c>
      <c r="Y87" s="18" t="s">
        <v>158</v>
      </c>
      <c r="Z87" s="18">
        <v>1</v>
      </c>
      <c r="AA87" s="18"/>
      <c r="AB87" s="18"/>
      <c r="AC87" s="18"/>
      <c r="AD87" s="56"/>
    </row>
    <row r="88" spans="1:30" x14ac:dyDescent="0.25">
      <c r="A88" s="9" t="str">
        <f>CONCATENATE(O88,".",LEFT(J88))</f>
        <v>18.Л</v>
      </c>
      <c r="B88" s="32" t="str">
        <f>CONCATENATE(IF(OR(Y88="Не определена",Y88,ISBLANK(Y88)),"↕",),IF(Y88="Не обязательна","±",),Q88,".",P88)</f>
        <v>10.щит вытяжки</v>
      </c>
      <c r="C88" s="47"/>
      <c r="D88" s="47"/>
      <c r="E88" s="48">
        <f>IF(M88="скрутка",T88+$Q$1,IF(M88="склейка",T88+$Q$1,IF(M88="запил торца",ROUND(T88+$P$1,0),IF(M88="запил торцов",ROUND(T88+$P$1*2,0),T88))))+IF(G88=$O$1,$P$1,)+IF(H88=$O$1,$P$1,)</f>
        <v>149</v>
      </c>
      <c r="F88" s="48">
        <f>IF(M88="скрутка",U88+$Q$1,IF(M88="склейка",U88+$Q$1,IF(M88="запил торца",ROUND(U88+$P$1,0),IF(M88="запил торцов",ROUND(U88+$P$1*2,0),U88))))+IF(C88=$O$1,$P$1,)+IF(D88=$O$1,$P$1,)</f>
        <v>568</v>
      </c>
      <c r="G88" s="47"/>
      <c r="H88" s="47"/>
      <c r="I88" s="49">
        <f>IF(OR(M88="скрутка",M88="склейка"),Z88*2,Z88)</f>
        <v>1</v>
      </c>
      <c r="J88" s="53" t="str">
        <f>X88</f>
        <v>ЛДСП Lamarty 2750*1830*16мм Вулканический серый б/к</v>
      </c>
      <c r="K88" s="52" t="str">
        <f>IF(ISBLANK(AB88),"",AB88)</f>
        <v/>
      </c>
      <c r="L88" s="52" t="str">
        <f>IF(ISBLANK(AC88),"",AC88)</f>
        <v/>
      </c>
      <c r="M88" s="51" t="str">
        <f>IF(AA88="","",AA88)</f>
        <v/>
      </c>
      <c r="N88" s="30" t="str">
        <f>CONCATENATE(IF(E88&lt;&gt;T88,"НеРавны",),IF(AND(NOT(ISBLANK(R88)),R88&lt;&gt;T88),"Д",),IF(AND(NOT(ISBLANK(S88)),S88&lt;&gt;U88),"Ш",))</f>
        <v/>
      </c>
      <c r="O88" s="22">
        <f>O87+1</f>
        <v>18</v>
      </c>
      <c r="P88" s="18" t="s">
        <v>208</v>
      </c>
      <c r="Q88" s="18">
        <v>10</v>
      </c>
      <c r="R88" s="18">
        <v>149</v>
      </c>
      <c r="S88" s="18">
        <v>568</v>
      </c>
      <c r="T88" s="3">
        <v>149</v>
      </c>
      <c r="U88" s="3">
        <v>568</v>
      </c>
      <c r="V88" s="23"/>
      <c r="W88" s="23" t="s">
        <v>164</v>
      </c>
      <c r="X88" s="26" t="str">
        <f>J183</f>
        <v>ЛДСП Lamarty 2750*1830*16мм Вулканический серый б/к</v>
      </c>
      <c r="Y88" s="18" t="s">
        <v>158</v>
      </c>
      <c r="Z88" s="18">
        <v>1</v>
      </c>
      <c r="AA88" s="18"/>
      <c r="AB88" s="18"/>
      <c r="AC88" s="18"/>
      <c r="AD88" s="56"/>
    </row>
    <row r="89" spans="1:30" x14ac:dyDescent="0.25">
      <c r="A89" s="9" t="str">
        <f>CONCATENATE(O89,".",LEFT(J89))</f>
        <v>10.X</v>
      </c>
      <c r="B89" s="32" t="str">
        <f>CONCATENATE(IF(OR(Y89="Не определена",Y89,ISBLANK(Y89)),"↕",),IF(Y89="Не обязательна","±",),Q89,".",P89)</f>
        <v>11.задняя стенка</v>
      </c>
      <c r="C89" s="47"/>
      <c r="D89" s="47"/>
      <c r="E89" s="48">
        <f>IF(M89="скрутка",T89+$Q$1,IF(M89="склейка",T89+$Q$1,IF(M89="запил торца",ROUND(T89+$P$1,0),IF(M89="запил торцов",ROUND(T89+$P$1*2,0),T89))))+IF(G89=$O$1,$P$1,)+IF(H89=$O$1,$P$1,)</f>
        <v>582</v>
      </c>
      <c r="F89" s="48">
        <f>IF(M89="скрутка",U89+$Q$1,IF(M89="склейка",U89+$Q$1,IF(M89="запил торца",ROUND(U89+$P$1,0),IF(M89="запил торцов",ROUND(U89+$P$1*2,0),U89))))+IF(C89=$O$1,$P$1,)+IF(D89=$O$1,$P$1,)</f>
        <v>582</v>
      </c>
      <c r="G89" s="47"/>
      <c r="H89" s="47"/>
      <c r="I89" s="49">
        <f>IF(OR(M89="скрутка",M89="склейка"),Z89*2,Z89)</f>
        <v>1</v>
      </c>
      <c r="J89" s="111" t="str">
        <f>X89</f>
        <v>XДФ 2800*2070*4 Белый б/к</v>
      </c>
      <c r="K89" s="52" t="str">
        <f>IF(ISBLANK(AB89),"",AB89)</f>
        <v/>
      </c>
      <c r="L89" s="52" t="str">
        <f>IF(ISBLANK(AC89),"",AC89)</f>
        <v/>
      </c>
      <c r="M89" s="51" t="str">
        <f>IF(AA89="","",AA89)</f>
        <v/>
      </c>
      <c r="N89" s="30" t="str">
        <f>CONCATENATE(IF(E89&lt;&gt;T89,"НеРавны",),IF(AND(NOT(ISBLANK(R89)),R89&lt;&gt;T89),"Д",),IF(AND(NOT(ISBLANK(S89)),S89&lt;&gt;U89),"Ш",))</f>
        <v/>
      </c>
      <c r="O89" s="22">
        <f>O78+1</f>
        <v>10</v>
      </c>
      <c r="P89" s="18" t="s">
        <v>189</v>
      </c>
      <c r="Q89" s="18">
        <v>11</v>
      </c>
      <c r="R89" s="18">
        <v>582</v>
      </c>
      <c r="S89" s="18">
        <v>582</v>
      </c>
      <c r="T89" s="3">
        <v>582</v>
      </c>
      <c r="U89" s="3">
        <v>582</v>
      </c>
      <c r="V89" s="23"/>
      <c r="W89" s="23" t="s">
        <v>164</v>
      </c>
      <c r="X89" s="26" t="str">
        <f>X78</f>
        <v>XДФ 2800*2070*4 Белый б/к</v>
      </c>
      <c r="Y89" s="18" t="s">
        <v>158</v>
      </c>
      <c r="Z89" s="18">
        <v>1</v>
      </c>
      <c r="AA89" s="18"/>
      <c r="AB89" s="18"/>
      <c r="AC89" s="18"/>
      <c r="AD89" s="56"/>
    </row>
    <row r="90" spans="1:30" x14ac:dyDescent="0.25">
      <c r="A90" s="9" t="str">
        <f>CONCATENATE(O90,".",LEFT(J90))</f>
        <v>4.Л</v>
      </c>
      <c r="B90" s="32" t="str">
        <f>CONCATENATE(IF(OR(Y90="Не определена",Y90,ISBLANK(Y90)),"↕",),IF(Y90="Не обязательна","±",),Q90,".",P90)</f>
        <v>11.фасад (ПВХ_1мм в круг)</v>
      </c>
      <c r="C90" s="54">
        <f>I184</f>
        <v>1</v>
      </c>
      <c r="D90" s="54">
        <f>I184</f>
        <v>1</v>
      </c>
      <c r="E90" s="48">
        <f>IF(M90="скрутка",T90+$Q$1,IF(M90="склейка",T90+$Q$1,IF(M90="запил торца",ROUND(T90+$P$1,0),IF(M90="запил торцов",ROUND(T90+$P$1*2,0),T90))))+IF(G90=$O$1,$P$1,)+IF(H90=$O$1,$P$1,)</f>
        <v>607</v>
      </c>
      <c r="F90" s="48">
        <f>IF(M90="скрутка",U90+$Q$1,IF(M90="склейка",U90+$Q$1,IF(M90="запил торца",ROUND(U90+$P$1,0),IF(M90="запил торцов",ROUND(U90+$P$1*2,0),U90))))+IF(C90=$O$1,$P$1,)+IF(D90=$O$1,$P$1,)</f>
        <v>595</v>
      </c>
      <c r="G90" s="54">
        <f>I184</f>
        <v>1</v>
      </c>
      <c r="H90" s="54">
        <f>I184</f>
        <v>1</v>
      </c>
      <c r="I90" s="49">
        <f>IF(OR(M90="скрутка",M90="склейка"),Z90*2,Z90)</f>
        <v>1</v>
      </c>
      <c r="J90" s="53" t="str">
        <f>X90</f>
        <v>ЛДСП FB68 Ares 2800х2070х18</v>
      </c>
      <c r="K90" s="52" t="str">
        <f>IF(ISBLANK(AB90),"",AB90)</f>
        <v/>
      </c>
      <c r="L90" s="52" t="str">
        <f>IF(ISBLANK(AC90),"",AC90)</f>
        <v/>
      </c>
      <c r="M90" s="51" t="str">
        <f>IF(AA90="","",AA90)</f>
        <v/>
      </c>
      <c r="N90" s="30" t="str">
        <f>CONCATENATE(IF(E90&lt;&gt;T90,"НеРавны",),IF(AND(NOT(ISBLANK(R90)),R90&lt;&gt;T90),"Д",),IF(AND(NOT(ISBLANK(S90)),S90&lt;&gt;U90),"Ш",))</f>
        <v>ДШ</v>
      </c>
      <c r="O90" s="22">
        <f>O79+1</f>
        <v>4</v>
      </c>
      <c r="P90" s="18" t="s">
        <v>198</v>
      </c>
      <c r="Q90" s="18">
        <v>11</v>
      </c>
      <c r="R90" s="18">
        <v>609</v>
      </c>
      <c r="S90" s="18">
        <v>597</v>
      </c>
      <c r="T90" s="3">
        <v>607</v>
      </c>
      <c r="U90" s="3">
        <v>595</v>
      </c>
      <c r="V90" s="23"/>
      <c r="W90" s="23" t="s">
        <v>233</v>
      </c>
      <c r="X90" s="26" t="str">
        <f>J184</f>
        <v>ЛДСП FB68 Ares 2800х2070х18</v>
      </c>
      <c r="Y90" s="18" t="s">
        <v>158</v>
      </c>
      <c r="Z90" s="18">
        <v>1</v>
      </c>
      <c r="AA90" s="18"/>
      <c r="AB90" s="18"/>
      <c r="AC90" s="18"/>
      <c r="AD90" s="56"/>
    </row>
    <row r="91" spans="1:30" x14ac:dyDescent="0.25">
      <c r="A91" s="9" t="str">
        <f>CONCATENATE(O91,".",LEFT(J91))</f>
        <v>19.Л</v>
      </c>
      <c r="B91" s="32" t="str">
        <f>CONCATENATE(IF(OR(Y91="Не определена",Y91,ISBLANK(Y91)),"↕",),IF(Y91="Не обязательна","±",),Q91,".",P91)</f>
        <v>11.бок (паз_16)</v>
      </c>
      <c r="C91" s="54" t="str">
        <f>I183</f>
        <v>-</v>
      </c>
      <c r="D91" s="54" t="str">
        <f>I183</f>
        <v>-</v>
      </c>
      <c r="E91" s="48">
        <f>IF(M91="скрутка",T91+$Q$1,IF(M91="склейка",T91+$Q$1,IF(M91="запил торца",ROUND(T91+$P$1,0),IF(M91="запил торцов",ROUND(T91+$P$1*2,0),T91))))+IF(G91=$O$1,$P$1,)+IF(H91=$O$1,$P$1,)</f>
        <v>599</v>
      </c>
      <c r="F91" s="48">
        <f>IF(M91="скрутка",U91+$Q$1,IF(M91="склейка",U91+$Q$1,IF(M91="запил торца",ROUND(U91+$P$1,0),IF(M91="запил торцов",ROUND(U91+$P$1*2,0),U91))))+IF(C91=$O$1,$P$1,)+IF(D91=$O$1,$P$1,)</f>
        <v>299</v>
      </c>
      <c r="G91" s="54" t="str">
        <f>I183</f>
        <v>-</v>
      </c>
      <c r="H91" s="54" t="str">
        <f>I183</f>
        <v>-</v>
      </c>
      <c r="I91" s="49">
        <f>IF(OR(M91="скрутка",M91="склейка"),Z91*2,Z91)</f>
        <v>1</v>
      </c>
      <c r="J91" s="53" t="str">
        <f>X91</f>
        <v>ЛДСП Lamarty 2750*1830*16мм Вулканический серый б/к</v>
      </c>
      <c r="K91" s="52" t="str">
        <f>IF(ISBLANK(AB91),"",AB91)</f>
        <v/>
      </c>
      <c r="L91" s="52" t="str">
        <f>IF(ISBLANK(AC91),"",AC91)</f>
        <v/>
      </c>
      <c r="M91" s="51" t="str">
        <f>IF(AA91="","",AA91)</f>
        <v>паз ХДФ 8*4(по длине);</v>
      </c>
      <c r="N91" s="30" t="str">
        <f>CONCATENATE(IF(E91&lt;&gt;T91,"НеРавны",),IF(AND(NOT(ISBLANK(R91)),R91&lt;&gt;T91),"Д",),IF(AND(NOT(ISBLANK(S91)),S91&lt;&gt;U91),"Ш",))</f>
        <v>ДШ</v>
      </c>
      <c r="O91" s="22">
        <f>O88+1</f>
        <v>19</v>
      </c>
      <c r="P91" s="18" t="s">
        <v>197</v>
      </c>
      <c r="Q91" s="18">
        <v>11</v>
      </c>
      <c r="R91" s="18">
        <v>600</v>
      </c>
      <c r="S91" s="18">
        <v>300</v>
      </c>
      <c r="T91" s="3">
        <v>599</v>
      </c>
      <c r="U91" s="3">
        <v>299</v>
      </c>
      <c r="V91" s="23"/>
      <c r="W91" s="23" t="s">
        <v>232</v>
      </c>
      <c r="X91" s="26" t="str">
        <f>J183</f>
        <v>ЛДСП Lamarty 2750*1830*16мм Вулканический серый б/к</v>
      </c>
      <c r="Y91" s="18" t="s">
        <v>158</v>
      </c>
      <c r="Z91" s="18">
        <v>1</v>
      </c>
      <c r="AA91" s="18" t="s">
        <v>185</v>
      </c>
      <c r="AB91" s="18"/>
      <c r="AC91" s="18"/>
      <c r="AD91" s="56"/>
    </row>
    <row r="92" spans="1:30" x14ac:dyDescent="0.25">
      <c r="A92" s="9" t="str">
        <f>CONCATENATE(O92,".",LEFT(J92))</f>
        <v>20.Л</v>
      </c>
      <c r="B92" s="32" t="str">
        <f>CONCATENATE(IF(OR(Y92="Не определена",Y92,ISBLANK(Y92)),"↕",),IF(Y92="Не обязательна","±",),Q92,".",P92)</f>
        <v>11.бок (паз_16)</v>
      </c>
      <c r="C92" s="54" t="str">
        <f>I183</f>
        <v>-</v>
      </c>
      <c r="D92" s="54" t="str">
        <f>I183</f>
        <v>-</v>
      </c>
      <c r="E92" s="48">
        <f>IF(M92="скрутка",T92+$Q$1,IF(M92="склейка",T92+$Q$1,IF(M92="запил торца",ROUND(T92+$P$1,0),IF(M92="запил торцов",ROUND(T92+$P$1*2,0),T92))))+IF(G92=$O$1,$P$1,)+IF(H92=$O$1,$P$1,)</f>
        <v>599</v>
      </c>
      <c r="F92" s="48">
        <f>IF(M92="скрутка",U92+$Q$1,IF(M92="склейка",U92+$Q$1,IF(M92="запил торца",ROUND(U92+$P$1,0),IF(M92="запил торцов",ROUND(U92+$P$1*2,0),U92))))+IF(C92=$O$1,$P$1,)+IF(D92=$O$1,$P$1,)</f>
        <v>299</v>
      </c>
      <c r="G92" s="54" t="str">
        <f>I183</f>
        <v>-</v>
      </c>
      <c r="H92" s="54" t="str">
        <f>I183</f>
        <v>-</v>
      </c>
      <c r="I92" s="49">
        <f>IF(OR(M92="скрутка",M92="склейка"),Z92*2,Z92)</f>
        <v>1</v>
      </c>
      <c r="J92" s="53" t="str">
        <f>X92</f>
        <v>ЛДСП Lamarty 2750*1830*16мм Вулканический серый б/к</v>
      </c>
      <c r="K92" s="52" t="str">
        <f>IF(ISBLANK(AB92),"",AB92)</f>
        <v/>
      </c>
      <c r="L92" s="52" t="str">
        <f>IF(ISBLANK(AC92),"",AC92)</f>
        <v/>
      </c>
      <c r="M92" s="51" t="str">
        <f>IF(AA92="","",AA92)</f>
        <v>паз ХДФ 8*4(по длине);</v>
      </c>
      <c r="N92" s="30" t="str">
        <f>CONCATENATE(IF(E92&lt;&gt;T92,"НеРавны",),IF(AND(NOT(ISBLANK(R92)),R92&lt;&gt;T92),"Д",),IF(AND(NOT(ISBLANK(S92)),S92&lt;&gt;U92),"Ш",))</f>
        <v>ДШ</v>
      </c>
      <c r="O92" s="22">
        <f>O91+1</f>
        <v>20</v>
      </c>
      <c r="P92" s="18" t="s">
        <v>197</v>
      </c>
      <c r="Q92" s="18">
        <v>11</v>
      </c>
      <c r="R92" s="18">
        <v>600</v>
      </c>
      <c r="S92" s="18">
        <v>300</v>
      </c>
      <c r="T92" s="3">
        <v>599</v>
      </c>
      <c r="U92" s="3">
        <v>299</v>
      </c>
      <c r="V92" s="23"/>
      <c r="W92" s="23" t="s">
        <v>232</v>
      </c>
      <c r="X92" s="26" t="str">
        <f>J183</f>
        <v>ЛДСП Lamarty 2750*1830*16мм Вулканический серый б/к</v>
      </c>
      <c r="Y92" s="18" t="s">
        <v>158</v>
      </c>
      <c r="Z92" s="18">
        <v>1</v>
      </c>
      <c r="AA92" s="18" t="s">
        <v>185</v>
      </c>
      <c r="AB92" s="18"/>
      <c r="AC92" s="18"/>
      <c r="AD92" s="56"/>
    </row>
    <row r="93" spans="1:30" x14ac:dyDescent="0.25">
      <c r="A93" s="9" t="str">
        <f>CONCATENATE(O93,".",LEFT(J93))</f>
        <v>21.Л</v>
      </c>
      <c r="B93" s="32" t="str">
        <f>CONCATENATE(IF(OR(Y93="Не определена",Y93,ISBLANK(Y93)),"↕",),IF(Y93="Не обязательна","±",),Q93,".",P93)</f>
        <v>11.горизонт (паз_16)</v>
      </c>
      <c r="C93" s="54" t="str">
        <f>I183</f>
        <v>-</v>
      </c>
      <c r="D93" s="54" t="str">
        <f>I183</f>
        <v>-</v>
      </c>
      <c r="E93" s="48">
        <f>IF(M93="скрутка",T93+$Q$1,IF(M93="склейка",T93+$Q$1,IF(M93="запил торца",ROUND(T93+$P$1,0),IF(M93="запил торцов",ROUND(T93+$P$1*2,0),T93))))+IF(G93=$O$1,$P$1,)+IF(H93=$O$1,$P$1,)</f>
        <v>568</v>
      </c>
      <c r="F93" s="48">
        <f>IF(M93="скрутка",U93+$Q$1,IF(M93="склейка",U93+$Q$1,IF(M93="запил торца",ROUND(U93+$P$1,0),IF(M93="запил торцов",ROUND(U93+$P$1*2,0),U93))))+IF(C93=$O$1,$P$1,)+IF(D93=$O$1,$P$1,)</f>
        <v>299</v>
      </c>
      <c r="G93" s="47"/>
      <c r="H93" s="47"/>
      <c r="I93" s="49">
        <f>IF(OR(M93="скрутка",M93="склейка"),Z93*2,Z93)</f>
        <v>1</v>
      </c>
      <c r="J93" s="53" t="str">
        <f>X93</f>
        <v>ЛДСП Lamarty 2750*1830*16мм Вулканический серый б/к</v>
      </c>
      <c r="K93" s="52" t="str">
        <f>IF(ISBLANK(AB93),"",AB93)</f>
        <v/>
      </c>
      <c r="L93" s="52" t="str">
        <f>IF(ISBLANK(AC93),"",AC93)</f>
        <v/>
      </c>
      <c r="M93" s="51" t="str">
        <f>IF(AA93="","",AA93)</f>
        <v>паз ХДФ 8*4(по длине);</v>
      </c>
      <c r="N93" s="30" t="str">
        <f>CONCATENATE(IF(E93&lt;&gt;T93,"НеРавны",),IF(AND(NOT(ISBLANK(R93)),R93&lt;&gt;T93),"Д",),IF(AND(NOT(ISBLANK(S93)),S93&lt;&gt;U93),"Ш",))</f>
        <v>Ш</v>
      </c>
      <c r="O93" s="22">
        <f>O92+1</f>
        <v>21</v>
      </c>
      <c r="P93" s="18" t="s">
        <v>196</v>
      </c>
      <c r="Q93" s="18">
        <v>11</v>
      </c>
      <c r="R93" s="18">
        <v>568</v>
      </c>
      <c r="S93" s="18">
        <v>300</v>
      </c>
      <c r="T93" s="3">
        <v>568</v>
      </c>
      <c r="U93" s="3">
        <v>299</v>
      </c>
      <c r="V93" s="23"/>
      <c r="W93" s="23" t="s">
        <v>231</v>
      </c>
      <c r="X93" s="26" t="str">
        <f>J183</f>
        <v>ЛДСП Lamarty 2750*1830*16мм Вулканический серый б/к</v>
      </c>
      <c r="Y93" s="18" t="s">
        <v>158</v>
      </c>
      <c r="Z93" s="18">
        <v>1</v>
      </c>
      <c r="AA93" s="18" t="s">
        <v>185</v>
      </c>
      <c r="AB93" s="18"/>
      <c r="AC93" s="18"/>
      <c r="AD93" s="56"/>
    </row>
    <row r="94" spans="1:30" x14ac:dyDescent="0.25">
      <c r="A94" s="9" t="str">
        <f>CONCATENATE(O94,".",LEFT(J94))</f>
        <v>22.Л</v>
      </c>
      <c r="B94" s="32" t="str">
        <f>CONCATENATE(IF(OR(Y94="Не определена",Y94,ISBLANK(Y94)),"↕",),IF(Y94="Не обязательна","±",),Q94,".",P94)</f>
        <v>11.горизонт (паз_16)</v>
      </c>
      <c r="C94" s="54" t="str">
        <f>I183</f>
        <v>-</v>
      </c>
      <c r="D94" s="54" t="str">
        <f>I183</f>
        <v>-</v>
      </c>
      <c r="E94" s="48">
        <f>IF(M94="скрутка",T94+$Q$1,IF(M94="склейка",T94+$Q$1,IF(M94="запил торца",ROUND(T94+$P$1,0),IF(M94="запил торцов",ROUND(T94+$P$1*2,0),T94))))+IF(G94=$O$1,$P$1,)+IF(H94=$O$1,$P$1,)</f>
        <v>568</v>
      </c>
      <c r="F94" s="48">
        <f>IF(M94="скрутка",U94+$Q$1,IF(M94="склейка",U94+$Q$1,IF(M94="запил торца",ROUND(U94+$P$1,0),IF(M94="запил торцов",ROUND(U94+$P$1*2,0),U94))))+IF(C94=$O$1,$P$1,)+IF(D94=$O$1,$P$1,)</f>
        <v>299</v>
      </c>
      <c r="G94" s="47"/>
      <c r="H94" s="47"/>
      <c r="I94" s="49">
        <f>IF(OR(M94="скрутка",M94="склейка"),Z94*2,Z94)</f>
        <v>1</v>
      </c>
      <c r="J94" s="53" t="str">
        <f>X94</f>
        <v>ЛДСП Lamarty 2750*1830*16мм Вулканический серый б/к</v>
      </c>
      <c r="K94" s="52" t="str">
        <f>IF(ISBLANK(AB94),"",AB94)</f>
        <v/>
      </c>
      <c r="L94" s="52" t="str">
        <f>IF(ISBLANK(AC94),"",AC94)</f>
        <v/>
      </c>
      <c r="M94" s="51" t="str">
        <f>IF(AA94="","",AA94)</f>
        <v>паз ХДФ*anna(по длине);</v>
      </c>
      <c r="N94" s="30" t="str">
        <f>CONCATENATE(IF(E94&lt;&gt;T94,"НеРавны",),IF(AND(NOT(ISBLANK(R94)),R94&lt;&gt;T94),"Д",),IF(AND(NOT(ISBLANK(S94)),S94&lt;&gt;U94),"Ш",))</f>
        <v>Ш</v>
      </c>
      <c r="O94" s="22">
        <f>O93+1</f>
        <v>22</v>
      </c>
      <c r="P94" s="18" t="s">
        <v>196</v>
      </c>
      <c r="Q94" s="18">
        <v>11</v>
      </c>
      <c r="R94" s="18">
        <v>568</v>
      </c>
      <c r="S94" s="18">
        <v>300</v>
      </c>
      <c r="T94" s="3">
        <v>568</v>
      </c>
      <c r="U94" s="3">
        <v>299</v>
      </c>
      <c r="V94" s="23"/>
      <c r="W94" s="23" t="s">
        <v>231</v>
      </c>
      <c r="X94" s="26" t="str">
        <f>J183</f>
        <v>ЛДСП Lamarty 2750*1830*16мм Вулканический серый б/к</v>
      </c>
      <c r="Y94" s="18" t="s">
        <v>158</v>
      </c>
      <c r="Z94" s="18">
        <v>1</v>
      </c>
      <c r="AA94" s="18" t="s">
        <v>188</v>
      </c>
      <c r="AB94" s="18"/>
      <c r="AC94" s="18"/>
      <c r="AD94" s="56"/>
    </row>
    <row r="95" spans="1:30" x14ac:dyDescent="0.25">
      <c r="A95" s="9" t="str">
        <f>CONCATENATE(O95,".",LEFT(J95))</f>
        <v>23.Л</v>
      </c>
      <c r="B95" s="32" t="str">
        <f>CONCATENATE(IF(OR(Y95="Не определена",Y95,ISBLANK(Y95)),"↕",),IF(Y95="Не обязательна","±",),Q95,".",P95)</f>
        <v>11.полка</v>
      </c>
      <c r="C95" s="54" t="str">
        <f>I183</f>
        <v>-</v>
      </c>
      <c r="D95" s="54" t="str">
        <f>I183</f>
        <v>-</v>
      </c>
      <c r="E95" s="48">
        <f>IF(M95="скрутка",T95+$Q$1,IF(M95="склейка",T95+$Q$1,IF(M95="запил торца",ROUND(T95+$P$1,0),IF(M95="запил торцов",ROUND(T95+$P$1*2,0),T95))))+IF(G95=$O$1,$P$1,)+IF(H95=$O$1,$P$1,)</f>
        <v>564</v>
      </c>
      <c r="F95" s="48">
        <f>IF(M95="скрутка",U95+$Q$1,IF(M95="склейка",U95+$Q$1,IF(M95="запил торца",ROUND(U95+$P$1,0),IF(M95="запил торцов",ROUND(U95+$P$1*2,0),U95))))+IF(C95=$O$1,$P$1,)+IF(D95=$O$1,$P$1,)</f>
        <v>273</v>
      </c>
      <c r="G95" s="54" t="str">
        <f>I183</f>
        <v>-</v>
      </c>
      <c r="H95" s="54" t="str">
        <f>I183</f>
        <v>-</v>
      </c>
      <c r="I95" s="49">
        <f>IF(OR(M95="скрутка",M95="склейка"),Z95*2,Z95)</f>
        <v>1</v>
      </c>
      <c r="J95" s="53" t="str">
        <f>X95</f>
        <v>ЛДСП Lamarty 2750*1830*16мм Вулканический серый б/к</v>
      </c>
      <c r="K95" s="52" t="str">
        <f>IF(ISBLANK(AB95),"",AB95)</f>
        <v/>
      </c>
      <c r="L95" s="52" t="str">
        <f>IF(ISBLANK(AC95),"",AC95)</f>
        <v/>
      </c>
      <c r="M95" s="51" t="str">
        <f>IF(AA95="","",AA95)</f>
        <v/>
      </c>
      <c r="N95" s="30" t="str">
        <f>CONCATENATE(IF(E95&lt;&gt;T95,"НеРавны",),IF(AND(NOT(ISBLANK(R95)),R95&lt;&gt;T95),"Д",),IF(AND(NOT(ISBLANK(S95)),S95&lt;&gt;U95),"Ш",))</f>
        <v>ДШ</v>
      </c>
      <c r="O95" s="22">
        <f>O94+1</f>
        <v>23</v>
      </c>
      <c r="P95" s="18" t="s">
        <v>199</v>
      </c>
      <c r="Q95" s="18">
        <v>11</v>
      </c>
      <c r="R95" s="18">
        <v>565</v>
      </c>
      <c r="S95" s="18">
        <v>274</v>
      </c>
      <c r="T95" s="3">
        <v>564</v>
      </c>
      <c r="U95" s="3">
        <v>273</v>
      </c>
      <c r="V95" s="23"/>
      <c r="W95" s="23" t="s">
        <v>232</v>
      </c>
      <c r="X95" s="26" t="str">
        <f>J183</f>
        <v>ЛДСП Lamarty 2750*1830*16мм Вулканический серый б/к</v>
      </c>
      <c r="Y95" s="18" t="s">
        <v>158</v>
      </c>
      <c r="Z95" s="18">
        <v>1</v>
      </c>
      <c r="AA95" s="18"/>
      <c r="AB95" s="18"/>
      <c r="AC95" s="18"/>
      <c r="AD95" s="56"/>
    </row>
    <row r="96" spans="1:30" x14ac:dyDescent="0.25">
      <c r="A96" s="9" t="str">
        <f>CONCATENATE(O96,".",LEFT(J96))</f>
        <v>41.Л</v>
      </c>
      <c r="B96" s="32" t="str">
        <f>CONCATENATE(IF(OR(Y96="Не определена",Y96,ISBLANK(Y96)),"↕",),IF(Y96="Не обязательна","±",),Q96,".",P96)</f>
        <v>12.бок</v>
      </c>
      <c r="C96" s="54" t="str">
        <f>I182</f>
        <v>-</v>
      </c>
      <c r="D96" s="54" t="str">
        <f>I182</f>
        <v>-</v>
      </c>
      <c r="E96" s="48">
        <f>IF(M96="скрутка",T96+$Q$1,IF(M96="склейка",T96+$Q$1,IF(M96="запил торца",ROUND(T96+$P$1,0),IF(M96="запил торцов",ROUND(T96+$P$1*2,0),T96))))+IF(G96=$O$1,$P$1,)+IF(H96=$O$1,$P$1,)</f>
        <v>1693</v>
      </c>
      <c r="F96" s="48">
        <f>IF(M96="скрутка",U96+$Q$1,IF(M96="склейка",U96+$Q$1,IF(M96="запил торца",ROUND(U96+$P$1,0),IF(M96="запил торцов",ROUND(U96+$P$1*2,0),U96))))+IF(C96=$O$1,$P$1,)+IF(D96=$O$1,$P$1,)</f>
        <v>559</v>
      </c>
      <c r="G96" s="54" t="str">
        <f>I182</f>
        <v>-</v>
      </c>
      <c r="H96" s="54" t="str">
        <f>I182</f>
        <v>-</v>
      </c>
      <c r="I96" s="49">
        <f>IF(OR(M96="скрутка",M96="склейка"),Z96*2,Z96)</f>
        <v>1</v>
      </c>
      <c r="J96" s="53" t="str">
        <f>X96</f>
        <v>ЛДСП Lamarty 2750*1830*16 Белый б/к</v>
      </c>
      <c r="K96" s="52" t="str">
        <f>IF(ISBLANK(AB96),"",AB96)</f>
        <v/>
      </c>
      <c r="L96" s="52" t="str">
        <f>IF(ISBLANK(AC96),"",AC96)</f>
        <v/>
      </c>
      <c r="M96" s="51" t="str">
        <f>IF(AA96="","",AA96)</f>
        <v/>
      </c>
      <c r="N96" s="30" t="str">
        <f>CONCATENATE(IF(E96&lt;&gt;T96,"НеРавны",),IF(AND(NOT(ISBLANK(R96)),R96&lt;&gt;T96),"Д",),IF(AND(NOT(ISBLANK(S96)),S96&lt;&gt;U96),"Ш",))</f>
        <v>ДШ</v>
      </c>
      <c r="O96" s="22">
        <f>O63+1</f>
        <v>41</v>
      </c>
      <c r="P96" s="18" t="s">
        <v>174</v>
      </c>
      <c r="Q96" s="18">
        <v>12</v>
      </c>
      <c r="R96" s="18">
        <v>1694</v>
      </c>
      <c r="S96" s="18">
        <v>560</v>
      </c>
      <c r="T96" s="3">
        <v>1693</v>
      </c>
      <c r="U96" s="3">
        <v>559</v>
      </c>
      <c r="V96" s="23"/>
      <c r="W96" s="23" t="s">
        <v>227</v>
      </c>
      <c r="X96" s="26" t="str">
        <f>J182</f>
        <v>ЛДСП Lamarty 2750*1830*16 Белый б/к</v>
      </c>
      <c r="Y96" s="18" t="s">
        <v>158</v>
      </c>
      <c r="Z96" s="18">
        <v>1</v>
      </c>
      <c r="AA96" s="18"/>
      <c r="AB96" s="18"/>
      <c r="AC96" s="18"/>
      <c r="AD96" s="56"/>
    </row>
    <row r="97" spans="1:30" ht="30" x14ac:dyDescent="0.25">
      <c r="A97" s="9" t="str">
        <f>CONCATENATE(O97,".",LEFT(J97))</f>
        <v>42.Л</v>
      </c>
      <c r="B97" s="32" t="str">
        <f>CONCATENATE(IF(OR(Y97="Не определена",Y97,ISBLANK(Y97)),"↕",),IF(Y97="Не обязательна","±",),Q97,".",P97)</f>
        <v>12.видимый бок (четверть по низу)</v>
      </c>
      <c r="C97" s="54" t="str">
        <f>I182</f>
        <v>-</v>
      </c>
      <c r="D97" s="54" t="str">
        <f>I182</f>
        <v>-</v>
      </c>
      <c r="E97" s="48">
        <f>IF(M97="скрутка",T97+$Q$1,IF(M97="склейка",T97+$Q$1,IF(M97="запил торца",ROUND(T97+$P$1,0),IF(M97="запил торцов",ROUND(T97+$P$1*2,0),T97))))+IF(G97=$O$1,$P$1,)+IF(H97=$O$1,$P$1,)</f>
        <v>1709</v>
      </c>
      <c r="F97" s="48">
        <f>IF(M97="скрутка",U97+$Q$1,IF(M97="склейка",U97+$Q$1,IF(M97="запил торца",ROUND(U97+$P$1,0),IF(M97="запил торцов",ROUND(U97+$P$1*2,0),U97))))+IF(C97=$O$1,$P$1,)+IF(D97=$O$1,$P$1,)</f>
        <v>623</v>
      </c>
      <c r="G97" s="54" t="str">
        <f>I182</f>
        <v>-</v>
      </c>
      <c r="H97" s="54" t="str">
        <f>I182</f>
        <v>-</v>
      </c>
      <c r="I97" s="49">
        <f>IF(OR(M97="скрутка",M97="склейка"),Z97*2,Z97)</f>
        <v>1</v>
      </c>
      <c r="J97" s="53" t="str">
        <f>X97</f>
        <v>ЛДСП Lamarty 2750*1830*16 Белый б/к</v>
      </c>
      <c r="K97" s="52" t="str">
        <f>IF(ISBLANK(AB97),"",AB97)</f>
        <v/>
      </c>
      <c r="L97" s="52" t="str">
        <f>IF(ISBLANK(AC97),"",AC97)</f>
        <v/>
      </c>
      <c r="M97" s="51" t="str">
        <f>IF(AA97="","",AA97)</f>
        <v/>
      </c>
      <c r="N97" s="30" t="str">
        <f>CONCATENATE(IF(E97&lt;&gt;T97,"НеРавны",),IF(AND(NOT(ISBLANK(R97)),R97&lt;&gt;T97),"Д",),IF(AND(NOT(ISBLANK(S97)),S97&lt;&gt;U97),"Ш",))</f>
        <v>ДШ</v>
      </c>
      <c r="O97" s="22">
        <f>O96+1</f>
        <v>42</v>
      </c>
      <c r="P97" s="18" t="s">
        <v>216</v>
      </c>
      <c r="Q97" s="18">
        <v>12</v>
      </c>
      <c r="R97" s="18">
        <v>1710</v>
      </c>
      <c r="S97" s="18">
        <v>624</v>
      </c>
      <c r="T97" s="3">
        <v>1709</v>
      </c>
      <c r="U97" s="3">
        <v>623</v>
      </c>
      <c r="V97" s="23"/>
      <c r="W97" s="23" t="s">
        <v>227</v>
      </c>
      <c r="X97" s="26" t="str">
        <f>J182</f>
        <v>ЛДСП Lamarty 2750*1830*16 Белый б/к</v>
      </c>
      <c r="Y97" s="18" t="s">
        <v>158</v>
      </c>
      <c r="Z97" s="18">
        <v>1</v>
      </c>
      <c r="AA97" s="18"/>
      <c r="AB97" s="18"/>
      <c r="AC97" s="18"/>
      <c r="AD97" s="56"/>
    </row>
    <row r="98" spans="1:30" x14ac:dyDescent="0.25">
      <c r="A98" s="9" t="str">
        <f>CONCATENATE(O98,".",LEFT(J98))</f>
        <v>43.Л</v>
      </c>
      <c r="B98" s="32" t="str">
        <f>CONCATENATE(IF(OR(Y98="Не определена",Y98,ISBLANK(Y98)),"↕",),IF(Y98="Не обязательна","±",),Q98,".",P98)</f>
        <v>12.горизонт</v>
      </c>
      <c r="C98" s="54" t="str">
        <f>I182</f>
        <v>-</v>
      </c>
      <c r="D98" s="54" t="str">
        <f>I182</f>
        <v>-</v>
      </c>
      <c r="E98" s="48">
        <f>IF(M98="скрутка",T98+$Q$1,IF(M98="склейка",T98+$Q$1,IF(M98="запил торца",ROUND(T98+$P$1,0),IF(M98="запил торцов",ROUND(T98+$P$1*2,0),T98))))+IF(G98=$O$1,$P$1,)+IF(H98=$O$1,$P$1,)</f>
        <v>188</v>
      </c>
      <c r="F98" s="48">
        <f>IF(M98="скрутка",U98+$Q$1,IF(M98="склейка",U98+$Q$1,IF(M98="запил торца",ROUND(U98+$P$1,0),IF(M98="запил торцов",ROUND(U98+$P$1*2,0),U98))))+IF(C98=$O$1,$P$1,)+IF(D98=$O$1,$P$1,)</f>
        <v>543</v>
      </c>
      <c r="G98" s="47"/>
      <c r="H98" s="47"/>
      <c r="I98" s="49">
        <f>IF(OR(M98="скрутка",M98="склейка"),Z98*2,Z98)</f>
        <v>1</v>
      </c>
      <c r="J98" s="53" t="str">
        <f>X98</f>
        <v>ЛДСП Lamarty 2750*1830*16 Белый б/к</v>
      </c>
      <c r="K98" s="52" t="str">
        <f>IF(ISBLANK(AB98),"",AB98)</f>
        <v/>
      </c>
      <c r="L98" s="52" t="str">
        <f>IF(ISBLANK(AC98),"",AC98)</f>
        <v/>
      </c>
      <c r="M98" s="51" t="str">
        <f>IF(AA98="","",AA98)</f>
        <v/>
      </c>
      <c r="N98" s="30" t="str">
        <f>CONCATENATE(IF(E98&lt;&gt;T98,"НеРавны",),IF(AND(NOT(ISBLANK(R98)),R98&lt;&gt;T98),"Д",),IF(AND(NOT(ISBLANK(S98)),S98&lt;&gt;U98),"Ш",))</f>
        <v>Ш</v>
      </c>
      <c r="O98" s="22">
        <f>O97+1</f>
        <v>43</v>
      </c>
      <c r="P98" s="18" t="s">
        <v>206</v>
      </c>
      <c r="Q98" s="18">
        <v>12</v>
      </c>
      <c r="R98" s="18">
        <v>188</v>
      </c>
      <c r="S98" s="18">
        <v>544</v>
      </c>
      <c r="T98" s="3">
        <v>188</v>
      </c>
      <c r="U98" s="3">
        <v>543</v>
      </c>
      <c r="V98" s="23"/>
      <c r="W98" s="23" t="s">
        <v>228</v>
      </c>
      <c r="X98" s="26" t="str">
        <f>J182</f>
        <v>ЛДСП Lamarty 2750*1830*16 Белый б/к</v>
      </c>
      <c r="Y98" s="18" t="s">
        <v>158</v>
      </c>
      <c r="Z98" s="18">
        <v>1</v>
      </c>
      <c r="AA98" s="18"/>
      <c r="AB98" s="18"/>
      <c r="AC98" s="18"/>
      <c r="AD98" s="56"/>
    </row>
    <row r="99" spans="1:30" x14ac:dyDescent="0.25">
      <c r="A99" s="9" t="str">
        <f>CONCATENATE(O99,".",LEFT(J99))</f>
        <v>44.Л</v>
      </c>
      <c r="B99" s="32" t="str">
        <f>CONCATENATE(IF(OR(Y99="Не определена",Y99,ISBLANK(Y99)),"↕",),IF(Y99="Не обязательна","±",),Q99,".",P99)</f>
        <v>12.дно</v>
      </c>
      <c r="C99" s="54" t="str">
        <f>I182</f>
        <v>-</v>
      </c>
      <c r="D99" s="54" t="str">
        <f>I182</f>
        <v>-</v>
      </c>
      <c r="E99" s="48">
        <f>IF(M99="скрутка",T99+$Q$1,IF(M99="склейка",T99+$Q$1,IF(M99="запил торца",ROUND(T99+$P$1,0),IF(M99="запил торцов",ROUND(T99+$P$1*2,0),T99))))+IF(G99=$O$1,$P$1,)+IF(H99=$O$1,$P$1,)</f>
        <v>211</v>
      </c>
      <c r="F99" s="48">
        <f>IF(M99="скрутка",U99+$Q$1,IF(M99="склейка",U99+$Q$1,IF(M99="запил торца",ROUND(U99+$P$1,0),IF(M99="запил торцов",ROUND(U99+$P$1*2,0),U99))))+IF(C99=$O$1,$P$1,)+IF(D99=$O$1,$P$1,)</f>
        <v>559</v>
      </c>
      <c r="G99" s="54" t="str">
        <f>I182</f>
        <v>-</v>
      </c>
      <c r="H99" s="54" t="str">
        <f>I182</f>
        <v>-</v>
      </c>
      <c r="I99" s="49">
        <f>IF(OR(M99="скрутка",M99="склейка"),Z99*2,Z99)</f>
        <v>1</v>
      </c>
      <c r="J99" s="53" t="str">
        <f>X99</f>
        <v>ЛДСП Lamarty 2750*1830*16 Белый б/к</v>
      </c>
      <c r="K99" s="52" t="str">
        <f>IF(ISBLANK(AB99),"",AB99)</f>
        <v/>
      </c>
      <c r="L99" s="52" t="str">
        <f>IF(ISBLANK(AC99),"",AC99)</f>
        <v/>
      </c>
      <c r="M99" s="51" t="str">
        <f>IF(AA99="","",AA99)</f>
        <v/>
      </c>
      <c r="N99" s="30" t="str">
        <f>CONCATENATE(IF(E99&lt;&gt;T99,"НеРавны",),IF(AND(NOT(ISBLANK(R99)),R99&lt;&gt;T99),"Д",),IF(AND(NOT(ISBLANK(S99)),S99&lt;&gt;U99),"Ш",))</f>
        <v>ДШ</v>
      </c>
      <c r="O99" s="22">
        <f>O98+1</f>
        <v>44</v>
      </c>
      <c r="P99" s="18" t="s">
        <v>218</v>
      </c>
      <c r="Q99" s="18">
        <v>12</v>
      </c>
      <c r="R99" s="18">
        <v>212</v>
      </c>
      <c r="S99" s="18">
        <v>560</v>
      </c>
      <c r="T99" s="3">
        <v>211</v>
      </c>
      <c r="U99" s="3">
        <v>559</v>
      </c>
      <c r="V99" s="23"/>
      <c r="W99" s="23" t="s">
        <v>227</v>
      </c>
      <c r="X99" s="26" t="str">
        <f>J182</f>
        <v>ЛДСП Lamarty 2750*1830*16 Белый б/к</v>
      </c>
      <c r="Y99" s="18" t="s">
        <v>158</v>
      </c>
      <c r="Z99" s="18">
        <v>1</v>
      </c>
      <c r="AA99" s="18"/>
      <c r="AB99" s="18"/>
      <c r="AC99" s="18"/>
      <c r="AD99" s="56"/>
    </row>
    <row r="100" spans="1:30" x14ac:dyDescent="0.25">
      <c r="A100" s="9" t="str">
        <f>CONCATENATE(O100,".",LEFT(J100))</f>
        <v>45.Л</v>
      </c>
      <c r="B100" s="32" t="str">
        <f>CONCATENATE(IF(OR(Y100="Не определена",Y100,ISBLANK(Y100)),"↕",),IF(Y100="Не обязательна","±",),Q100,".",P100)</f>
        <v>12.задняя стенка ЛДСП</v>
      </c>
      <c r="C100" s="47"/>
      <c r="D100" s="47"/>
      <c r="E100" s="48">
        <f>IF(M100="скрутка",T100+$Q$1,IF(M100="склейка",T100+$Q$1,IF(M100="запил торца",ROUND(T100+$P$1,0),IF(M100="запил торцов",ROUND(T100+$P$1*2,0),T100))))+IF(G100=$O$1,$P$1,)+IF(H100=$O$1,$P$1,)</f>
        <v>1678</v>
      </c>
      <c r="F100" s="48">
        <f>IF(M100="скрутка",U100+$Q$1,IF(M100="склейка",U100+$Q$1,IF(M100="запил торца",ROUND(U100+$P$1,0),IF(M100="запил торцов",ROUND(U100+$P$1*2,0),U100))))+IF(C100=$O$1,$P$1,)+IF(D100=$O$1,$P$1,)</f>
        <v>188</v>
      </c>
      <c r="G100" s="47"/>
      <c r="H100" s="47"/>
      <c r="I100" s="49">
        <f>IF(OR(M100="скрутка",M100="склейка"),Z100*2,Z100)</f>
        <v>1</v>
      </c>
      <c r="J100" s="53" t="str">
        <f>X100</f>
        <v>ЛДСП Lamarty 2750*1830*16 Белый б/к</v>
      </c>
      <c r="K100" s="52" t="str">
        <f>IF(ISBLANK(AB100),"",AB100)</f>
        <v/>
      </c>
      <c r="L100" s="52" t="str">
        <f>IF(ISBLANK(AC100),"",AC100)</f>
        <v/>
      </c>
      <c r="M100" s="51" t="str">
        <f>IF(AA100="","",AA100)</f>
        <v/>
      </c>
      <c r="N100" s="30" t="str">
        <f>CONCATENATE(IF(E100&lt;&gt;T100,"НеРавны",),IF(AND(NOT(ISBLANK(R100)),R100&lt;&gt;T100),"Д",),IF(AND(NOT(ISBLANK(S100)),S100&lt;&gt;U100),"Ш",))</f>
        <v/>
      </c>
      <c r="O100" s="22">
        <f>O99+1</f>
        <v>45</v>
      </c>
      <c r="P100" s="18" t="s">
        <v>219</v>
      </c>
      <c r="Q100" s="18">
        <v>12</v>
      </c>
      <c r="R100" s="18">
        <v>1678</v>
      </c>
      <c r="S100" s="18">
        <v>188</v>
      </c>
      <c r="T100" s="3">
        <v>1678</v>
      </c>
      <c r="U100" s="3">
        <v>188</v>
      </c>
      <c r="V100" s="23"/>
      <c r="W100" s="23" t="s">
        <v>164</v>
      </c>
      <c r="X100" s="26" t="str">
        <f>J182</f>
        <v>ЛДСП Lamarty 2750*1830*16 Белый б/к</v>
      </c>
      <c r="Y100" s="18" t="s">
        <v>158</v>
      </c>
      <c r="Z100" s="18">
        <v>1</v>
      </c>
      <c r="AA100" s="18"/>
      <c r="AB100" s="18"/>
      <c r="AC100" s="18"/>
      <c r="AD100" s="56"/>
    </row>
    <row r="101" spans="1:30" x14ac:dyDescent="0.25">
      <c r="A101" s="9" t="str">
        <f>CONCATENATE(O101,".",LEFT(J101))</f>
        <v>46.Л</v>
      </c>
      <c r="B101" s="32" t="str">
        <f>CONCATENATE(IF(OR(Y101="Не определена",Y101,ISBLANK(Y101)),"↕",),IF(Y101="Не обязательна","±",),Q101,".",P101)</f>
        <v>12.крышка</v>
      </c>
      <c r="C101" s="54" t="str">
        <f>I182</f>
        <v>-</v>
      </c>
      <c r="D101" s="54" t="str">
        <f>I182</f>
        <v>-</v>
      </c>
      <c r="E101" s="48">
        <f>IF(M101="скрутка",T101+$Q$1,IF(M101="склейка",T101+$Q$1,IF(M101="запил торца",ROUND(T101+$P$1,0),IF(M101="запил торцов",ROUND(T101+$P$1*2,0),T101))))+IF(G101=$O$1,$P$1,)+IF(H101=$O$1,$P$1,)</f>
        <v>188</v>
      </c>
      <c r="F101" s="48">
        <f>IF(M101="скрутка",U101+$Q$1,IF(M101="склейка",U101+$Q$1,IF(M101="запил торца",ROUND(U101+$P$1,0),IF(M101="запил торцов",ROUND(U101+$P$1*2,0),U101))))+IF(C101=$O$1,$P$1,)+IF(D101=$O$1,$P$1,)</f>
        <v>559</v>
      </c>
      <c r="G101" s="47"/>
      <c r="H101" s="47"/>
      <c r="I101" s="49">
        <f>IF(OR(M101="скрутка",M101="склейка"),Z101*2,Z101)</f>
        <v>1</v>
      </c>
      <c r="J101" s="53" t="str">
        <f>X101</f>
        <v>ЛДСП Lamarty 2750*1830*16 Белый б/к</v>
      </c>
      <c r="K101" s="52" t="str">
        <f>IF(ISBLANK(AB101),"",AB101)</f>
        <v/>
      </c>
      <c r="L101" s="52" t="str">
        <f>IF(ISBLANK(AC101),"",AC101)</f>
        <v/>
      </c>
      <c r="M101" s="51" t="str">
        <f>IF(AA101="","",AA101)</f>
        <v/>
      </c>
      <c r="N101" s="30" t="str">
        <f>CONCATENATE(IF(E101&lt;&gt;T101,"НеРавны",),IF(AND(NOT(ISBLANK(R101)),R101&lt;&gt;T101),"Д",),IF(AND(NOT(ISBLANK(S101)),S101&lt;&gt;U101),"Ш",))</f>
        <v>Ш</v>
      </c>
      <c r="O101" s="22">
        <f>O100+1</f>
        <v>46</v>
      </c>
      <c r="P101" s="18" t="s">
        <v>217</v>
      </c>
      <c r="Q101" s="18">
        <v>12</v>
      </c>
      <c r="R101" s="18">
        <v>188</v>
      </c>
      <c r="S101" s="18">
        <v>560</v>
      </c>
      <c r="T101" s="3">
        <v>188</v>
      </c>
      <c r="U101" s="3">
        <v>559</v>
      </c>
      <c r="V101" s="23"/>
      <c r="W101" s="23" t="s">
        <v>228</v>
      </c>
      <c r="X101" s="26" t="str">
        <f>J182</f>
        <v>ЛДСП Lamarty 2750*1830*16 Белый б/к</v>
      </c>
      <c r="Y101" s="18" t="s">
        <v>158</v>
      </c>
      <c r="Z101" s="18">
        <v>1</v>
      </c>
      <c r="AA101" s="18"/>
      <c r="AB101" s="18"/>
      <c r="AC101" s="18"/>
      <c r="AD101" s="56"/>
    </row>
    <row r="102" spans="1:30" x14ac:dyDescent="0.25">
      <c r="A102" s="9" t="str">
        <f>CONCATENATE(O102,".",LEFT(J102))</f>
        <v>47.Л</v>
      </c>
      <c r="B102" s="32" t="str">
        <f>CONCATENATE(IF(OR(Y102="Не определена",Y102,ISBLANK(Y102)),"↕",),IF(Y102="Не обязательна","±",),Q102,".",P102)</f>
        <v>12.полка</v>
      </c>
      <c r="C102" s="54" t="str">
        <f>I182</f>
        <v>-</v>
      </c>
      <c r="D102" s="54" t="str">
        <f>I182</f>
        <v>-</v>
      </c>
      <c r="E102" s="48">
        <f>IF(M102="скрутка",T102+$Q$1,IF(M102="склейка",T102+$Q$1,IF(M102="запил торца",ROUND(T102+$P$1,0),IF(M102="запил торцов",ROUND(T102+$P$1*2,0),T102))))+IF(G102=$O$1,$P$1,)+IF(H102=$O$1,$P$1,)</f>
        <v>184</v>
      </c>
      <c r="F102" s="48">
        <f>IF(M102="скрутка",U102+$Q$1,IF(M102="склейка",U102+$Q$1,IF(M102="запил торца",ROUND(U102+$P$1,0),IF(M102="запил торцов",ROUND(U102+$P$1*2,0),U102))))+IF(C102=$O$1,$P$1,)+IF(D102=$O$1,$P$1,)</f>
        <v>319</v>
      </c>
      <c r="G102" s="54" t="str">
        <f>I182</f>
        <v>-</v>
      </c>
      <c r="H102" s="54" t="str">
        <f>I182</f>
        <v>-</v>
      </c>
      <c r="I102" s="49">
        <f>IF(OR(M102="скрутка",M102="склейка"),Z102*2,Z102)</f>
        <v>3</v>
      </c>
      <c r="J102" s="53" t="str">
        <f>X102</f>
        <v>ЛДСП Lamarty 2750*1830*16 Белый б/к</v>
      </c>
      <c r="K102" s="52" t="str">
        <f>IF(ISBLANK(AB102),"",AB102)</f>
        <v/>
      </c>
      <c r="L102" s="52" t="str">
        <f>IF(ISBLANK(AC102),"",AC102)</f>
        <v/>
      </c>
      <c r="M102" s="51" t="str">
        <f>IF(AA102="","",AA102)</f>
        <v/>
      </c>
      <c r="N102" s="30" t="str">
        <f>CONCATENATE(IF(E102&lt;&gt;T102,"НеРавны",),IF(AND(NOT(ISBLANK(R102)),R102&lt;&gt;T102),"Д",),IF(AND(NOT(ISBLANK(S102)),S102&lt;&gt;U102),"Ш",))</f>
        <v>ДШ</v>
      </c>
      <c r="O102" s="22">
        <f>O101+1</f>
        <v>47</v>
      </c>
      <c r="P102" s="18" t="s">
        <v>199</v>
      </c>
      <c r="Q102" s="18">
        <v>12</v>
      </c>
      <c r="R102" s="18">
        <v>185</v>
      </c>
      <c r="S102" s="18">
        <v>320</v>
      </c>
      <c r="T102" s="3">
        <v>184</v>
      </c>
      <c r="U102" s="3">
        <v>319</v>
      </c>
      <c r="V102" s="23"/>
      <c r="W102" s="23" t="s">
        <v>227</v>
      </c>
      <c r="X102" s="26" t="str">
        <f>J182</f>
        <v>ЛДСП Lamarty 2750*1830*16 Белый б/к</v>
      </c>
      <c r="Y102" s="18" t="s">
        <v>158</v>
      </c>
      <c r="Z102" s="18">
        <v>3</v>
      </c>
      <c r="AA102" s="18"/>
      <c r="AB102" s="18"/>
      <c r="AC102" s="18"/>
      <c r="AD102" s="56"/>
    </row>
    <row r="103" spans="1:30" x14ac:dyDescent="0.25">
      <c r="A103" s="9" t="str">
        <f>CONCATENATE(O103,".",LEFT(J103))</f>
        <v>48.Л</v>
      </c>
      <c r="B103" s="32" t="str">
        <f>CONCATENATE(IF(OR(Y103="Не определена",Y103,ISBLANK(Y103)),"↕",),IF(Y103="Не обязательна","±",),Q103,".",P103)</f>
        <v>12.полка жесткая</v>
      </c>
      <c r="C103" s="54" t="str">
        <f>I182</f>
        <v>-</v>
      </c>
      <c r="D103" s="54" t="str">
        <f>I182</f>
        <v>-</v>
      </c>
      <c r="E103" s="48">
        <f>IF(M103="скрутка",T103+$Q$1,IF(M103="склейка",T103+$Q$1,IF(M103="запил торца",ROUND(T103+$P$1,0),IF(M103="запил торцов",ROUND(T103+$P$1*2,0),T103))))+IF(G103=$O$1,$P$1,)+IF(H103=$O$1,$P$1,)</f>
        <v>188</v>
      </c>
      <c r="F103" s="48">
        <f>IF(M103="скрутка",U103+$Q$1,IF(M103="склейка",U103+$Q$1,IF(M103="запил торца",ROUND(U103+$P$1,0),IF(M103="запил торцов",ROUND(U103+$P$1*2,0),U103))))+IF(C103=$O$1,$P$1,)+IF(D103=$O$1,$P$1,)</f>
        <v>533</v>
      </c>
      <c r="G103" s="47"/>
      <c r="H103" s="47"/>
      <c r="I103" s="49">
        <f>IF(OR(M103="скрутка",M103="склейка"),Z103*2,Z103)</f>
        <v>1</v>
      </c>
      <c r="J103" s="53" t="str">
        <f>X103</f>
        <v>ЛДСП Lamarty 2750*1830*16 Белый б/к</v>
      </c>
      <c r="K103" s="52" t="str">
        <f>IF(ISBLANK(AB103),"",AB103)</f>
        <v/>
      </c>
      <c r="L103" s="52" t="str">
        <f>IF(ISBLANK(AC103),"",AC103)</f>
        <v/>
      </c>
      <c r="M103" s="51" t="str">
        <f>IF(AA103="","",AA103)</f>
        <v/>
      </c>
      <c r="N103" s="30" t="str">
        <f>CONCATENATE(IF(E103&lt;&gt;T103,"НеРавны",),IF(AND(NOT(ISBLANK(R103)),R103&lt;&gt;T103),"Д",),IF(AND(NOT(ISBLANK(S103)),S103&lt;&gt;U103),"Ш",))</f>
        <v>Ш</v>
      </c>
      <c r="O103" s="22">
        <f>O102+1</f>
        <v>48</v>
      </c>
      <c r="P103" s="18" t="s">
        <v>180</v>
      </c>
      <c r="Q103" s="18">
        <v>12</v>
      </c>
      <c r="R103" s="18">
        <v>188</v>
      </c>
      <c r="S103" s="18">
        <v>534</v>
      </c>
      <c r="T103" s="3">
        <v>188</v>
      </c>
      <c r="U103" s="3">
        <v>533</v>
      </c>
      <c r="V103" s="23"/>
      <c r="W103" s="23" t="s">
        <v>228</v>
      </c>
      <c r="X103" s="26" t="str">
        <f>J182</f>
        <v>ЛДСП Lamarty 2750*1830*16 Белый б/к</v>
      </c>
      <c r="Y103" s="18" t="s">
        <v>158</v>
      </c>
      <c r="Z103" s="18">
        <v>1</v>
      </c>
      <c r="AA103" s="18"/>
      <c r="AB103" s="18"/>
      <c r="AC103" s="18"/>
      <c r="AD103" s="56"/>
    </row>
    <row r="104" spans="1:30" x14ac:dyDescent="0.25">
      <c r="A104" s="9" t="str">
        <f>CONCATENATE(O104,".",LEFT(J104))</f>
        <v>11.М</v>
      </c>
      <c r="B104" s="32" t="str">
        <f>CONCATENATE(IF(OR(Y104="Не определена",Y104,ISBLANK(Y104)),"↕",),IF(Y104="Не обязательна","±",),Q104,".",P104)</f>
        <v>12.фасад (мыло)</v>
      </c>
      <c r="C104" s="54" t="str">
        <f>I186</f>
        <v>-</v>
      </c>
      <c r="D104" s="54" t="str">
        <f>I186</f>
        <v>-</v>
      </c>
      <c r="E104" s="48">
        <f>IF(M104="скрутка",T104+$Q$1,IF(M104="склейка",T104+$Q$1,IF(M104="запил торца",ROUND(T104+$P$1,0),IF(M104="запил торцов",ROUND(T104+$P$1*2,0),T104))))+IF(G104=$O$1,$P$1,)+IF(H104=$O$1,$P$1,)</f>
        <v>987</v>
      </c>
      <c r="F104" s="48">
        <f>IF(M104="скрутка",U104+$Q$1,IF(M104="склейка",U104+$Q$1,IF(M104="запил торца",ROUND(U104+$P$1,0),IF(M104="запил торцов",ROUND(U104+$P$1*2,0),U104))))+IF(C104=$O$1,$P$1,)+IF(D104=$O$1,$P$1,)</f>
        <v>217</v>
      </c>
      <c r="G104" s="54" t="str">
        <f>I186</f>
        <v>-</v>
      </c>
      <c r="H104" s="54" t="str">
        <f>I186</f>
        <v>-</v>
      </c>
      <c r="I104" s="49">
        <f>IF(OR(M104="скрутка",M104="склейка"),Z104*2,Z104)</f>
        <v>1</v>
      </c>
      <c r="J104" s="53" t="str">
        <f>X104</f>
        <v>МДФ 2800х2070х16 лам. Белый 2 ст. б/к</v>
      </c>
      <c r="K104" s="52" t="str">
        <f>IF(ISBLANK(AB104),"",AB104)</f>
        <v>KHR Глянец</v>
      </c>
      <c r="L104" s="52" t="str">
        <f>IF(ISBLANK(AC104),"",AC104)</f>
        <v/>
      </c>
      <c r="M104" s="51" t="str">
        <f>IF(AA104="","",AA104)</f>
        <v/>
      </c>
      <c r="N104" s="30" t="str">
        <f>CONCATENATE(IF(E104&lt;&gt;T104,"НеРавны",),IF(AND(NOT(ISBLANK(R104)),R104&lt;&gt;T104),"Д",),IF(AND(NOT(ISBLANK(S104)),S104&lt;&gt;U104),"Ш",))</f>
        <v/>
      </c>
      <c r="O104" s="22">
        <f>O64+1</f>
        <v>11</v>
      </c>
      <c r="P104" s="18" t="s">
        <v>223</v>
      </c>
      <c r="Q104" s="18">
        <v>12</v>
      </c>
      <c r="R104" s="18">
        <v>987</v>
      </c>
      <c r="S104" s="18">
        <v>217</v>
      </c>
      <c r="T104" s="3">
        <v>987</v>
      </c>
      <c r="U104" s="3">
        <v>217</v>
      </c>
      <c r="V104" s="23"/>
      <c r="W104" s="23" t="s">
        <v>229</v>
      </c>
      <c r="X104" s="26" t="str">
        <f>J186</f>
        <v>МДФ 2800х2070х16 лам. Белый 2 ст. б/к</v>
      </c>
      <c r="Y104" s="18" t="s">
        <v>158</v>
      </c>
      <c r="Z104" s="18">
        <v>1</v>
      </c>
      <c r="AA104" s="18"/>
      <c r="AB104" s="18" t="str">
        <f>K179</f>
        <v>KHR Глянец</v>
      </c>
      <c r="AC104" s="18"/>
      <c r="AD104" s="56"/>
    </row>
    <row r="105" spans="1:30" ht="30" x14ac:dyDescent="0.25">
      <c r="A105" s="9" t="str">
        <f>CONCATENATE(O105,".",LEFT(J105))</f>
        <v>12.М</v>
      </c>
      <c r="B105" s="32" t="str">
        <f>CONCATENATE(IF(OR(Y105="Не определена",Y105,ISBLANK(Y105)),"↕",),IF(Y105="Не обязательна","±",),Q105,".",P105)</f>
        <v>12.фасад (мыло, 901246 в торец)</v>
      </c>
      <c r="C105" s="54" t="str">
        <f>I186</f>
        <v>-</v>
      </c>
      <c r="D105" s="54" t="str">
        <f>I186</f>
        <v>-</v>
      </c>
      <c r="E105" s="48">
        <f>IF(M105="скрутка",T105+$Q$1,IF(M105="склейка",T105+$Q$1,IF(M105="запил торца",ROUND(T105+$P$1,0),IF(M105="запил торцов",ROUND(T105+$P$1*2,0),T105))))+IF(G105=$O$1,$P$1,)+IF(H105=$O$1,$P$1,)</f>
        <v>677</v>
      </c>
      <c r="F105" s="48">
        <f>IF(M105="скрутка",U105+$Q$1,IF(M105="склейка",U105+$Q$1,IF(M105="запил торца",ROUND(U105+$P$1,0),IF(M105="запил торцов",ROUND(U105+$P$1*2,0),U105))))+IF(C105=$O$1,$P$1,)+IF(D105=$O$1,$P$1,)</f>
        <v>217</v>
      </c>
      <c r="G105" s="54" t="str">
        <f>I186</f>
        <v>-</v>
      </c>
      <c r="H105" s="54" t="str">
        <f>I186</f>
        <v>-</v>
      </c>
      <c r="I105" s="49">
        <f>IF(OR(M105="скрутка",M105="склейка"),Z105*2,Z105)</f>
        <v>1</v>
      </c>
      <c r="J105" s="53" t="str">
        <f>X105</f>
        <v>МДФ 2800х2070х16 лам. Белый 2 ст. б/к</v>
      </c>
      <c r="K105" s="52" t="str">
        <f>IF(ISBLANK(AB105),"",AB105)</f>
        <v>KHR Глянец</v>
      </c>
      <c r="L105" s="52" t="str">
        <f>IF(ISBLANK(AC105),"",AC105)</f>
        <v/>
      </c>
      <c r="M105" s="51" t="str">
        <f>IF(AA105="","",AA105)</f>
        <v/>
      </c>
      <c r="N105" s="30" t="str">
        <f>CONCATENATE(IF(E105&lt;&gt;T105,"НеРавны",),IF(AND(NOT(ISBLANK(R105)),R105&lt;&gt;T105),"Д",),IF(AND(NOT(ISBLANK(S105)),S105&lt;&gt;U105),"Ш",))</f>
        <v/>
      </c>
      <c r="O105" s="22">
        <f>O104+1</f>
        <v>12</v>
      </c>
      <c r="P105" s="18" t="s">
        <v>191</v>
      </c>
      <c r="Q105" s="18">
        <v>12</v>
      </c>
      <c r="R105" s="18">
        <v>677</v>
      </c>
      <c r="S105" s="18">
        <v>217</v>
      </c>
      <c r="T105" s="3">
        <v>677</v>
      </c>
      <c r="U105" s="3">
        <v>217</v>
      </c>
      <c r="V105" s="23"/>
      <c r="W105" s="23" t="s">
        <v>229</v>
      </c>
      <c r="X105" s="26" t="str">
        <f>J186</f>
        <v>МДФ 2800х2070х16 лам. Белый 2 ст. б/к</v>
      </c>
      <c r="Y105" s="18" t="s">
        <v>158</v>
      </c>
      <c r="Z105" s="18">
        <v>1</v>
      </c>
      <c r="AA105" s="18"/>
      <c r="AB105" s="18" t="str">
        <f>K179</f>
        <v>KHR Глянец</v>
      </c>
      <c r="AC105" s="18"/>
      <c r="AD105" s="56"/>
    </row>
    <row r="106" spans="1:30" ht="30" x14ac:dyDescent="0.25">
      <c r="A106" s="9" t="str">
        <f>CONCATENATE(O106,".",LEFT(J106))</f>
        <v>49.Л</v>
      </c>
      <c r="B106" s="32" t="str">
        <f>CONCATENATE(IF(OR(Y106="Не определена",Y106,ISBLANK(Y106)),"↕",),IF(Y106="Не обязательна","±",),Q106,".",P106)</f>
        <v>13.бок (вырез под цоколь, вырез под сантех.)</v>
      </c>
      <c r="C106" s="54" t="str">
        <f>I182</f>
        <v>-</v>
      </c>
      <c r="D106" s="54" t="str">
        <f>I182</f>
        <v>-</v>
      </c>
      <c r="E106" s="48">
        <f>IF(M106="скрутка",T106+$Q$1,IF(M106="склейка",T106+$Q$1,IF(M106="запил торца",ROUND(T106+$P$1,0),IF(M106="запил торцов",ROUND(T106+$P$1*2,0),T106))))+IF(G106=$O$1,$P$1,)+IF(H106=$O$1,$P$1,)</f>
        <v>849</v>
      </c>
      <c r="F106" s="48">
        <f>IF(M106="скрутка",U106+$Q$1,IF(M106="склейка",U106+$Q$1,IF(M106="запил торца",ROUND(U106+$P$1,0),IF(M106="запил торцов",ROUND(U106+$P$1*2,0),U106))))+IF(C106=$O$1,$P$1,)+IF(D106=$O$1,$P$1,)</f>
        <v>519</v>
      </c>
      <c r="G106" s="54" t="str">
        <f>I182</f>
        <v>-</v>
      </c>
      <c r="H106" s="54" t="str">
        <f>I182</f>
        <v>-</v>
      </c>
      <c r="I106" s="49">
        <f>IF(OR(M106="скрутка",M106="склейка"),Z106*2,Z106)</f>
        <v>1</v>
      </c>
      <c r="J106" s="53" t="str">
        <f>X106</f>
        <v>ЛДСП Lamarty 2750*1830*16 Белый б/к</v>
      </c>
      <c r="K106" s="52" t="str">
        <f>IF(ISBLANK(AB106),"",AB106)</f>
        <v/>
      </c>
      <c r="L106" s="52" t="str">
        <f>IF(ISBLANK(AC106),"",AC106)</f>
        <v/>
      </c>
      <c r="M106" s="51" t="str">
        <f>IF(AA106="","",AA106)</f>
        <v>Вырез;</v>
      </c>
      <c r="N106" s="30" t="str">
        <f>CONCATENATE(IF(E106&lt;&gt;T106,"НеРавны",),IF(AND(NOT(ISBLANK(R106)),R106&lt;&gt;T106),"Д",),IF(AND(NOT(ISBLANK(S106)),S106&lt;&gt;U106),"Ш",))</f>
        <v>ДШ</v>
      </c>
      <c r="O106" s="22">
        <f>O103+1</f>
        <v>49</v>
      </c>
      <c r="P106" s="18" t="s">
        <v>195</v>
      </c>
      <c r="Q106" s="18">
        <v>13</v>
      </c>
      <c r="R106" s="18">
        <v>850</v>
      </c>
      <c r="S106" s="18">
        <v>520</v>
      </c>
      <c r="T106" s="3">
        <v>849</v>
      </c>
      <c r="U106" s="3">
        <v>519</v>
      </c>
      <c r="V106" s="23"/>
      <c r="W106" s="23" t="s">
        <v>227</v>
      </c>
      <c r="X106" s="26" t="str">
        <f>J182</f>
        <v>ЛДСП Lamarty 2750*1830*16 Белый б/к</v>
      </c>
      <c r="Y106" s="18" t="s">
        <v>158</v>
      </c>
      <c r="Z106" s="18">
        <v>1</v>
      </c>
      <c r="AA106" s="18" t="s">
        <v>172</v>
      </c>
      <c r="AB106" s="18"/>
      <c r="AC106" s="18"/>
      <c r="AD106" s="56"/>
    </row>
    <row r="107" spans="1:30" ht="30" x14ac:dyDescent="0.25">
      <c r="A107" s="9" t="str">
        <f>CONCATENATE(O107,".",LEFT(J107))</f>
        <v>13.М</v>
      </c>
      <c r="B107" s="32" t="str">
        <f>CONCATENATE(IF(OR(Y107="Не определена",Y107,ISBLANK(Y107)),"↕",),IF(Y107="Не обязательна","±",),Q107,".",P107)</f>
        <v>13.фасад (мыло, 901246 в торец)</v>
      </c>
      <c r="C107" s="54" t="str">
        <f>I186</f>
        <v>-</v>
      </c>
      <c r="D107" s="54" t="str">
        <f>I186</f>
        <v>-</v>
      </c>
      <c r="E107" s="48">
        <f>IF(M107="скрутка",T107+$Q$1,IF(M107="склейка",T107+$Q$1,IF(M107="запил торца",ROUND(T107+$P$1,0),IF(M107="запил торцов",ROUND(T107+$P$1*2,0),T107))))+IF(G107=$O$1,$P$1,)+IF(H107=$O$1,$P$1,)</f>
        <v>717</v>
      </c>
      <c r="F107" s="48">
        <f>IF(M107="скрутка",U107+$Q$1,IF(M107="склейка",U107+$Q$1,IF(M107="запил торца",ROUND(U107+$P$1,0),IF(M107="запил торцов",ROUND(U107+$P$1*2,0),U107))))+IF(C107=$O$1,$P$1,)+IF(D107=$O$1,$P$1,)</f>
        <v>663</v>
      </c>
      <c r="G107" s="54" t="str">
        <f>I186</f>
        <v>-</v>
      </c>
      <c r="H107" s="54" t="str">
        <f>I186</f>
        <v>-</v>
      </c>
      <c r="I107" s="49">
        <f>IF(OR(M107="скрутка",M107="склейка"),Z107*2,Z107)</f>
        <v>1</v>
      </c>
      <c r="J107" s="53" t="str">
        <f>X107</f>
        <v>МДФ 2800х2070х16 лам. Белый 2 ст. б/к</v>
      </c>
      <c r="K107" s="52" t="str">
        <f>IF(ISBLANK(AB107),"",AB107)</f>
        <v>KHR Глянец</v>
      </c>
      <c r="L107" s="52" t="str">
        <f>IF(ISBLANK(AC107),"",AC107)</f>
        <v/>
      </c>
      <c r="M107" s="51" t="str">
        <f>IF(AA107="","",AA107)</f>
        <v/>
      </c>
      <c r="N107" s="30" t="str">
        <f>CONCATENATE(IF(E107&lt;&gt;T107,"НеРавны",),IF(AND(NOT(ISBLANK(R107)),R107&lt;&gt;T107),"Д",),IF(AND(NOT(ISBLANK(S107)),S107&lt;&gt;U107),"Ш",))</f>
        <v/>
      </c>
      <c r="O107" s="22">
        <f>O105+1</f>
        <v>13</v>
      </c>
      <c r="P107" s="18" t="s">
        <v>191</v>
      </c>
      <c r="Q107" s="18">
        <v>13</v>
      </c>
      <c r="R107" s="18">
        <v>717</v>
      </c>
      <c r="S107" s="18">
        <v>663</v>
      </c>
      <c r="T107" s="3">
        <v>717</v>
      </c>
      <c r="U107" s="3">
        <v>663</v>
      </c>
      <c r="V107" s="23"/>
      <c r="W107" s="23" t="s">
        <v>229</v>
      </c>
      <c r="X107" s="26" t="str">
        <f>J186</f>
        <v>МДФ 2800х2070х16 лам. Белый 2 ст. б/к</v>
      </c>
      <c r="Y107" s="18" t="s">
        <v>158</v>
      </c>
      <c r="Z107" s="18">
        <v>1</v>
      </c>
      <c r="AA107" s="18"/>
      <c r="AB107" s="18" t="str">
        <f>K179</f>
        <v>KHR Глянец</v>
      </c>
      <c r="AC107" s="18"/>
      <c r="AD107" s="56"/>
    </row>
    <row r="108" spans="1:30" x14ac:dyDescent="0.25">
      <c r="A108" s="9" t="str">
        <f>CONCATENATE(O108,".",LEFT(J108))</f>
        <v>14.М</v>
      </c>
      <c r="B108" s="32" t="str">
        <f>CONCATENATE(IF(OR(Y108="Не определена",Y108,ISBLANK(Y108)),"↕",),IF(Y108="Не обязательна","±",),Q108,".",P108)</f>
        <v>13.фасадный бок (мыло)</v>
      </c>
      <c r="C108" s="54" t="str">
        <f>I186</f>
        <v>-</v>
      </c>
      <c r="D108" s="54" t="str">
        <f>I186</f>
        <v>-</v>
      </c>
      <c r="E108" s="48">
        <f>IF(M108="скрутка",T108+$Q$1,IF(M108="склейка",T108+$Q$1,IF(M108="запил торца",ROUND(T108+$P$1,0),IF(M108="запил торцов",ROUND(T108+$P$1*2,0),T108))))+IF(G108=$O$1,$P$1,)+IF(H108=$O$1,$P$1,)</f>
        <v>850</v>
      </c>
      <c r="F108" s="48">
        <f>IF(M108="скрутка",U108+$Q$1,IF(M108="склейка",U108+$Q$1,IF(M108="запил торца",ROUND(U108+$P$1,0),IF(M108="запил торцов",ROUND(U108+$P$1*2,0),U108))))+IF(C108=$O$1,$P$1,)+IF(D108=$O$1,$P$1,)</f>
        <v>584</v>
      </c>
      <c r="G108" s="54" t="str">
        <f>I186</f>
        <v>-</v>
      </c>
      <c r="H108" s="54" t="str">
        <f>I186</f>
        <v>-</v>
      </c>
      <c r="I108" s="49">
        <f>IF(OR(M108="скрутка",M108="склейка"),Z108*2,Z108)</f>
        <v>1</v>
      </c>
      <c r="J108" s="53" t="str">
        <f>X108</f>
        <v>МДФ 2800х2070х16 лам. Белый 2 ст. б/к</v>
      </c>
      <c r="K108" s="52" t="str">
        <f>IF(ISBLANK(AB108),"",AB108)</f>
        <v>KHR Глянец</v>
      </c>
      <c r="L108" s="52" t="str">
        <f>IF(ISBLANK(AC108),"",AC108)</f>
        <v/>
      </c>
      <c r="M108" s="51" t="str">
        <f>IF(AA108="","",AA108)</f>
        <v/>
      </c>
      <c r="N108" s="30" t="str">
        <f>CONCATENATE(IF(E108&lt;&gt;T108,"НеРавны",),IF(AND(NOT(ISBLANK(R108)),R108&lt;&gt;T108),"Д",),IF(AND(NOT(ISBLANK(S108)),S108&lt;&gt;U108),"Ш",))</f>
        <v/>
      </c>
      <c r="O108" s="22">
        <f>O107+1</f>
        <v>14</v>
      </c>
      <c r="P108" s="18" t="s">
        <v>194</v>
      </c>
      <c r="Q108" s="18">
        <v>13</v>
      </c>
      <c r="R108" s="18">
        <v>850</v>
      </c>
      <c r="S108" s="18">
        <v>584</v>
      </c>
      <c r="T108" s="3">
        <v>850</v>
      </c>
      <c r="U108" s="3">
        <v>584</v>
      </c>
      <c r="V108" s="23"/>
      <c r="W108" s="23" t="s">
        <v>229</v>
      </c>
      <c r="X108" s="26" t="str">
        <f>J186</f>
        <v>МДФ 2800х2070х16 лам. Белый 2 ст. б/к</v>
      </c>
      <c r="Y108" s="18" t="s">
        <v>158</v>
      </c>
      <c r="Z108" s="18">
        <v>1</v>
      </c>
      <c r="AA108" s="18"/>
      <c r="AB108" s="18" t="str">
        <f>K179</f>
        <v>KHR Глянец</v>
      </c>
      <c r="AC108" s="18"/>
      <c r="AD108" s="56"/>
    </row>
    <row r="109" spans="1:30" x14ac:dyDescent="0.25">
      <c r="A109" s="9" t="str">
        <f>CONCATENATE(O109,".",LEFT(J109))</f>
        <v>50.Л</v>
      </c>
      <c r="B109" s="32" t="str">
        <f>CONCATENATE(IF(OR(Y109="Не определена",Y109,ISBLANK(Y109)),"↕",),IF(Y109="Не обязательна","±",),Q109,".",P109)</f>
        <v>14.бок</v>
      </c>
      <c r="C109" s="54" t="str">
        <f>I182</f>
        <v>-</v>
      </c>
      <c r="D109" s="54" t="str">
        <f>I182</f>
        <v>-</v>
      </c>
      <c r="E109" s="48">
        <f>IF(M109="скрутка",T109+$Q$1,IF(M109="склейка",T109+$Q$1,IF(M109="запил торца",ROUND(T109+$P$1,0),IF(M109="запил торцов",ROUND(T109+$P$1*2,0),T109))))+IF(G109=$O$1,$P$1,)+IF(H109=$O$1,$P$1,)</f>
        <v>743</v>
      </c>
      <c r="F109" s="48">
        <f>IF(M109="скрутка",U109+$Q$1,IF(M109="склейка",U109+$Q$1,IF(M109="запил торца",ROUND(U109+$P$1,0),IF(M109="запил торцов",ROUND(U109+$P$1*2,0),U109))))+IF(C109=$O$1,$P$1,)+IF(D109=$O$1,$P$1,)</f>
        <v>519</v>
      </c>
      <c r="G109" s="54" t="str">
        <f>I182</f>
        <v>-</v>
      </c>
      <c r="H109" s="54" t="str">
        <f>I182</f>
        <v>-</v>
      </c>
      <c r="I109" s="49">
        <f>IF(OR(M109="скрутка",M109="склейка"),Z109*2,Z109)</f>
        <v>1</v>
      </c>
      <c r="J109" s="53" t="str">
        <f>X109</f>
        <v>ЛДСП Lamarty 2750*1830*16 Белый б/к</v>
      </c>
      <c r="K109" s="52" t="str">
        <f>IF(ISBLANK(AB109),"",AB109)</f>
        <v/>
      </c>
      <c r="L109" s="52" t="str">
        <f>IF(ISBLANK(AC109),"",AC109)</f>
        <v/>
      </c>
      <c r="M109" s="51" t="str">
        <f>IF(AA109="","",AA109)</f>
        <v/>
      </c>
      <c r="N109" s="30" t="str">
        <f>CONCATENATE(IF(E109&lt;&gt;T109,"НеРавны",),IF(AND(NOT(ISBLANK(R109)),R109&lt;&gt;T109),"Д",),IF(AND(NOT(ISBLANK(S109)),S109&lt;&gt;U109),"Ш",))</f>
        <v>ДШ</v>
      </c>
      <c r="O109" s="22">
        <f>O106+1</f>
        <v>50</v>
      </c>
      <c r="P109" s="18" t="s">
        <v>174</v>
      </c>
      <c r="Q109" s="18">
        <v>14</v>
      </c>
      <c r="R109" s="18">
        <v>744</v>
      </c>
      <c r="S109" s="18">
        <v>520</v>
      </c>
      <c r="T109" s="3">
        <v>743</v>
      </c>
      <c r="U109" s="3">
        <v>519</v>
      </c>
      <c r="V109" s="23"/>
      <c r="W109" s="23" t="s">
        <v>227</v>
      </c>
      <c r="X109" s="26" t="str">
        <f>J182</f>
        <v>ЛДСП Lamarty 2750*1830*16 Белый б/к</v>
      </c>
      <c r="Y109" s="18" t="s">
        <v>158</v>
      </c>
      <c r="Z109" s="18">
        <v>1</v>
      </c>
      <c r="AA109" s="18"/>
      <c r="AB109" s="18"/>
      <c r="AC109" s="18"/>
      <c r="AD109" s="56"/>
    </row>
    <row r="110" spans="1:30" x14ac:dyDescent="0.25">
      <c r="A110" s="9" t="str">
        <f>CONCATENATE(O110,".",LEFT(J110))</f>
        <v>51.Л</v>
      </c>
      <c r="B110" s="32" t="str">
        <f>CONCATENATE(IF(OR(Y110="Не определена",Y110,ISBLANK(Y110)),"↕",),IF(Y110="Не обязательна","±",),Q110,".",P110)</f>
        <v>14.бок</v>
      </c>
      <c r="C110" s="54" t="str">
        <f>I182</f>
        <v>-</v>
      </c>
      <c r="D110" s="54" t="str">
        <f>I182</f>
        <v>-</v>
      </c>
      <c r="E110" s="48">
        <f>IF(M110="скрутка",T110+$Q$1,IF(M110="склейка",T110+$Q$1,IF(M110="запил торца",ROUND(T110+$P$1,0),IF(M110="запил торцов",ROUND(T110+$P$1*2,0),T110))))+IF(G110=$O$1,$P$1,)+IF(H110=$O$1,$P$1,)</f>
        <v>743</v>
      </c>
      <c r="F110" s="48">
        <f>IF(M110="скрутка",U110+$Q$1,IF(M110="склейка",U110+$Q$1,IF(M110="запил торца",ROUND(U110+$P$1,0),IF(M110="запил торцов",ROUND(U110+$P$1*2,0),U110))))+IF(C110=$O$1,$P$1,)+IF(D110=$O$1,$P$1,)</f>
        <v>519</v>
      </c>
      <c r="G110" s="54" t="str">
        <f>I182</f>
        <v>-</v>
      </c>
      <c r="H110" s="54" t="str">
        <f>I182</f>
        <v>-</v>
      </c>
      <c r="I110" s="49">
        <f>IF(OR(M110="скрутка",M110="склейка"),Z110*2,Z110)</f>
        <v>1</v>
      </c>
      <c r="J110" s="53" t="str">
        <f>X110</f>
        <v>ЛДСП Lamarty 2750*1830*16 Белый б/к</v>
      </c>
      <c r="K110" s="52" t="str">
        <f>IF(ISBLANK(AB110),"",AB110)</f>
        <v/>
      </c>
      <c r="L110" s="52" t="str">
        <f>IF(ISBLANK(AC110),"",AC110)</f>
        <v/>
      </c>
      <c r="M110" s="51" t="str">
        <f>IF(AA110="","",AA110)</f>
        <v/>
      </c>
      <c r="N110" s="30" t="str">
        <f>CONCATENATE(IF(E110&lt;&gt;T110,"НеРавны",),IF(AND(NOT(ISBLANK(R110)),R110&lt;&gt;T110),"Д",),IF(AND(NOT(ISBLANK(S110)),S110&lt;&gt;U110),"Ш",))</f>
        <v>ДШ</v>
      </c>
      <c r="O110" s="22">
        <f>O109+1</f>
        <v>51</v>
      </c>
      <c r="P110" s="18" t="s">
        <v>174</v>
      </c>
      <c r="Q110" s="18">
        <v>14</v>
      </c>
      <c r="R110" s="18">
        <v>744</v>
      </c>
      <c r="S110" s="18">
        <v>520</v>
      </c>
      <c r="T110" s="3">
        <v>743</v>
      </c>
      <c r="U110" s="3">
        <v>519</v>
      </c>
      <c r="V110" s="23"/>
      <c r="W110" s="23" t="s">
        <v>227</v>
      </c>
      <c r="X110" s="26" t="str">
        <f>J182</f>
        <v>ЛДСП Lamarty 2750*1830*16 Белый б/к</v>
      </c>
      <c r="Y110" s="18" t="s">
        <v>158</v>
      </c>
      <c r="Z110" s="18">
        <v>1</v>
      </c>
      <c r="AA110" s="18"/>
      <c r="AB110" s="18"/>
      <c r="AC110" s="18"/>
      <c r="AD110" s="56"/>
    </row>
    <row r="111" spans="1:30" x14ac:dyDescent="0.25">
      <c r="A111" s="9" t="str">
        <f>CONCATENATE(O111,".",LEFT(J111))</f>
        <v>52.Л</v>
      </c>
      <c r="B111" s="32" t="str">
        <f>CONCATENATE(IF(OR(Y111="Не определена",Y111,ISBLANK(Y111)),"↕",),IF(Y111="Не обязательна","±",),Q111,".",P111)</f>
        <v>14.дно (вырез)</v>
      </c>
      <c r="C111" s="54" t="str">
        <f>I182</f>
        <v>-</v>
      </c>
      <c r="D111" s="54" t="str">
        <f>I182</f>
        <v>-</v>
      </c>
      <c r="E111" s="48">
        <f>IF(M111="скрутка",T111+$Q$1,IF(M111="склейка",T111+$Q$1,IF(M111="запил торца",ROUND(T111+$P$1,0),IF(M111="запил торцов",ROUND(T111+$P$1*2,0),T111))))+IF(G111=$O$1,$P$1,)+IF(H111=$O$1,$P$1,)</f>
        <v>1111</v>
      </c>
      <c r="F111" s="48">
        <f>IF(M111="скрутка",U111+$Q$1,IF(M111="склейка",U111+$Q$1,IF(M111="запил торца",ROUND(U111+$P$1,0),IF(M111="запил торцов",ROUND(U111+$P$1*2,0),U111))))+IF(C111=$O$1,$P$1,)+IF(D111=$O$1,$P$1,)</f>
        <v>519</v>
      </c>
      <c r="G111" s="54" t="str">
        <f>I182</f>
        <v>-</v>
      </c>
      <c r="H111" s="54" t="str">
        <f>I182</f>
        <v>-</v>
      </c>
      <c r="I111" s="49">
        <f>IF(OR(M111="скрутка",M111="склейка"),Z111*2,Z111)</f>
        <v>1</v>
      </c>
      <c r="J111" s="53" t="str">
        <f>X111</f>
        <v>ЛДСП Lamarty 2750*1830*16 Белый б/к</v>
      </c>
      <c r="K111" s="52" t="str">
        <f>IF(ISBLANK(AB111),"",AB111)</f>
        <v/>
      </c>
      <c r="L111" s="52" t="str">
        <f>IF(ISBLANK(AC111),"",AC111)</f>
        <v/>
      </c>
      <c r="M111" s="51" t="str">
        <f>IF(AA111="","",AA111)</f>
        <v>Вырез;</v>
      </c>
      <c r="N111" s="30" t="str">
        <f>CONCATENATE(IF(E111&lt;&gt;T111,"НеРавны",),IF(AND(NOT(ISBLANK(R111)),R111&lt;&gt;T111),"Д",),IF(AND(NOT(ISBLANK(S111)),S111&lt;&gt;U111),"Ш",))</f>
        <v>ДШ</v>
      </c>
      <c r="O111" s="22">
        <f>O110+1</f>
        <v>52</v>
      </c>
      <c r="P111" s="18" t="s">
        <v>176</v>
      </c>
      <c r="Q111" s="18">
        <v>14</v>
      </c>
      <c r="R111" s="18">
        <v>1112</v>
      </c>
      <c r="S111" s="18">
        <v>520</v>
      </c>
      <c r="T111" s="3">
        <v>1111</v>
      </c>
      <c r="U111" s="3">
        <v>519</v>
      </c>
      <c r="V111" s="23"/>
      <c r="W111" s="23" t="s">
        <v>227</v>
      </c>
      <c r="X111" s="26" t="str">
        <f>J182</f>
        <v>ЛДСП Lamarty 2750*1830*16 Белый б/к</v>
      </c>
      <c r="Y111" s="18" t="s">
        <v>158</v>
      </c>
      <c r="Z111" s="18">
        <v>1</v>
      </c>
      <c r="AA111" s="18" t="s">
        <v>172</v>
      </c>
      <c r="AB111" s="18"/>
      <c r="AC111" s="18"/>
      <c r="AD111" s="56"/>
    </row>
    <row r="112" spans="1:30" x14ac:dyDescent="0.25">
      <c r="A112" s="9" t="str">
        <f>CONCATENATE(O112,".",LEFT(J112))</f>
        <v>53.Л</v>
      </c>
      <c r="B112" s="32" t="str">
        <f>CONCATENATE(IF(OR(Y112="Не определена",Y112,ISBLANK(Y112)),"↕",),IF(Y112="Не обязательна","±",),Q112,".",P112)</f>
        <v>14.планка</v>
      </c>
      <c r="C112" s="54" t="str">
        <f>I182</f>
        <v>-</v>
      </c>
      <c r="D112" s="54" t="str">
        <f>I182</f>
        <v>-</v>
      </c>
      <c r="E112" s="48">
        <f>IF(M112="скрутка",T112+$Q$1,IF(M112="склейка",T112+$Q$1,IF(M112="запил торца",ROUND(T112+$P$1,0),IF(M112="запил торцов",ROUND(T112+$P$1*2,0),T112))))+IF(G112=$O$1,$P$1,)+IF(H112=$O$1,$P$1,)</f>
        <v>759</v>
      </c>
      <c r="F112" s="48">
        <f>IF(M112="скрутка",U112+$Q$1,IF(M112="склейка",U112+$Q$1,IF(M112="запил торца",ROUND(U112+$P$1,0),IF(M112="запил торцов",ROUND(U112+$P$1*2,0),U112))))+IF(C112=$O$1,$P$1,)+IF(D112=$O$1,$P$1,)</f>
        <v>34</v>
      </c>
      <c r="G112" s="54" t="str">
        <f>I182</f>
        <v>-</v>
      </c>
      <c r="H112" s="54" t="str">
        <f>I182</f>
        <v>-</v>
      </c>
      <c r="I112" s="49">
        <f>IF(OR(M112="скрутка",M112="склейка"),Z112*2,Z112)</f>
        <v>1</v>
      </c>
      <c r="J112" s="53" t="str">
        <f>X112</f>
        <v>ЛДСП Lamarty 2750*1830*16 Белый б/к</v>
      </c>
      <c r="K112" s="52" t="str">
        <f>IF(ISBLANK(AB112),"",AB112)</f>
        <v/>
      </c>
      <c r="L112" s="52" t="str">
        <f>IF(ISBLANK(AC112),"",AC112)</f>
        <v/>
      </c>
      <c r="M112" s="51" t="str">
        <f>IF(AA112="","",AA112)</f>
        <v/>
      </c>
      <c r="N112" s="30" t="str">
        <f>CONCATENATE(IF(E112&lt;&gt;T112,"НеРавны",),IF(AND(NOT(ISBLANK(R112)),R112&lt;&gt;T112),"Д",),IF(AND(NOT(ISBLANK(S112)),S112&lt;&gt;U112),"Ш",))</f>
        <v>ДШ</v>
      </c>
      <c r="O112" s="22">
        <f>O111+1</f>
        <v>53</v>
      </c>
      <c r="P112" s="18" t="s">
        <v>177</v>
      </c>
      <c r="Q112" s="18">
        <v>14</v>
      </c>
      <c r="R112" s="18">
        <v>760</v>
      </c>
      <c r="S112" s="18">
        <v>35</v>
      </c>
      <c r="T112" s="3">
        <v>759</v>
      </c>
      <c r="U112" s="3">
        <v>34</v>
      </c>
      <c r="V112" s="23"/>
      <c r="W112" s="23" t="s">
        <v>227</v>
      </c>
      <c r="X112" s="26" t="str">
        <f>J182</f>
        <v>ЛДСП Lamarty 2750*1830*16 Белый б/к</v>
      </c>
      <c r="Y112" s="18" t="s">
        <v>158</v>
      </c>
      <c r="Z112" s="18">
        <v>1</v>
      </c>
      <c r="AA112" s="18"/>
      <c r="AB112" s="18"/>
      <c r="AC112" s="18"/>
      <c r="AD112" s="56"/>
    </row>
    <row r="113" spans="1:30" x14ac:dyDescent="0.25">
      <c r="A113" s="9" t="str">
        <f>CONCATENATE(O113,".",LEFT(J113))</f>
        <v>54.Л</v>
      </c>
      <c r="B113" s="32" t="str">
        <f>CONCATENATE(IF(OR(Y113="Не определена",Y113,ISBLANK(Y113)),"↕",),IF(Y113="Не обязательна","±",),Q113,".",P113)</f>
        <v>14.полка жесткая</v>
      </c>
      <c r="C113" s="47"/>
      <c r="D113" s="47"/>
      <c r="E113" s="48">
        <f>IF(M113="скрутка",T113+$Q$1,IF(M113="склейка",T113+$Q$1,IF(M113="запил торца",ROUND(T113+$P$1,0),IF(M113="запил торцов",ROUND(T113+$P$1*2,0),T113))))+IF(G113=$O$1,$P$1,)+IF(H113=$O$1,$P$1,)</f>
        <v>575</v>
      </c>
      <c r="F113" s="48">
        <f>IF(M113="скрутка",U113+$Q$1,IF(M113="склейка",U113+$Q$1,IF(M113="запил торца",ROUND(U113+$P$1,0),IF(M113="запил торцов",ROUND(U113+$P$1*2,0),U113))))+IF(C113=$O$1,$P$1,)+IF(D113=$O$1,$P$1,)</f>
        <v>488</v>
      </c>
      <c r="G113" s="54" t="str">
        <f>I182</f>
        <v>-</v>
      </c>
      <c r="H113" s="54" t="str">
        <f>I182</f>
        <v>-</v>
      </c>
      <c r="I113" s="49">
        <f>IF(OR(M113="скрутка",M113="склейка"),Z113*2,Z113)</f>
        <v>1</v>
      </c>
      <c r="J113" s="53" t="str">
        <f>X113</f>
        <v>ЛДСП Lamarty 2750*1830*16 Белый б/к</v>
      </c>
      <c r="K113" s="52" t="str">
        <f>IF(ISBLANK(AB113),"",AB113)</f>
        <v/>
      </c>
      <c r="L113" s="52" t="str">
        <f>IF(ISBLANK(AC113),"",AC113)</f>
        <v/>
      </c>
      <c r="M113" s="51" t="str">
        <f>IF(AA113="","",AA113)</f>
        <v/>
      </c>
      <c r="N113" s="30" t="str">
        <f>CONCATENATE(IF(E113&lt;&gt;T113,"НеРавны",),IF(AND(NOT(ISBLANK(R113)),R113&lt;&gt;T113),"Д",),IF(AND(NOT(ISBLANK(S113)),S113&lt;&gt;U113),"Ш",))</f>
        <v>Д</v>
      </c>
      <c r="O113" s="22">
        <f>O112+1</f>
        <v>54</v>
      </c>
      <c r="P113" s="18" t="s">
        <v>180</v>
      </c>
      <c r="Q113" s="18">
        <v>14</v>
      </c>
      <c r="R113" s="18">
        <v>576</v>
      </c>
      <c r="S113" s="18">
        <v>488</v>
      </c>
      <c r="T113" s="3">
        <v>575</v>
      </c>
      <c r="U113" s="3">
        <v>488</v>
      </c>
      <c r="V113" s="23"/>
      <c r="W113" s="23" t="s">
        <v>230</v>
      </c>
      <c r="X113" s="26" t="str">
        <f>J182</f>
        <v>ЛДСП Lamarty 2750*1830*16 Белый б/к</v>
      </c>
      <c r="Y113" s="18" t="s">
        <v>158</v>
      </c>
      <c r="Z113" s="18">
        <v>1</v>
      </c>
      <c r="AA113" s="18"/>
      <c r="AB113" s="18"/>
      <c r="AC113" s="18"/>
      <c r="AD113" s="56"/>
    </row>
    <row r="114" spans="1:30" x14ac:dyDescent="0.25">
      <c r="A114" s="9" t="str">
        <f>CONCATENATE(O114,".",LEFT(J114))</f>
        <v>55.Л</v>
      </c>
      <c r="B114" s="32" t="str">
        <f>CONCATENATE(IF(OR(Y114="Не определена",Y114,ISBLANK(Y114)),"↕",),IF(Y114="Не обязательна","±",),Q114,".",P114)</f>
        <v>14.тыльный щит</v>
      </c>
      <c r="C114" s="54" t="str">
        <f>I182</f>
        <v>-</v>
      </c>
      <c r="D114" s="54" t="str">
        <f>I182</f>
        <v>-</v>
      </c>
      <c r="E114" s="48">
        <f>IF(M114="скрутка",T114+$Q$1,IF(M114="склейка",T114+$Q$1,IF(M114="запил торца",ROUND(T114+$P$1,0),IF(M114="запил торцов",ROUND(T114+$P$1*2,0),T114))))+IF(G114=$O$1,$P$1,)+IF(H114=$O$1,$P$1,)</f>
        <v>743</v>
      </c>
      <c r="F114" s="48">
        <f>IF(M114="скрутка",U114+$Q$1,IF(M114="склейка",U114+$Q$1,IF(M114="запил торца",ROUND(U114+$P$1,0),IF(M114="запил торцов",ROUND(U114+$P$1*2,0),U114))))+IF(C114=$O$1,$P$1,)+IF(D114=$O$1,$P$1,)</f>
        <v>575</v>
      </c>
      <c r="G114" s="54" t="str">
        <f>I182</f>
        <v>-</v>
      </c>
      <c r="H114" s="54" t="str">
        <f>I182</f>
        <v>-</v>
      </c>
      <c r="I114" s="49">
        <f>IF(OR(M114="скрутка",M114="склейка"),Z114*2,Z114)</f>
        <v>1</v>
      </c>
      <c r="J114" s="53" t="str">
        <f>X114</f>
        <v>ЛДСП Lamarty 2750*1830*16 Белый б/к</v>
      </c>
      <c r="K114" s="52" t="str">
        <f>IF(ISBLANK(AB114),"",AB114)</f>
        <v/>
      </c>
      <c r="L114" s="52" t="str">
        <f>IF(ISBLANK(AC114),"",AC114)</f>
        <v/>
      </c>
      <c r="M114" s="51" t="str">
        <f>IF(AA114="","",AA114)</f>
        <v/>
      </c>
      <c r="N114" s="30" t="str">
        <f>CONCATENATE(IF(E114&lt;&gt;T114,"НеРавны",),IF(AND(NOT(ISBLANK(R114)),R114&lt;&gt;T114),"Д",),IF(AND(NOT(ISBLANK(S114)),S114&lt;&gt;U114),"Ш",))</f>
        <v>ДШ</v>
      </c>
      <c r="O114" s="22">
        <f>O113+1</f>
        <v>55</v>
      </c>
      <c r="P114" s="18" t="s">
        <v>181</v>
      </c>
      <c r="Q114" s="18">
        <v>14</v>
      </c>
      <c r="R114" s="18">
        <v>744</v>
      </c>
      <c r="S114" s="18">
        <v>576</v>
      </c>
      <c r="T114" s="3">
        <v>743</v>
      </c>
      <c r="U114" s="3">
        <v>575</v>
      </c>
      <c r="V114" s="23"/>
      <c r="W114" s="23" t="s">
        <v>227</v>
      </c>
      <c r="X114" s="26" t="str">
        <f>J182</f>
        <v>ЛДСП Lamarty 2750*1830*16 Белый б/к</v>
      </c>
      <c r="Y114" s="18" t="s">
        <v>158</v>
      </c>
      <c r="Z114" s="18">
        <v>1</v>
      </c>
      <c r="AA114" s="18"/>
      <c r="AB114" s="18"/>
      <c r="AC114" s="18"/>
      <c r="AD114" s="56"/>
    </row>
    <row r="115" spans="1:30" x14ac:dyDescent="0.25">
      <c r="A115" s="9" t="str">
        <f>CONCATENATE(O115,".",LEFT(J115))</f>
        <v>56.Л</v>
      </c>
      <c r="B115" s="32" t="str">
        <f>CONCATENATE(IF(OR(Y115="Не определена",Y115,ISBLANK(Y115)),"↕",),IF(Y115="Не обязательна","±",),Q115,".",P115)</f>
        <v>14.фронтальная царга</v>
      </c>
      <c r="C115" s="54" t="str">
        <f>I182</f>
        <v>-</v>
      </c>
      <c r="D115" s="54" t="str">
        <f>I182</f>
        <v>-</v>
      </c>
      <c r="E115" s="48">
        <f>IF(M115="скрутка",T115+$Q$1,IF(M115="склейка",T115+$Q$1,IF(M115="запил торца",ROUND(T115+$P$1,0),IF(M115="запил торцов",ROUND(T115+$P$1*2,0),T115))))+IF(G115=$O$1,$P$1,)+IF(H115=$O$1,$P$1,)</f>
        <v>574</v>
      </c>
      <c r="F115" s="48">
        <f>IF(M115="скрутка",U115+$Q$1,IF(M115="склейка",U115+$Q$1,IF(M115="запил торца",ROUND(U115+$P$1,0),IF(M115="запил торцов",ROUND(U115+$P$1*2,0),U115))))+IF(C115=$O$1,$P$1,)+IF(D115=$O$1,$P$1,)</f>
        <v>69</v>
      </c>
      <c r="G115" s="47"/>
      <c r="H115" s="47"/>
      <c r="I115" s="49">
        <f>IF(OR(M115="скрутка",M115="склейка"),Z115*2,Z115)</f>
        <v>1</v>
      </c>
      <c r="J115" s="53" t="str">
        <f>X115</f>
        <v>ЛДСП Lamarty 2750*1830*16 Белый б/к</v>
      </c>
      <c r="K115" s="52" t="str">
        <f>IF(ISBLANK(AB115),"",AB115)</f>
        <v/>
      </c>
      <c r="L115" s="52" t="str">
        <f>IF(ISBLANK(AC115),"",AC115)</f>
        <v/>
      </c>
      <c r="M115" s="51" t="str">
        <f>IF(AA115="","",AA115)</f>
        <v/>
      </c>
      <c r="N115" s="30" t="str">
        <f>CONCATENATE(IF(E115&lt;&gt;T115,"НеРавны",),IF(AND(NOT(ISBLANK(R115)),R115&lt;&gt;T115),"Д",),IF(AND(NOT(ISBLANK(S115)),S115&lt;&gt;U115),"Ш",))</f>
        <v>Ш</v>
      </c>
      <c r="O115" s="22">
        <f>O114+1</f>
        <v>56</v>
      </c>
      <c r="P115" s="18" t="s">
        <v>175</v>
      </c>
      <c r="Q115" s="18">
        <v>14</v>
      </c>
      <c r="R115" s="18">
        <v>574</v>
      </c>
      <c r="S115" s="18">
        <v>70</v>
      </c>
      <c r="T115" s="3">
        <v>574</v>
      </c>
      <c r="U115" s="3">
        <v>69</v>
      </c>
      <c r="V115" s="23"/>
      <c r="W115" s="23" t="s">
        <v>228</v>
      </c>
      <c r="X115" s="26" t="str">
        <f>J182</f>
        <v>ЛДСП Lamarty 2750*1830*16 Белый б/к</v>
      </c>
      <c r="Y115" s="18" t="s">
        <v>158</v>
      </c>
      <c r="Z115" s="18">
        <v>1</v>
      </c>
      <c r="AA115" s="18"/>
      <c r="AB115" s="18"/>
      <c r="AC115" s="18"/>
      <c r="AD115" s="56"/>
    </row>
    <row r="116" spans="1:30" x14ac:dyDescent="0.25">
      <c r="A116" s="9" t="str">
        <f>CONCATENATE(O116,".",LEFT(J116))</f>
        <v>57.Л</v>
      </c>
      <c r="B116" s="32" t="str">
        <f>CONCATENATE(IF(OR(Y116="Не определена",Y116,ISBLANK(Y116)),"↕",),IF(Y116="Не обязательна","±",),Q116,".",P116)</f>
        <v>14.фронтальный щит</v>
      </c>
      <c r="C116" s="54" t="str">
        <f>I182</f>
        <v>-</v>
      </c>
      <c r="D116" s="54" t="str">
        <f>I182</f>
        <v>-</v>
      </c>
      <c r="E116" s="48">
        <f>IF(M116="скрутка",T116+$Q$1,IF(M116="склейка",T116+$Q$1,IF(M116="запил торца",ROUND(T116+$P$1,0),IF(M116="запил торцов",ROUND(T116+$P$1*2,0),T116))))+IF(G116=$O$1,$P$1,)+IF(H116=$O$1,$P$1,)</f>
        <v>743</v>
      </c>
      <c r="F116" s="48">
        <f>IF(M116="скрутка",U116+$Q$1,IF(M116="склейка",U116+$Q$1,IF(M116="запил торца",ROUND(U116+$P$1,0),IF(M116="запил торцов",ROUND(U116+$P$1*2,0),U116))))+IF(C116=$O$1,$P$1,)+IF(D116=$O$1,$P$1,)</f>
        <v>505</v>
      </c>
      <c r="G116" s="54" t="str">
        <f>I182</f>
        <v>-</v>
      </c>
      <c r="H116" s="54" t="str">
        <f>I182</f>
        <v>-</v>
      </c>
      <c r="I116" s="49">
        <f>IF(OR(M116="скрутка",M116="склейка"),Z116*2,Z116)</f>
        <v>1</v>
      </c>
      <c r="J116" s="53" t="str">
        <f>X116</f>
        <v>ЛДСП Lamarty 2750*1830*16 Белый б/к</v>
      </c>
      <c r="K116" s="52" t="str">
        <f>IF(ISBLANK(AB116),"",AB116)</f>
        <v/>
      </c>
      <c r="L116" s="52" t="str">
        <f>IF(ISBLANK(AC116),"",AC116)</f>
        <v/>
      </c>
      <c r="M116" s="51" t="str">
        <f>IF(AA116="","",AA116)</f>
        <v/>
      </c>
      <c r="N116" s="30" t="str">
        <f>CONCATENATE(IF(E116&lt;&gt;T116,"НеРавны",),IF(AND(NOT(ISBLANK(R116)),R116&lt;&gt;T116),"Д",),IF(AND(NOT(ISBLANK(S116)),S116&lt;&gt;U116),"Ш",))</f>
        <v>ДШ</v>
      </c>
      <c r="O116" s="22">
        <f>O115+1</f>
        <v>57</v>
      </c>
      <c r="P116" s="18" t="s">
        <v>179</v>
      </c>
      <c r="Q116" s="18">
        <v>14</v>
      </c>
      <c r="R116" s="18">
        <v>744</v>
      </c>
      <c r="S116" s="18">
        <v>506</v>
      </c>
      <c r="T116" s="3">
        <v>743</v>
      </c>
      <c r="U116" s="3">
        <v>505</v>
      </c>
      <c r="V116" s="23"/>
      <c r="W116" s="23" t="s">
        <v>227</v>
      </c>
      <c r="X116" s="26" t="str">
        <f>J182</f>
        <v>ЛДСП Lamarty 2750*1830*16 Белый б/к</v>
      </c>
      <c r="Y116" s="18" t="s">
        <v>158</v>
      </c>
      <c r="Z116" s="18">
        <v>1</v>
      </c>
      <c r="AA116" s="18"/>
      <c r="AB116" s="18"/>
      <c r="AC116" s="18"/>
      <c r="AD116" s="56"/>
    </row>
    <row r="117" spans="1:30" x14ac:dyDescent="0.25">
      <c r="A117" s="9" t="str">
        <f>CONCATENATE(O117,".",LEFT(J117))</f>
        <v>58.Л</v>
      </c>
      <c r="B117" s="32" t="str">
        <f>CONCATENATE(IF(OR(Y117="Не определена",Y117,ISBLANK(Y117)),"↕",),IF(Y117="Не обязательна","±",),Q117,".",P117)</f>
        <v>14.царга</v>
      </c>
      <c r="C117" s="54" t="str">
        <f>I182</f>
        <v>-</v>
      </c>
      <c r="D117" s="54" t="str">
        <f>I182</f>
        <v>-</v>
      </c>
      <c r="E117" s="48">
        <f>IF(M117="скрутка",T117+$Q$1,IF(M117="склейка",T117+$Q$1,IF(M117="запил торца",ROUND(T117+$P$1,0),IF(M117="запил торцов",ROUND(T117+$P$1*2,0),T117))))+IF(G117=$O$1,$P$1,)+IF(H117=$O$1,$P$1,)</f>
        <v>65</v>
      </c>
      <c r="F117" s="48">
        <f>IF(M117="скрутка",U117+$Q$1,IF(M117="склейка",U117+$Q$1,IF(M117="запил торца",ROUND(U117+$P$1,0),IF(M117="запил торцов",ROUND(U117+$P$1*2,0),U117))))+IF(C117=$O$1,$P$1,)+IF(D117=$O$1,$P$1,)</f>
        <v>99</v>
      </c>
      <c r="G117" s="54" t="str">
        <f>I182</f>
        <v>-</v>
      </c>
      <c r="H117" s="54" t="str">
        <f>I182</f>
        <v>-</v>
      </c>
      <c r="I117" s="49">
        <f>IF(OR(M117="скрутка",M117="склейка"),Z117*2,Z117)</f>
        <v>1</v>
      </c>
      <c r="J117" s="53" t="str">
        <f>X117</f>
        <v>ЛДСП Lamarty 2750*1830*16 Белый б/к</v>
      </c>
      <c r="K117" s="52" t="str">
        <f>IF(ISBLANK(AB117),"",AB117)</f>
        <v/>
      </c>
      <c r="L117" s="52" t="str">
        <f>IF(ISBLANK(AC117),"",AC117)</f>
        <v/>
      </c>
      <c r="M117" s="51" t="str">
        <f>IF(AA117="","",AA117)</f>
        <v/>
      </c>
      <c r="N117" s="30" t="str">
        <f>CONCATENATE(IF(E117&lt;&gt;T117,"НеРавны",),IF(AND(NOT(ISBLANK(R117)),R117&lt;&gt;T117),"Д",),IF(AND(NOT(ISBLANK(S117)),S117&lt;&gt;U117),"Ш",))</f>
        <v>ДШ</v>
      </c>
      <c r="O117" s="22">
        <f>O116+1</f>
        <v>58</v>
      </c>
      <c r="P117" s="18" t="s">
        <v>173</v>
      </c>
      <c r="Q117" s="18">
        <v>14</v>
      </c>
      <c r="R117" s="18">
        <v>66</v>
      </c>
      <c r="S117" s="18">
        <v>100</v>
      </c>
      <c r="T117" s="3">
        <v>65</v>
      </c>
      <c r="U117" s="3">
        <v>99</v>
      </c>
      <c r="V117" s="23"/>
      <c r="W117" s="23" t="s">
        <v>227</v>
      </c>
      <c r="X117" s="26" t="str">
        <f>J182</f>
        <v>ЛДСП Lamarty 2750*1830*16 Белый б/к</v>
      </c>
      <c r="Y117" s="18" t="s">
        <v>158</v>
      </c>
      <c r="Z117" s="18">
        <v>1</v>
      </c>
      <c r="AA117" s="18"/>
      <c r="AB117" s="18"/>
      <c r="AC117" s="18"/>
      <c r="AD117" s="56"/>
    </row>
    <row r="118" spans="1:30" x14ac:dyDescent="0.25">
      <c r="A118" s="9" t="str">
        <f>CONCATENATE(O118,".",LEFT(J118))</f>
        <v>59.Л</v>
      </c>
      <c r="B118" s="32" t="str">
        <f>CONCATENATE(IF(OR(Y118="Не определена",Y118,ISBLANK(Y118)),"↕",),IF(Y118="Не обязательна","±",),Q118,".",P118)</f>
        <v>14.царга</v>
      </c>
      <c r="C118" s="54" t="str">
        <f>I182</f>
        <v>-</v>
      </c>
      <c r="D118" s="54" t="str">
        <f>I182</f>
        <v>-</v>
      </c>
      <c r="E118" s="48">
        <f>IF(M118="скрутка",T118+$Q$1,IF(M118="склейка",T118+$Q$1,IF(M118="запил торца",ROUND(T118+$P$1,0),IF(M118="запил торцов",ROUND(T118+$P$1*2,0),T118))))+IF(G118=$O$1,$P$1,)+IF(H118=$O$1,$P$1,)</f>
        <v>488</v>
      </c>
      <c r="F118" s="48">
        <f>IF(M118="скрутка",U118+$Q$1,IF(M118="склейка",U118+$Q$1,IF(M118="запил торца",ROUND(U118+$P$1,0),IF(M118="запил торцов",ROUND(U118+$P$1*2,0),U118))))+IF(C118=$O$1,$P$1,)+IF(D118=$O$1,$P$1,)</f>
        <v>99</v>
      </c>
      <c r="G118" s="47"/>
      <c r="H118" s="47"/>
      <c r="I118" s="49">
        <f>IF(OR(M118="скрутка",M118="склейка"),Z118*2,Z118)</f>
        <v>1</v>
      </c>
      <c r="J118" s="53" t="str">
        <f>X118</f>
        <v>ЛДСП Lamarty 2750*1830*16 Белый б/к</v>
      </c>
      <c r="K118" s="52" t="str">
        <f>IF(ISBLANK(AB118),"",AB118)</f>
        <v/>
      </c>
      <c r="L118" s="52" t="str">
        <f>IF(ISBLANK(AC118),"",AC118)</f>
        <v/>
      </c>
      <c r="M118" s="51" t="str">
        <f>IF(AA118="","",AA118)</f>
        <v/>
      </c>
      <c r="N118" s="30" t="str">
        <f>CONCATENATE(IF(E118&lt;&gt;T118,"НеРавны",),IF(AND(NOT(ISBLANK(R118)),R118&lt;&gt;T118),"Д",),IF(AND(NOT(ISBLANK(S118)),S118&lt;&gt;U118),"Ш",))</f>
        <v>Ш</v>
      </c>
      <c r="O118" s="22">
        <f>O117+1</f>
        <v>59</v>
      </c>
      <c r="P118" s="18" t="s">
        <v>173</v>
      </c>
      <c r="Q118" s="18">
        <v>14</v>
      </c>
      <c r="R118" s="18">
        <v>488</v>
      </c>
      <c r="S118" s="18">
        <v>100</v>
      </c>
      <c r="T118" s="3">
        <v>488</v>
      </c>
      <c r="U118" s="3">
        <v>99</v>
      </c>
      <c r="V118" s="23"/>
      <c r="W118" s="23" t="s">
        <v>228</v>
      </c>
      <c r="X118" s="26" t="str">
        <f>J182</f>
        <v>ЛДСП Lamarty 2750*1830*16 Белый б/к</v>
      </c>
      <c r="Y118" s="18" t="s">
        <v>158</v>
      </c>
      <c r="Z118" s="18">
        <v>1</v>
      </c>
      <c r="AA118" s="18"/>
      <c r="AB118" s="18"/>
      <c r="AC118" s="18"/>
      <c r="AD118" s="56"/>
    </row>
    <row r="119" spans="1:30" ht="30" x14ac:dyDescent="0.25">
      <c r="A119" s="9" t="str">
        <f>CONCATENATE(O119,".",LEFT(J119))</f>
        <v>15.М</v>
      </c>
      <c r="B119" s="32" t="str">
        <f>CONCATENATE(IF(OR(Y119="Не определена",Y119,ISBLANK(Y119)),"↕",),IF(Y119="Не обязательна","±",),Q119,".",P119)</f>
        <v>14.фасад (мыло, 901246 в торец)</v>
      </c>
      <c r="C119" s="54" t="str">
        <f>I186</f>
        <v>-</v>
      </c>
      <c r="D119" s="54" t="str">
        <f>I186</f>
        <v>-</v>
      </c>
      <c r="E119" s="48">
        <f>IF(M119="скрутка",T119+$Q$1,IF(M119="склейка",T119+$Q$1,IF(M119="запил торца",ROUND(T119+$P$1,0),IF(M119="запил торцов",ROUND(T119+$P$1*2,0),T119))))+IF(G119=$O$1,$P$1,)+IF(H119=$O$1,$P$1,)</f>
        <v>717</v>
      </c>
      <c r="F119" s="48">
        <f>IF(M119="скрутка",U119+$Q$1,IF(M119="склейка",U119+$Q$1,IF(M119="запил торца",ROUND(U119+$P$1,0),IF(M119="запил торцов",ROUND(U119+$P$1*2,0),U119))))+IF(C119=$O$1,$P$1,)+IF(D119=$O$1,$P$1,)</f>
        <v>516</v>
      </c>
      <c r="G119" s="54" t="str">
        <f>I186</f>
        <v>-</v>
      </c>
      <c r="H119" s="54" t="str">
        <f>I186</f>
        <v>-</v>
      </c>
      <c r="I119" s="49">
        <f>IF(OR(M119="скрутка",M119="склейка"),Z119*2,Z119)</f>
        <v>1</v>
      </c>
      <c r="J119" s="53" t="str">
        <f>X119</f>
        <v>МДФ 2800х2070х16 лам. Белый 2 ст. б/к</v>
      </c>
      <c r="K119" s="52" t="str">
        <f>IF(ISBLANK(AB119),"",AB119)</f>
        <v>KHR Глянец</v>
      </c>
      <c r="L119" s="52" t="str">
        <f>IF(ISBLANK(AC119),"",AC119)</f>
        <v/>
      </c>
      <c r="M119" s="51" t="str">
        <f>IF(AA119="","",AA119)</f>
        <v/>
      </c>
      <c r="N119" s="30" t="str">
        <f>CONCATENATE(IF(E119&lt;&gt;T119,"НеРавны",),IF(AND(NOT(ISBLANK(R119)),R119&lt;&gt;T119),"Д",),IF(AND(NOT(ISBLANK(S119)),S119&lt;&gt;U119),"Ш",))</f>
        <v/>
      </c>
      <c r="O119" s="22">
        <f>O108+1</f>
        <v>15</v>
      </c>
      <c r="P119" s="18" t="s">
        <v>191</v>
      </c>
      <c r="Q119" s="18">
        <v>14</v>
      </c>
      <c r="R119" s="18">
        <v>717</v>
      </c>
      <c r="S119" s="18">
        <v>516</v>
      </c>
      <c r="T119" s="3">
        <v>717</v>
      </c>
      <c r="U119" s="3">
        <v>516</v>
      </c>
      <c r="V119" s="23"/>
      <c r="W119" s="23" t="s">
        <v>229</v>
      </c>
      <c r="X119" s="26" t="str">
        <f>J186</f>
        <v>МДФ 2800х2070х16 лам. Белый 2 ст. б/к</v>
      </c>
      <c r="Y119" s="18" t="s">
        <v>158</v>
      </c>
      <c r="Z119" s="18">
        <v>1</v>
      </c>
      <c r="AA119" s="18"/>
      <c r="AB119" s="18" t="str">
        <f>K179</f>
        <v>KHR Глянец</v>
      </c>
      <c r="AC119" s="18"/>
      <c r="AD119" s="56"/>
    </row>
    <row r="120" spans="1:30" x14ac:dyDescent="0.25">
      <c r="A120" s="9" t="str">
        <f>CONCATENATE(O120,".",LEFT(J120))</f>
        <v>16.М</v>
      </c>
      <c r="B120" s="32" t="str">
        <f>CONCATENATE(IF(OR(Y120="Не определена",Y120,ISBLANK(Y120)),"↕",),IF(Y120="Не обязательна","±",),Q120,".",P120)</f>
        <v>14.фасадная планка (мыло)</v>
      </c>
      <c r="C120" s="54" t="str">
        <f>I186</f>
        <v>-</v>
      </c>
      <c r="D120" s="54" t="str">
        <f>I186</f>
        <v>-</v>
      </c>
      <c r="E120" s="48">
        <f>IF(M120="скрутка",T120+$Q$1,IF(M120="склейка",T120+$Q$1,IF(M120="запил торца",ROUND(T120+$P$1,0),IF(M120="запил торцов",ROUND(T120+$P$1*2,0),T120))))+IF(G120=$O$1,$P$1,)+IF(H120=$O$1,$P$1,)</f>
        <v>757</v>
      </c>
      <c r="F120" s="48">
        <f>IF(M120="скрутка",U120+$Q$1,IF(M120="склейка",U120+$Q$1,IF(M120="запил торца",ROUND(U120+$P$1,0),IF(M120="запил торцов",ROUND(U120+$P$1*2,0),U120))))+IF(C120=$O$1,$P$1,)+IF(D120=$O$1,$P$1,)</f>
        <v>49</v>
      </c>
      <c r="G120" s="54" t="str">
        <f>I186</f>
        <v>-</v>
      </c>
      <c r="H120" s="54" t="str">
        <f>I186</f>
        <v>-</v>
      </c>
      <c r="I120" s="49">
        <f>IF(OR(M120="скрутка",M120="склейка"),Z120*2,Z120)</f>
        <v>1</v>
      </c>
      <c r="J120" s="53" t="str">
        <f>X120</f>
        <v>МДФ 2800х2070х16 лам. Белый 2 ст. б/к</v>
      </c>
      <c r="K120" s="52" t="str">
        <f>IF(ISBLANK(AB120),"",AB120)</f>
        <v>KHR Глянец</v>
      </c>
      <c r="L120" s="52" t="str">
        <f>IF(ISBLANK(AC120),"",AC120)</f>
        <v/>
      </c>
      <c r="M120" s="51" t="str">
        <f>IF(AA120="","",AA120)</f>
        <v/>
      </c>
      <c r="N120" s="30" t="str">
        <f>CONCATENATE(IF(E120&lt;&gt;T120,"НеРавны",),IF(AND(NOT(ISBLANK(R120)),R120&lt;&gt;T120),"Д",),IF(AND(NOT(ISBLANK(S120)),S120&lt;&gt;U120),"Ш",))</f>
        <v/>
      </c>
      <c r="O120" s="22">
        <f>O119+1</f>
        <v>16</v>
      </c>
      <c r="P120" s="18" t="s">
        <v>178</v>
      </c>
      <c r="Q120" s="18">
        <v>14</v>
      </c>
      <c r="R120" s="18">
        <v>757</v>
      </c>
      <c r="S120" s="18">
        <v>49</v>
      </c>
      <c r="T120" s="3">
        <v>757</v>
      </c>
      <c r="U120" s="3">
        <v>49</v>
      </c>
      <c r="V120" s="23"/>
      <c r="W120" s="23" t="s">
        <v>229</v>
      </c>
      <c r="X120" s="26" t="str">
        <f>J186</f>
        <v>МДФ 2800х2070х16 лам. Белый 2 ст. б/к</v>
      </c>
      <c r="Y120" s="18" t="s">
        <v>158</v>
      </c>
      <c r="Z120" s="18">
        <v>1</v>
      </c>
      <c r="AA120" s="18"/>
      <c r="AB120" s="18" t="str">
        <f>K179</f>
        <v>KHR Глянец</v>
      </c>
      <c r="AC120" s="18"/>
      <c r="AD120" s="56"/>
    </row>
    <row r="121" spans="1:30" x14ac:dyDescent="0.25">
      <c r="A121" s="9" t="str">
        <f>CONCATENATE(O121,".",LEFT(J121))</f>
        <v>17.М</v>
      </c>
      <c r="B121" s="32" t="str">
        <f>CONCATENATE(IF(OR(Y121="Не определена",Y121,ISBLANK(Y121)),"↕",),IF(Y121="Не обязательна","±",),Q121,".",P121)</f>
        <v>14.фасадная планка (мыло)</v>
      </c>
      <c r="C121" s="54" t="str">
        <f>I186</f>
        <v>-</v>
      </c>
      <c r="D121" s="54" t="str">
        <f>I186</f>
        <v>-</v>
      </c>
      <c r="E121" s="48">
        <f>IF(M121="скрутка",T121+$Q$1,IF(M121="склейка",T121+$Q$1,IF(M121="запил торца",ROUND(T121+$P$1,0),IF(M121="запил торцов",ROUND(T121+$P$1*2,0),T121))))+IF(G121=$O$1,$P$1,)+IF(H121=$O$1,$P$1,)</f>
        <v>757</v>
      </c>
      <c r="F121" s="48">
        <f>IF(M121="скрутка",U121+$Q$1,IF(M121="склейка",U121+$Q$1,IF(M121="запил торца",ROUND(U121+$P$1,0),IF(M121="запил торцов",ROUND(U121+$P$1*2,0),U121))))+IF(C121=$O$1,$P$1,)+IF(D121=$O$1,$P$1,)</f>
        <v>100</v>
      </c>
      <c r="G121" s="54" t="str">
        <f>I186</f>
        <v>-</v>
      </c>
      <c r="H121" s="54" t="str">
        <f>I186</f>
        <v>-</v>
      </c>
      <c r="I121" s="49">
        <f>IF(OR(M121="скрутка",M121="склейка"),Z121*2,Z121)</f>
        <v>1</v>
      </c>
      <c r="J121" s="53" t="str">
        <f>X121</f>
        <v>МДФ 2800х2070х16 лам. Белый 2 ст. б/к</v>
      </c>
      <c r="K121" s="52" t="str">
        <f>IF(ISBLANK(AB121),"",AB121)</f>
        <v>KHR Глянец</v>
      </c>
      <c r="L121" s="52" t="str">
        <f>IF(ISBLANK(AC121),"",AC121)</f>
        <v/>
      </c>
      <c r="M121" s="51" t="str">
        <f>IF(AA121="","",AA121)</f>
        <v/>
      </c>
      <c r="N121" s="30" t="str">
        <f>CONCATENATE(IF(E121&lt;&gt;T121,"НеРавны",),IF(AND(NOT(ISBLANK(R121)),R121&lt;&gt;T121),"Д",),IF(AND(NOT(ISBLANK(S121)),S121&lt;&gt;U121),"Ш",))</f>
        <v/>
      </c>
      <c r="O121" s="22">
        <f>O120+1</f>
        <v>17</v>
      </c>
      <c r="P121" s="18" t="s">
        <v>178</v>
      </c>
      <c r="Q121" s="18">
        <v>14</v>
      </c>
      <c r="R121" s="18">
        <v>757</v>
      </c>
      <c r="S121" s="18">
        <v>100</v>
      </c>
      <c r="T121" s="3">
        <v>757</v>
      </c>
      <c r="U121" s="3">
        <v>100</v>
      </c>
      <c r="V121" s="23"/>
      <c r="W121" s="23" t="s">
        <v>229</v>
      </c>
      <c r="X121" s="26" t="str">
        <f>J186</f>
        <v>МДФ 2800х2070х16 лам. Белый 2 ст. б/к</v>
      </c>
      <c r="Y121" s="18" t="s">
        <v>158</v>
      </c>
      <c r="Z121" s="18">
        <v>1</v>
      </c>
      <c r="AA121" s="18"/>
      <c r="AB121" s="18" t="str">
        <f>K179</f>
        <v>KHR Глянец</v>
      </c>
      <c r="AC121" s="18"/>
      <c r="AD121" s="56"/>
    </row>
    <row r="122" spans="1:30" x14ac:dyDescent="0.25">
      <c r="A122" s="9" t="str">
        <f>CONCATENATE(O122,".",LEFT(J122))</f>
        <v>11.X</v>
      </c>
      <c r="B122" s="32" t="str">
        <f>CONCATENATE(IF(OR(Y122="Не определена",Y122,ISBLANK(Y122)),"↕",),IF(Y122="Не обязательна","±",),Q122,".",P122)</f>
        <v>15.задняя стенка</v>
      </c>
      <c r="C122" s="47"/>
      <c r="D122" s="47"/>
      <c r="E122" s="48">
        <f>IF(M122="скрутка",T122+$Q$1,IF(M122="склейка",T122+$Q$1,IF(M122="запил торца",ROUND(T122+$P$1,0),IF(M122="запил торцов",ROUND(T122+$P$1*2,0),T122))))+IF(G122=$O$1,$P$1,)+IF(H122=$O$1,$P$1,)</f>
        <v>742</v>
      </c>
      <c r="F122" s="48">
        <f>IF(M122="скрутка",U122+$Q$1,IF(M122="склейка",U122+$Q$1,IF(M122="запил торца",ROUND(U122+$P$1,0),IF(M122="запил торцов",ROUND(U122+$P$1*2,0),U122))))+IF(C122=$O$1,$P$1,)+IF(D122=$O$1,$P$1,)</f>
        <v>566</v>
      </c>
      <c r="G122" s="47"/>
      <c r="H122" s="47"/>
      <c r="I122" s="49">
        <f>IF(OR(M122="скрутка",M122="склейка"),Z122*2,Z122)</f>
        <v>1</v>
      </c>
      <c r="J122" s="111" t="str">
        <f>X122</f>
        <v>XДФ 2800*2070*4 Белый б/к</v>
      </c>
      <c r="K122" s="52" t="str">
        <f>IF(ISBLANK(AB122),"",AB122)</f>
        <v/>
      </c>
      <c r="L122" s="52" t="str">
        <f>IF(ISBLANK(AC122),"",AC122)</f>
        <v/>
      </c>
      <c r="M122" s="51" t="str">
        <f>IF(AA122="","",AA122)</f>
        <v/>
      </c>
      <c r="N122" s="30" t="str">
        <f>CONCATENATE(IF(E122&lt;&gt;T122,"НеРавны",),IF(AND(NOT(ISBLANK(R122)),R122&lt;&gt;T122),"Д",),IF(AND(NOT(ISBLANK(S122)),S122&lt;&gt;U122),"Ш",))</f>
        <v/>
      </c>
      <c r="O122" s="22">
        <f>O89+1</f>
        <v>11</v>
      </c>
      <c r="P122" s="18" t="s">
        <v>189</v>
      </c>
      <c r="Q122" s="18">
        <v>15</v>
      </c>
      <c r="R122" s="18">
        <v>742</v>
      </c>
      <c r="S122" s="18">
        <v>566</v>
      </c>
      <c r="T122" s="3">
        <v>742</v>
      </c>
      <c r="U122" s="3">
        <v>566</v>
      </c>
      <c r="V122" s="23"/>
      <c r="W122" s="23" t="s">
        <v>164</v>
      </c>
      <c r="X122" s="26" t="str">
        <f>X89</f>
        <v>XДФ 2800*2070*4 Белый б/к</v>
      </c>
      <c r="Y122" s="18" t="s">
        <v>158</v>
      </c>
      <c r="Z122" s="18">
        <v>1</v>
      </c>
      <c r="AA122" s="18"/>
      <c r="AB122" s="18"/>
      <c r="AC122" s="18"/>
      <c r="AD122" s="56"/>
    </row>
    <row r="123" spans="1:30" x14ac:dyDescent="0.25">
      <c r="A123" s="9" t="str">
        <f>CONCATENATE(O123,".",LEFT(J123))</f>
        <v>60.Л</v>
      </c>
      <c r="B123" s="32" t="str">
        <f>CONCATENATE(IF(OR(Y123="Не определена",Y123,ISBLANK(Y123)),"↕",),IF(Y123="Не обязательна","±",),Q123,".",P123)</f>
        <v>15.бок (паз_10)</v>
      </c>
      <c r="C123" s="54" t="str">
        <f>I182</f>
        <v>-</v>
      </c>
      <c r="D123" s="54" t="str">
        <f>I182</f>
        <v>-</v>
      </c>
      <c r="E123" s="48">
        <f>IF(M123="скрутка",T123+$Q$1,IF(M123="склейка",T123+$Q$1,IF(M123="запил торца",ROUND(T123+$P$1,0),IF(M123="запил торцов",ROUND(T123+$P$1*2,0),T123))))+IF(G123=$O$1,$P$1,)+IF(H123=$O$1,$P$1,)</f>
        <v>743</v>
      </c>
      <c r="F123" s="48">
        <f>IF(M123="скрутка",U123+$Q$1,IF(M123="склейка",U123+$Q$1,IF(M123="запил торца",ROUND(U123+$P$1,0),IF(M123="запил торцов",ROUND(U123+$P$1*2,0),U123))))+IF(C123=$O$1,$P$1,)+IF(D123=$O$1,$P$1,)</f>
        <v>559</v>
      </c>
      <c r="G123" s="54" t="str">
        <f>I182</f>
        <v>-</v>
      </c>
      <c r="H123" s="54" t="str">
        <f>I182</f>
        <v>-</v>
      </c>
      <c r="I123" s="49">
        <f>IF(OR(M123="скрутка",M123="склейка"),Z123*2,Z123)</f>
        <v>1</v>
      </c>
      <c r="J123" s="53" t="str">
        <f>X123</f>
        <v>ЛДСП Lamarty 2750*1830*16 Белый б/к</v>
      </c>
      <c r="K123" s="52" t="str">
        <f>IF(ISBLANK(AB123),"",AB123)</f>
        <v/>
      </c>
      <c r="L123" s="52" t="str">
        <f>IF(ISBLANK(AC123),"",AC123)</f>
        <v/>
      </c>
      <c r="M123" s="51" t="str">
        <f>IF(AA123="","",AA123)</f>
        <v>паз ХДФ*anna(по длине);</v>
      </c>
      <c r="N123" s="30" t="str">
        <f>CONCATENATE(IF(E123&lt;&gt;T123,"НеРавны",),IF(AND(NOT(ISBLANK(R123)),R123&lt;&gt;T123),"Д",),IF(AND(NOT(ISBLANK(S123)),S123&lt;&gt;U123),"Ш",))</f>
        <v>ДШ</v>
      </c>
      <c r="O123" s="22">
        <f>O118+1</f>
        <v>60</v>
      </c>
      <c r="P123" s="18" t="s">
        <v>187</v>
      </c>
      <c r="Q123" s="18">
        <v>15</v>
      </c>
      <c r="R123" s="18">
        <v>744</v>
      </c>
      <c r="S123" s="18">
        <v>560</v>
      </c>
      <c r="T123" s="3">
        <v>743</v>
      </c>
      <c r="U123" s="3">
        <v>559</v>
      </c>
      <c r="V123" s="23"/>
      <c r="W123" s="23" t="s">
        <v>227</v>
      </c>
      <c r="X123" s="26" t="str">
        <f>J182</f>
        <v>ЛДСП Lamarty 2750*1830*16 Белый б/к</v>
      </c>
      <c r="Y123" s="18" t="s">
        <v>158</v>
      </c>
      <c r="Z123" s="18">
        <v>1</v>
      </c>
      <c r="AA123" s="18" t="s">
        <v>188</v>
      </c>
      <c r="AB123" s="18"/>
      <c r="AC123" s="18"/>
      <c r="AD123" s="56"/>
    </row>
    <row r="124" spans="1:30" x14ac:dyDescent="0.25">
      <c r="A124" s="9" t="str">
        <f>CONCATENATE(O124,".",LEFT(J124))</f>
        <v>61.Л</v>
      </c>
      <c r="B124" s="32" t="str">
        <f>CONCATENATE(IF(OR(Y124="Не определена",Y124,ISBLANK(Y124)),"↕",),IF(Y124="Не обязательна","±",),Q124,".",P124)</f>
        <v>15.бок (паз_10)</v>
      </c>
      <c r="C124" s="54" t="str">
        <f>I182</f>
        <v>-</v>
      </c>
      <c r="D124" s="54" t="str">
        <f>I182</f>
        <v>-</v>
      </c>
      <c r="E124" s="48">
        <f>IF(M124="скрутка",T124+$Q$1,IF(M124="склейка",T124+$Q$1,IF(M124="запил торца",ROUND(T124+$P$1,0),IF(M124="запил торцов",ROUND(T124+$P$1*2,0),T124))))+IF(G124=$O$1,$P$1,)+IF(H124=$O$1,$P$1,)</f>
        <v>743</v>
      </c>
      <c r="F124" s="48">
        <f>IF(M124="скрутка",U124+$Q$1,IF(M124="склейка",U124+$Q$1,IF(M124="запил торца",ROUND(U124+$P$1,0),IF(M124="запил торцов",ROUND(U124+$P$1*2,0),U124))))+IF(C124=$O$1,$P$1,)+IF(D124=$O$1,$P$1,)</f>
        <v>559</v>
      </c>
      <c r="G124" s="54" t="str">
        <f>I182</f>
        <v>-</v>
      </c>
      <c r="H124" s="54" t="str">
        <f>I182</f>
        <v>-</v>
      </c>
      <c r="I124" s="49">
        <f>IF(OR(M124="скрутка",M124="склейка"),Z124*2,Z124)</f>
        <v>1</v>
      </c>
      <c r="J124" s="53" t="str">
        <f>X124</f>
        <v>ЛДСП Lamarty 2750*1830*16 Белый б/к</v>
      </c>
      <c r="K124" s="52" t="str">
        <f>IF(ISBLANK(AB124),"",AB124)</f>
        <v/>
      </c>
      <c r="L124" s="52" t="str">
        <f>IF(ISBLANK(AC124),"",AC124)</f>
        <v/>
      </c>
      <c r="M124" s="51" t="str">
        <f>IF(AA124="","",AA124)</f>
        <v>паз ХДФ*anna(по длине);</v>
      </c>
      <c r="N124" s="30" t="str">
        <f>CONCATENATE(IF(E124&lt;&gt;T124,"НеРавны",),IF(AND(NOT(ISBLANK(R124)),R124&lt;&gt;T124),"Д",),IF(AND(NOT(ISBLANK(S124)),S124&lt;&gt;U124),"Ш",))</f>
        <v>ДШ</v>
      </c>
      <c r="O124" s="22">
        <f>O123+1</f>
        <v>61</v>
      </c>
      <c r="P124" s="18" t="s">
        <v>187</v>
      </c>
      <c r="Q124" s="18">
        <v>15</v>
      </c>
      <c r="R124" s="18">
        <v>744</v>
      </c>
      <c r="S124" s="18">
        <v>560</v>
      </c>
      <c r="T124" s="3">
        <v>743</v>
      </c>
      <c r="U124" s="3">
        <v>559</v>
      </c>
      <c r="V124" s="23"/>
      <c r="W124" s="23" t="s">
        <v>227</v>
      </c>
      <c r="X124" s="26" t="str">
        <f>J182</f>
        <v>ЛДСП Lamarty 2750*1830*16 Белый б/к</v>
      </c>
      <c r="Y124" s="18" t="s">
        <v>158</v>
      </c>
      <c r="Z124" s="18">
        <v>1</v>
      </c>
      <c r="AA124" s="18" t="s">
        <v>188</v>
      </c>
      <c r="AB124" s="18"/>
      <c r="AC124" s="18"/>
      <c r="AD124" s="56"/>
    </row>
    <row r="125" spans="1:30" x14ac:dyDescent="0.25">
      <c r="A125" s="9" t="str">
        <f>CONCATENATE(O125,".",LEFT(J125))</f>
        <v>62.Л</v>
      </c>
      <c r="B125" s="32" t="str">
        <f>CONCATENATE(IF(OR(Y125="Не определена",Y125,ISBLANK(Y125)),"↕",),IF(Y125="Не обязательна","±",),Q125,".",P125)</f>
        <v>15.дно (паз_10)</v>
      </c>
      <c r="C125" s="54" t="str">
        <f>I182</f>
        <v>-</v>
      </c>
      <c r="D125" s="54" t="str">
        <f>I182</f>
        <v>-</v>
      </c>
      <c r="E125" s="48">
        <f>IF(M125="скрутка",T125+$Q$1,IF(M125="склейка",T125+$Q$1,IF(M125="запил торца",ROUND(T125+$P$1,0),IF(M125="запил торцов",ROUND(T125+$P$1*2,0),T125))))+IF(G125=$O$1,$P$1,)+IF(H125=$O$1,$P$1,)</f>
        <v>583</v>
      </c>
      <c r="F125" s="48">
        <f>IF(M125="скрутка",U125+$Q$1,IF(M125="склейка",U125+$Q$1,IF(M125="запил торца",ROUND(U125+$P$1,0),IF(M125="запил торцов",ROUND(U125+$P$1*2,0),U125))))+IF(C125=$O$1,$P$1,)+IF(D125=$O$1,$P$1,)</f>
        <v>559</v>
      </c>
      <c r="G125" s="54" t="str">
        <f>I182</f>
        <v>-</v>
      </c>
      <c r="H125" s="54" t="str">
        <f>I182</f>
        <v>-</v>
      </c>
      <c r="I125" s="49">
        <f>IF(OR(M125="скрутка",M125="склейка"),Z125*2,Z125)</f>
        <v>1</v>
      </c>
      <c r="J125" s="53" t="str">
        <f>X125</f>
        <v>ЛДСП Lamarty 2750*1830*16 Белый б/к</v>
      </c>
      <c r="K125" s="52" t="str">
        <f>IF(ISBLANK(AB125),"",AB125)</f>
        <v/>
      </c>
      <c r="L125" s="52" t="str">
        <f>IF(ISBLANK(AC125),"",AC125)</f>
        <v/>
      </c>
      <c r="M125" s="51" t="str">
        <f>IF(AA125="","",AA125)</f>
        <v>паз ХДФ*anna(по длине);</v>
      </c>
      <c r="N125" s="30" t="str">
        <f>CONCATENATE(IF(E125&lt;&gt;T125,"НеРавны",),IF(AND(NOT(ISBLANK(R125)),R125&lt;&gt;T125),"Д",),IF(AND(NOT(ISBLANK(S125)),S125&lt;&gt;U125),"Ш",))</f>
        <v>ДШ</v>
      </c>
      <c r="O125" s="22">
        <f>O124+1</f>
        <v>62</v>
      </c>
      <c r="P125" s="18" t="s">
        <v>190</v>
      </c>
      <c r="Q125" s="18">
        <v>15</v>
      </c>
      <c r="R125" s="18">
        <v>584</v>
      </c>
      <c r="S125" s="18">
        <v>560</v>
      </c>
      <c r="T125" s="3">
        <v>583</v>
      </c>
      <c r="U125" s="3">
        <v>559</v>
      </c>
      <c r="V125" s="23"/>
      <c r="W125" s="23" t="s">
        <v>227</v>
      </c>
      <c r="X125" s="26" t="str">
        <f>J182</f>
        <v>ЛДСП Lamarty 2750*1830*16 Белый б/к</v>
      </c>
      <c r="Y125" s="18" t="s">
        <v>158</v>
      </c>
      <c r="Z125" s="18">
        <v>1</v>
      </c>
      <c r="AA125" s="18" t="s">
        <v>188</v>
      </c>
      <c r="AB125" s="18"/>
      <c r="AC125" s="18"/>
      <c r="AD125" s="56"/>
    </row>
    <row r="126" spans="1:30" x14ac:dyDescent="0.25">
      <c r="A126" s="9" t="str">
        <f>CONCATENATE(O126,".",LEFT(J126))</f>
        <v>63.Л</v>
      </c>
      <c r="B126" s="32" t="str">
        <f>CONCATENATE(IF(OR(Y126="Не определена",Y126,ISBLANK(Y126)),"↕",),IF(Y126="Не обязательна","±",),Q126,".",P126)</f>
        <v>15.дно ящика</v>
      </c>
      <c r="C126" s="54" t="str">
        <f>I182</f>
        <v>-</v>
      </c>
      <c r="D126" s="54" t="str">
        <f>I182</f>
        <v>-</v>
      </c>
      <c r="E126" s="48">
        <f>IF(M126="скрутка",T126+$Q$1,IF(M126="склейка",T126+$Q$1,IF(M126="запил торца",ROUND(T126+$P$1,0),IF(M126="запил торцов",ROUND(T126+$P$1*2,0),T126))))+IF(G126=$O$1,$P$1,)+IF(H126=$O$1,$P$1,)</f>
        <v>477</v>
      </c>
      <c r="F126" s="48">
        <f>IF(M126="скрутка",U126+$Q$1,IF(M126="склейка",U126+$Q$1,IF(M126="запил торца",ROUND(U126+$P$1,0),IF(M126="запил торцов",ROUND(U126+$P$1*2,0),U126))))+IF(C126=$O$1,$P$1,)+IF(D126=$O$1,$P$1,)</f>
        <v>475</v>
      </c>
      <c r="G126" s="47"/>
      <c r="H126" s="47"/>
      <c r="I126" s="49">
        <f>IF(OR(M126="скрутка",M126="склейка"),Z126*2,Z126)</f>
        <v>2</v>
      </c>
      <c r="J126" s="53" t="str">
        <f>X126</f>
        <v>ЛДСП Lamarty 2750*1830*16 Белый б/к</v>
      </c>
      <c r="K126" s="52" t="str">
        <f>IF(ISBLANK(AB126),"",AB126)</f>
        <v/>
      </c>
      <c r="L126" s="52" t="str">
        <f>IF(ISBLANK(AC126),"",AC126)</f>
        <v/>
      </c>
      <c r="M126" s="51" t="str">
        <f>IF(AA126="","",AA126)</f>
        <v/>
      </c>
      <c r="N126" s="30" t="str">
        <f>CONCATENATE(IF(E126&lt;&gt;T126,"НеРавны",),IF(AND(NOT(ISBLANK(R126)),R126&lt;&gt;T126),"Д",),IF(AND(NOT(ISBLANK(S126)),S126&lt;&gt;U126),"Ш",))</f>
        <v>Ш</v>
      </c>
      <c r="O126" s="22">
        <f>O125+1</f>
        <v>63</v>
      </c>
      <c r="P126" s="18" t="s">
        <v>182</v>
      </c>
      <c r="Q126" s="18">
        <v>15</v>
      </c>
      <c r="R126" s="18">
        <v>477</v>
      </c>
      <c r="S126" s="18">
        <v>476</v>
      </c>
      <c r="T126" s="3">
        <v>477</v>
      </c>
      <c r="U126" s="3">
        <v>475</v>
      </c>
      <c r="V126" s="23"/>
      <c r="W126" s="23" t="s">
        <v>228</v>
      </c>
      <c r="X126" s="26" t="str">
        <f>J182</f>
        <v>ЛДСП Lamarty 2750*1830*16 Белый б/к</v>
      </c>
      <c r="Y126" s="18" t="s">
        <v>158</v>
      </c>
      <c r="Z126" s="18">
        <v>2</v>
      </c>
      <c r="AA126" s="18"/>
      <c r="AB126" s="18"/>
      <c r="AC126" s="18"/>
      <c r="AD126" s="56"/>
    </row>
    <row r="127" spans="1:30" x14ac:dyDescent="0.25">
      <c r="A127" s="9" t="str">
        <f>CONCATENATE(O127,".",LEFT(J127))</f>
        <v>64.Л</v>
      </c>
      <c r="B127" s="32" t="str">
        <f>CONCATENATE(IF(OR(Y127="Не определена",Y127,ISBLANK(Y127)),"↕",),IF(Y127="Не обязательна","±",),Q127,".",P127)</f>
        <v>15.тыл ящика</v>
      </c>
      <c r="C127" s="54" t="str">
        <f>I182</f>
        <v>-</v>
      </c>
      <c r="D127" s="54" t="str">
        <f>I182</f>
        <v>-</v>
      </c>
      <c r="E127" s="48">
        <f>IF(M127="скрутка",T127+$Q$1,IF(M127="склейка",T127+$Q$1,IF(M127="запил торца",ROUND(T127+$P$1,0),IF(M127="запил торцов",ROUND(T127+$P$1*2,0),T127))))+IF(G127=$O$1,$P$1,)+IF(H127=$O$1,$P$1,)</f>
        <v>465</v>
      </c>
      <c r="F127" s="48">
        <f>IF(M127="скрутка",U127+$Q$1,IF(M127="склейка",U127+$Q$1,IF(M127="запил торца",ROUND(U127+$P$1,0),IF(M127="запил торцов",ROUND(U127+$P$1*2,0),U127))))+IF(C127=$O$1,$P$1,)+IF(D127=$O$1,$P$1,)</f>
        <v>198</v>
      </c>
      <c r="G127" s="47"/>
      <c r="H127" s="47"/>
      <c r="I127" s="49">
        <f>IF(OR(M127="скрутка",M127="склейка"),Z127*2,Z127)</f>
        <v>2</v>
      </c>
      <c r="J127" s="53" t="str">
        <f>X127</f>
        <v>ЛДСП Lamarty 2750*1830*16 Белый б/к</v>
      </c>
      <c r="K127" s="52" t="str">
        <f>IF(ISBLANK(AB127),"",AB127)</f>
        <v/>
      </c>
      <c r="L127" s="52" t="str">
        <f>IF(ISBLANK(AC127),"",AC127)</f>
        <v/>
      </c>
      <c r="M127" s="51" t="str">
        <f>IF(AA127="","",AA127)</f>
        <v/>
      </c>
      <c r="N127" s="30" t="str">
        <f>CONCATENATE(IF(E127&lt;&gt;T127,"НеРавны",),IF(AND(NOT(ISBLANK(R127)),R127&lt;&gt;T127),"Д",),IF(AND(NOT(ISBLANK(S127)),S127&lt;&gt;U127),"Ш",))</f>
        <v>Ш</v>
      </c>
      <c r="O127" s="22">
        <f>O126+1</f>
        <v>64</v>
      </c>
      <c r="P127" s="18" t="s">
        <v>183</v>
      </c>
      <c r="Q127" s="18">
        <v>15</v>
      </c>
      <c r="R127" s="18">
        <v>465</v>
      </c>
      <c r="S127" s="18">
        <v>199</v>
      </c>
      <c r="T127" s="3">
        <v>465</v>
      </c>
      <c r="U127" s="3">
        <v>198</v>
      </c>
      <c r="V127" s="23"/>
      <c r="W127" s="23" t="s">
        <v>228</v>
      </c>
      <c r="X127" s="26" t="str">
        <f>J182</f>
        <v>ЛДСП Lamarty 2750*1830*16 Белый б/к</v>
      </c>
      <c r="Y127" s="18" t="s">
        <v>158</v>
      </c>
      <c r="Z127" s="18">
        <v>2</v>
      </c>
      <c r="AA127" s="18"/>
      <c r="AB127" s="18"/>
      <c r="AC127" s="18"/>
      <c r="AD127" s="56"/>
    </row>
    <row r="128" spans="1:30" x14ac:dyDescent="0.25">
      <c r="A128" s="9" t="str">
        <f>CONCATENATE(O128,".",LEFT(J128))</f>
        <v>65.Л</v>
      </c>
      <c r="B128" s="32" t="str">
        <f>CONCATENATE(IF(OR(Y128="Не определена",Y128,ISBLANK(Y128)),"↕",),IF(Y128="Не обязательна","±",),Q128,".",P128)</f>
        <v>15.фальш горизонт</v>
      </c>
      <c r="C128" s="54" t="str">
        <f>I182</f>
        <v>-</v>
      </c>
      <c r="D128" s="54" t="str">
        <f>I182</f>
        <v>-</v>
      </c>
      <c r="E128" s="48">
        <f>IF(M128="скрутка",T128+$Q$1,IF(M128="склейка",T128+$Q$1,IF(M128="запил торца",ROUND(T128+$P$1,0),IF(M128="запил торцов",ROUND(T128+$P$1*2,0),T128))))+IF(G128=$O$1,$P$1,)+IF(H128=$O$1,$P$1,)</f>
        <v>552</v>
      </c>
      <c r="F128" s="48">
        <f>IF(M128="скрутка",U128+$Q$1,IF(M128="склейка",U128+$Q$1,IF(M128="запил торца",ROUND(U128+$P$1,0),IF(M128="запил торцов",ROUND(U128+$P$1*2,0),U128))))+IF(C128=$O$1,$P$1,)+IF(D128=$O$1,$P$1,)</f>
        <v>99</v>
      </c>
      <c r="G128" s="47"/>
      <c r="H128" s="47"/>
      <c r="I128" s="49">
        <f>IF(OR(M128="скрутка",M128="склейка"),Z128*2,Z128)</f>
        <v>1</v>
      </c>
      <c r="J128" s="53" t="str">
        <f>X128</f>
        <v>ЛДСП Lamarty 2750*1830*16 Белый б/к</v>
      </c>
      <c r="K128" s="52" t="str">
        <f>IF(ISBLANK(AB128),"",AB128)</f>
        <v/>
      </c>
      <c r="L128" s="52" t="str">
        <f>IF(ISBLANK(AC128),"",AC128)</f>
        <v/>
      </c>
      <c r="M128" s="51" t="str">
        <f>IF(AA128="","",AA128)</f>
        <v/>
      </c>
      <c r="N128" s="30" t="str">
        <f>CONCATENATE(IF(E128&lt;&gt;T128,"НеРавны",),IF(AND(NOT(ISBLANK(R128)),R128&lt;&gt;T128),"Д",),IF(AND(NOT(ISBLANK(S128)),S128&lt;&gt;U128),"Ш",))</f>
        <v>Ш</v>
      </c>
      <c r="O128" s="22">
        <f>O127+1</f>
        <v>65</v>
      </c>
      <c r="P128" s="18" t="s">
        <v>186</v>
      </c>
      <c r="Q128" s="18">
        <v>15</v>
      </c>
      <c r="R128" s="18">
        <v>552</v>
      </c>
      <c r="S128" s="18">
        <v>100</v>
      </c>
      <c r="T128" s="3">
        <v>552</v>
      </c>
      <c r="U128" s="3">
        <v>99</v>
      </c>
      <c r="V128" s="23"/>
      <c r="W128" s="23" t="s">
        <v>228</v>
      </c>
      <c r="X128" s="26" t="str">
        <f>J182</f>
        <v>ЛДСП Lamarty 2750*1830*16 Белый б/к</v>
      </c>
      <c r="Y128" s="18" t="s">
        <v>158</v>
      </c>
      <c r="Z128" s="18">
        <v>1</v>
      </c>
      <c r="AA128" s="18"/>
      <c r="AB128" s="18"/>
      <c r="AC128" s="18"/>
      <c r="AD128" s="56"/>
    </row>
    <row r="129" spans="1:30" x14ac:dyDescent="0.25">
      <c r="A129" s="9" t="str">
        <f>CONCATENATE(O129,".",LEFT(J129))</f>
        <v>66.Л</v>
      </c>
      <c r="B129" s="32" t="str">
        <f>CONCATENATE(IF(OR(Y129="Не определена",Y129,ISBLANK(Y129)),"↕",),IF(Y129="Не обязательна","±",),Q129,".",P129)</f>
        <v>15.фальш горизонт</v>
      </c>
      <c r="C129" s="54" t="str">
        <f>I182</f>
        <v>-</v>
      </c>
      <c r="D129" s="54" t="str">
        <f>I182</f>
        <v>-</v>
      </c>
      <c r="E129" s="48">
        <f>IF(M129="скрутка",T129+$Q$1,IF(M129="склейка",T129+$Q$1,IF(M129="запил торца",ROUND(T129+$P$1,0),IF(M129="запил торцов",ROUND(T129+$P$1*2,0),T129))))+IF(G129=$O$1,$P$1,)+IF(H129=$O$1,$P$1,)</f>
        <v>552</v>
      </c>
      <c r="F129" s="48">
        <f>IF(M129="скрутка",U129+$Q$1,IF(M129="склейка",U129+$Q$1,IF(M129="запил торца",ROUND(U129+$P$1,0),IF(M129="запил торцов",ROUND(U129+$P$1*2,0),U129))))+IF(C129=$O$1,$P$1,)+IF(D129=$O$1,$P$1,)</f>
        <v>99</v>
      </c>
      <c r="G129" s="47"/>
      <c r="H129" s="47"/>
      <c r="I129" s="49">
        <f>IF(OR(M129="скрутка",M129="склейка"),Z129*2,Z129)</f>
        <v>1</v>
      </c>
      <c r="J129" s="53" t="str">
        <f>X129</f>
        <v>ЛДСП Lamarty 2750*1830*16 Белый б/к</v>
      </c>
      <c r="K129" s="52" t="str">
        <f>IF(ISBLANK(AB129),"",AB129)</f>
        <v/>
      </c>
      <c r="L129" s="52" t="str">
        <f>IF(ISBLANK(AC129),"",AC129)</f>
        <v/>
      </c>
      <c r="M129" s="51" t="str">
        <f>IF(AA129="","",AA129)</f>
        <v/>
      </c>
      <c r="N129" s="30" t="str">
        <f>CONCATENATE(IF(E129&lt;&gt;T129,"НеРавны",),IF(AND(NOT(ISBLANK(R129)),R129&lt;&gt;T129),"Д",),IF(AND(NOT(ISBLANK(S129)),S129&lt;&gt;U129),"Ш",))</f>
        <v>Ш</v>
      </c>
      <c r="O129" s="22">
        <f>O128+1</f>
        <v>66</v>
      </c>
      <c r="P129" s="18" t="s">
        <v>186</v>
      </c>
      <c r="Q129" s="18">
        <v>15</v>
      </c>
      <c r="R129" s="18">
        <v>552</v>
      </c>
      <c r="S129" s="18">
        <v>100</v>
      </c>
      <c r="T129" s="3">
        <v>552</v>
      </c>
      <c r="U129" s="3">
        <v>99</v>
      </c>
      <c r="V129" s="23"/>
      <c r="W129" s="23" t="s">
        <v>228</v>
      </c>
      <c r="X129" s="26" t="str">
        <f>J182</f>
        <v>ЛДСП Lamarty 2750*1830*16 Белый б/к</v>
      </c>
      <c r="Y129" s="18" t="s">
        <v>158</v>
      </c>
      <c r="Z129" s="18">
        <v>1</v>
      </c>
      <c r="AA129" s="18"/>
      <c r="AB129" s="18"/>
      <c r="AC129" s="18"/>
      <c r="AD129" s="56"/>
    </row>
    <row r="130" spans="1:30" x14ac:dyDescent="0.25">
      <c r="A130" s="9" t="str">
        <f>CONCATENATE(O130,".",LEFT(J130))</f>
        <v>67.Л</v>
      </c>
      <c r="B130" s="32" t="str">
        <f>CONCATENATE(IF(OR(Y130="Не определена",Y130,ISBLANK(Y130)),"↕",),IF(Y130="Не обязательна","±",),Q130,".",P130)</f>
        <v>15.фальш горизонт (паз_10)</v>
      </c>
      <c r="C130" s="54" t="str">
        <f>I182</f>
        <v>-</v>
      </c>
      <c r="D130" s="54" t="str">
        <f>I182</f>
        <v>-</v>
      </c>
      <c r="E130" s="48">
        <f>IF(M130="скрутка",T130+$Q$1,IF(M130="склейка",T130+$Q$1,IF(M130="запил торца",ROUND(T130+$P$1,0),IF(M130="запил торцов",ROUND(T130+$P$1*2,0),T130))))+IF(G130=$O$1,$P$1,)+IF(H130=$O$1,$P$1,)</f>
        <v>552</v>
      </c>
      <c r="F130" s="48">
        <f>IF(M130="скрутка",U130+$Q$1,IF(M130="склейка",U130+$Q$1,IF(M130="запил торца",ROUND(U130+$P$1,0),IF(M130="запил торцов",ROUND(U130+$P$1*2,0),U130))))+IF(C130=$O$1,$P$1,)+IF(D130=$O$1,$P$1,)</f>
        <v>99</v>
      </c>
      <c r="G130" s="47"/>
      <c r="H130" s="47"/>
      <c r="I130" s="49">
        <f>IF(OR(M130="скрутка",M130="склейка"),Z130*2,Z130)</f>
        <v>1</v>
      </c>
      <c r="J130" s="53" t="str">
        <f>X130</f>
        <v>ЛДСП Lamarty 2750*1830*16 Белый б/к</v>
      </c>
      <c r="K130" s="52" t="str">
        <f>IF(ISBLANK(AB130),"",AB130)</f>
        <v/>
      </c>
      <c r="L130" s="52" t="str">
        <f>IF(ISBLANK(AC130),"",AC130)</f>
        <v/>
      </c>
      <c r="M130" s="51" t="str">
        <f>IF(AA130="","",AA130)</f>
        <v>паз ХДФ 8*4(по длине);</v>
      </c>
      <c r="N130" s="30" t="str">
        <f>CONCATENATE(IF(E130&lt;&gt;T130,"НеРавны",),IF(AND(NOT(ISBLANK(R130)),R130&lt;&gt;T130),"Д",),IF(AND(NOT(ISBLANK(S130)),S130&lt;&gt;U130),"Ш",))</f>
        <v>Ш</v>
      </c>
      <c r="O130" s="22">
        <f>O129+1</f>
        <v>67</v>
      </c>
      <c r="P130" s="18" t="s">
        <v>184</v>
      </c>
      <c r="Q130" s="18">
        <v>15</v>
      </c>
      <c r="R130" s="18">
        <v>552</v>
      </c>
      <c r="S130" s="18">
        <v>100</v>
      </c>
      <c r="T130" s="3">
        <v>552</v>
      </c>
      <c r="U130" s="3">
        <v>99</v>
      </c>
      <c r="V130" s="23"/>
      <c r="W130" s="23" t="s">
        <v>228</v>
      </c>
      <c r="X130" s="26" t="str">
        <f>J182</f>
        <v>ЛДСП Lamarty 2750*1830*16 Белый б/к</v>
      </c>
      <c r="Y130" s="18" t="s">
        <v>158</v>
      </c>
      <c r="Z130" s="18">
        <v>1</v>
      </c>
      <c r="AA130" s="18" t="s">
        <v>185</v>
      </c>
      <c r="AB130" s="18"/>
      <c r="AC130" s="18"/>
      <c r="AD130" s="56"/>
    </row>
    <row r="131" spans="1:30" ht="30" x14ac:dyDescent="0.25">
      <c r="A131" s="9" t="str">
        <f>CONCATENATE(O131,".",LEFT(J131))</f>
        <v>18.М</v>
      </c>
      <c r="B131" s="32" t="str">
        <f>CONCATENATE(IF(OR(Y131="Не определена",Y131,ISBLANK(Y131)),"↕",),IF(Y131="Не обязательна","±",),Q131,".",P131)</f>
        <v>15.фасад (мыло, 901246 в торец)</v>
      </c>
      <c r="C131" s="54" t="str">
        <f>I186</f>
        <v>-</v>
      </c>
      <c r="D131" s="54" t="str">
        <f>I186</f>
        <v>-</v>
      </c>
      <c r="E131" s="48">
        <f>IF(M131="скрутка",T131+$Q$1,IF(M131="склейка",T131+$Q$1,IF(M131="запил торца",ROUND(T131+$P$1,0),IF(M131="запил торцов",ROUND(T131+$P$1*2,0),T131))))+IF(G131=$O$1,$P$1,)+IF(H131=$O$1,$P$1,)</f>
        <v>337</v>
      </c>
      <c r="F131" s="48">
        <f>IF(M131="скрутка",U131+$Q$1,IF(M131="склейка",U131+$Q$1,IF(M131="запил торца",ROUND(U131+$P$1,0),IF(M131="запил торцов",ROUND(U131+$P$1*2,0),U131))))+IF(C131=$O$1,$P$1,)+IF(D131=$O$1,$P$1,)</f>
        <v>581</v>
      </c>
      <c r="G131" s="54" t="str">
        <f>I186</f>
        <v>-</v>
      </c>
      <c r="H131" s="54" t="str">
        <f>I186</f>
        <v>-</v>
      </c>
      <c r="I131" s="49">
        <f>IF(OR(M131="скрутка",M131="склейка"),Z131*2,Z131)</f>
        <v>1</v>
      </c>
      <c r="J131" s="53" t="str">
        <f>X131</f>
        <v>МДФ 2800х2070х16 лам. Белый 2 ст. б/к</v>
      </c>
      <c r="K131" s="52" t="str">
        <f>IF(ISBLANK(AB131),"",AB131)</f>
        <v>KHR Глянец</v>
      </c>
      <c r="L131" s="52" t="str">
        <f>IF(ISBLANK(AC131),"",AC131)</f>
        <v/>
      </c>
      <c r="M131" s="51" t="str">
        <f>IF(AA131="","",AA131)</f>
        <v/>
      </c>
      <c r="N131" s="30" t="str">
        <f>CONCATENATE(IF(E131&lt;&gt;T131,"НеРавны",),IF(AND(NOT(ISBLANK(R131)),R131&lt;&gt;T131),"Д",),IF(AND(NOT(ISBLANK(S131)),S131&lt;&gt;U131),"Ш",))</f>
        <v/>
      </c>
      <c r="O131" s="22">
        <f>O121+1</f>
        <v>18</v>
      </c>
      <c r="P131" s="18" t="s">
        <v>191</v>
      </c>
      <c r="Q131" s="18">
        <v>15</v>
      </c>
      <c r="R131" s="18">
        <v>337</v>
      </c>
      <c r="S131" s="18">
        <v>581</v>
      </c>
      <c r="T131" s="3">
        <v>337</v>
      </c>
      <c r="U131" s="3">
        <v>581</v>
      </c>
      <c r="V131" s="23"/>
      <c r="W131" s="23" t="s">
        <v>229</v>
      </c>
      <c r="X131" s="26" t="str">
        <f>J186</f>
        <v>МДФ 2800х2070х16 лам. Белый 2 ст. б/к</v>
      </c>
      <c r="Y131" s="18" t="s">
        <v>158</v>
      </c>
      <c r="Z131" s="18">
        <v>1</v>
      </c>
      <c r="AA131" s="18"/>
      <c r="AB131" s="18" t="str">
        <f>K179</f>
        <v>KHR Глянец</v>
      </c>
      <c r="AC131" s="18"/>
      <c r="AD131" s="56"/>
    </row>
    <row r="132" spans="1:30" ht="30" x14ac:dyDescent="0.25">
      <c r="A132" s="9" t="str">
        <f>CONCATENATE(O132,".",LEFT(J132))</f>
        <v>19.М</v>
      </c>
      <c r="B132" s="32" t="str">
        <f>CONCATENATE(IF(OR(Y132="Не определена",Y132,ISBLANK(Y132)),"↕",),IF(Y132="Не обязательна","±",),Q132,".",P132)</f>
        <v>15.фасад (мыло, 901246 в торец)</v>
      </c>
      <c r="C132" s="54" t="str">
        <f>I186</f>
        <v>-</v>
      </c>
      <c r="D132" s="54" t="str">
        <f>I186</f>
        <v>-</v>
      </c>
      <c r="E132" s="48">
        <f>IF(M132="скрутка",T132+$Q$1,IF(M132="склейка",T132+$Q$1,IF(M132="запил торца",ROUND(T132+$P$1,0),IF(M132="запил торцов",ROUND(T132+$P$1*2,0),T132))))+IF(G132=$O$1,$P$1,)+IF(H132=$O$1,$P$1,)</f>
        <v>337</v>
      </c>
      <c r="F132" s="48">
        <f>IF(M132="скрутка",U132+$Q$1,IF(M132="склейка",U132+$Q$1,IF(M132="запил торца",ROUND(U132+$P$1,0),IF(M132="запил торцов",ROUND(U132+$P$1*2,0),U132))))+IF(C132=$O$1,$P$1,)+IF(D132=$O$1,$P$1,)</f>
        <v>581</v>
      </c>
      <c r="G132" s="54" t="str">
        <f>I186</f>
        <v>-</v>
      </c>
      <c r="H132" s="54" t="str">
        <f>I186</f>
        <v>-</v>
      </c>
      <c r="I132" s="49">
        <f>IF(OR(M132="скрутка",M132="склейка"),Z132*2,Z132)</f>
        <v>1</v>
      </c>
      <c r="J132" s="53" t="str">
        <f>X132</f>
        <v>МДФ 2800х2070х16 лам. Белый 2 ст. б/к</v>
      </c>
      <c r="K132" s="52" t="str">
        <f>IF(ISBLANK(AB132),"",AB132)</f>
        <v>KHR Глянец</v>
      </c>
      <c r="L132" s="52" t="str">
        <f>IF(ISBLANK(AC132),"",AC132)</f>
        <v/>
      </c>
      <c r="M132" s="51" t="str">
        <f>IF(AA132="","",AA132)</f>
        <v/>
      </c>
      <c r="N132" s="30" t="str">
        <f>CONCATENATE(IF(E132&lt;&gt;T132,"НеРавны",),IF(AND(NOT(ISBLANK(R132)),R132&lt;&gt;T132),"Д",),IF(AND(NOT(ISBLANK(S132)),S132&lt;&gt;U132),"Ш",))</f>
        <v/>
      </c>
      <c r="O132" s="22">
        <f>O131+1</f>
        <v>19</v>
      </c>
      <c r="P132" s="18" t="s">
        <v>191</v>
      </c>
      <c r="Q132" s="18">
        <v>15</v>
      </c>
      <c r="R132" s="18">
        <v>337</v>
      </c>
      <c r="S132" s="18">
        <v>581</v>
      </c>
      <c r="T132" s="3">
        <v>337</v>
      </c>
      <c r="U132" s="3">
        <v>581</v>
      </c>
      <c r="V132" s="23"/>
      <c r="W132" s="23" t="s">
        <v>229</v>
      </c>
      <c r="X132" s="26" t="str">
        <f>J186</f>
        <v>МДФ 2800х2070х16 лам. Белый 2 ст. б/к</v>
      </c>
      <c r="Y132" s="18" t="s">
        <v>158</v>
      </c>
      <c r="Z132" s="18">
        <v>1</v>
      </c>
      <c r="AA132" s="18"/>
      <c r="AB132" s="18" t="str">
        <f>K179</f>
        <v>KHR Глянец</v>
      </c>
      <c r="AC132" s="18"/>
      <c r="AD132" s="56"/>
    </row>
    <row r="133" spans="1:30" x14ac:dyDescent="0.25">
      <c r="A133" s="9" t="str">
        <f>CONCATENATE(O133,".",LEFT(J133))</f>
        <v>12.X</v>
      </c>
      <c r="B133" s="32" t="str">
        <f>CONCATENATE(IF(OR(Y133="Не определена",Y133,ISBLANK(Y133)),"↕",),IF(Y133="Не обязательна","±",),Q133,".",P133)</f>
        <v>16.задняя стенка</v>
      </c>
      <c r="C133" s="47"/>
      <c r="D133" s="47"/>
      <c r="E133" s="48">
        <f>IF(M133="скрутка",T133+$Q$1,IF(M133="склейка",T133+$Q$1,IF(M133="запил торца",ROUND(T133+$P$1,0),IF(M133="запил торцов",ROUND(T133+$P$1*2,0),T133))))+IF(G133=$O$1,$P$1,)+IF(H133=$O$1,$P$1,)</f>
        <v>658</v>
      </c>
      <c r="F133" s="48">
        <f>IF(M133="скрутка",U133+$Q$1,IF(M133="склейка",U133+$Q$1,IF(M133="запил торца",ROUND(U133+$P$1,0),IF(M133="запил торцов",ROUND(U133+$P$1*2,0),U133))))+IF(C133=$O$1,$P$1,)+IF(D133=$O$1,$P$1,)</f>
        <v>582</v>
      </c>
      <c r="G133" s="47"/>
      <c r="H133" s="47"/>
      <c r="I133" s="49">
        <f>IF(OR(M133="скрутка",M133="склейка"),Z133*2,Z133)</f>
        <v>1</v>
      </c>
      <c r="J133" s="111" t="str">
        <f>X133</f>
        <v>XДФ 2800*2070*4 Белый б/к</v>
      </c>
      <c r="K133" s="52" t="str">
        <f>IF(ISBLANK(AB133),"",AB133)</f>
        <v/>
      </c>
      <c r="L133" s="52" t="str">
        <f>IF(ISBLANK(AC133),"",AC133)</f>
        <v/>
      </c>
      <c r="M133" s="51" t="str">
        <f>IF(AA133="","",AA133)</f>
        <v/>
      </c>
      <c r="N133" s="30" t="str">
        <f>CONCATENATE(IF(E133&lt;&gt;T133,"НеРавны",),IF(AND(NOT(ISBLANK(R133)),R133&lt;&gt;T133),"Д",),IF(AND(NOT(ISBLANK(S133)),S133&lt;&gt;U133),"Ш",))</f>
        <v/>
      </c>
      <c r="O133" s="22">
        <f>O122+1</f>
        <v>12</v>
      </c>
      <c r="P133" s="18" t="s">
        <v>189</v>
      </c>
      <c r="Q133" s="18">
        <v>16</v>
      </c>
      <c r="R133" s="18">
        <v>658</v>
      </c>
      <c r="S133" s="18">
        <v>582</v>
      </c>
      <c r="T133" s="3">
        <v>658</v>
      </c>
      <c r="U133" s="3">
        <v>582</v>
      </c>
      <c r="V133" s="23"/>
      <c r="W133" s="23" t="s">
        <v>164</v>
      </c>
      <c r="X133" s="26" t="str">
        <f>X122</f>
        <v>XДФ 2800*2070*4 Белый б/к</v>
      </c>
      <c r="Y133" s="18" t="s">
        <v>158</v>
      </c>
      <c r="Z133" s="18">
        <v>1</v>
      </c>
      <c r="AA133" s="18"/>
      <c r="AB133" s="18"/>
      <c r="AC133" s="18"/>
      <c r="AD133" s="56"/>
    </row>
    <row r="134" spans="1:30" x14ac:dyDescent="0.25">
      <c r="A134" s="9" t="str">
        <f>CONCATENATE(O134,".",LEFT(J134))</f>
        <v>68.Л</v>
      </c>
      <c r="B134" s="32" t="str">
        <f>CONCATENATE(IF(OR(Y134="Не определена",Y134,ISBLANK(Y134)),"↕",),IF(Y134="Не обязательна","±",),Q134,".",P134)</f>
        <v>16.бок (паз_10)</v>
      </c>
      <c r="C134" s="54" t="str">
        <f>I182</f>
        <v>-</v>
      </c>
      <c r="D134" s="54" t="str">
        <f>I182</f>
        <v>-</v>
      </c>
      <c r="E134" s="48">
        <f>IF(M134="скрутка",T134+$Q$1,IF(M134="склейка",T134+$Q$1,IF(M134="запил торца",ROUND(T134+$P$1,0),IF(M134="запил торцов",ROUND(T134+$P$1*2,0),T134))))+IF(G134=$O$1,$P$1,)+IF(H134=$O$1,$P$1,)</f>
        <v>743</v>
      </c>
      <c r="F134" s="48">
        <f>IF(M134="скрутка",U134+$Q$1,IF(M134="склейка",U134+$Q$1,IF(M134="запил торца",ROUND(U134+$P$1,0),IF(M134="запил торцов",ROUND(U134+$P$1*2,0),U134))))+IF(C134=$O$1,$P$1,)+IF(D134=$O$1,$P$1,)</f>
        <v>559</v>
      </c>
      <c r="G134" s="54" t="str">
        <f>I182</f>
        <v>-</v>
      </c>
      <c r="H134" s="54" t="str">
        <f>I182</f>
        <v>-</v>
      </c>
      <c r="I134" s="49">
        <f>IF(OR(M134="скрутка",M134="склейка"),Z134*2,Z134)</f>
        <v>1</v>
      </c>
      <c r="J134" s="53" t="str">
        <f>X134</f>
        <v>ЛДСП Lamarty 2750*1830*16 Белый б/к</v>
      </c>
      <c r="K134" s="52" t="str">
        <f>IF(ISBLANK(AB134),"",AB134)</f>
        <v/>
      </c>
      <c r="L134" s="52" t="str">
        <f>IF(ISBLANK(AC134),"",AC134)</f>
        <v/>
      </c>
      <c r="M134" s="51" t="str">
        <f>IF(AA134="","",AA134)</f>
        <v>паз ХДФ*anna(по длине);</v>
      </c>
      <c r="N134" s="30" t="str">
        <f>CONCATENATE(IF(E134&lt;&gt;T134,"НеРавны",),IF(AND(NOT(ISBLANK(R134)),R134&lt;&gt;T134),"Д",),IF(AND(NOT(ISBLANK(S134)),S134&lt;&gt;U134),"Ш",))</f>
        <v>ДШ</v>
      </c>
      <c r="O134" s="22">
        <f>O130+1</f>
        <v>68</v>
      </c>
      <c r="P134" s="18" t="s">
        <v>187</v>
      </c>
      <c r="Q134" s="18">
        <v>16</v>
      </c>
      <c r="R134" s="18">
        <v>744</v>
      </c>
      <c r="S134" s="18">
        <v>560</v>
      </c>
      <c r="T134" s="3">
        <v>743</v>
      </c>
      <c r="U134" s="3">
        <v>559</v>
      </c>
      <c r="V134" s="23"/>
      <c r="W134" s="23" t="s">
        <v>227</v>
      </c>
      <c r="X134" s="26" t="str">
        <f>J182</f>
        <v>ЛДСП Lamarty 2750*1830*16 Белый б/к</v>
      </c>
      <c r="Y134" s="18" t="s">
        <v>158</v>
      </c>
      <c r="Z134" s="18">
        <v>1</v>
      </c>
      <c r="AA134" s="18" t="s">
        <v>188</v>
      </c>
      <c r="AB134" s="18"/>
      <c r="AC134" s="18"/>
      <c r="AD134" s="56"/>
    </row>
    <row r="135" spans="1:30" x14ac:dyDescent="0.25">
      <c r="A135" s="9" t="str">
        <f>CONCATENATE(O135,".",LEFT(J135))</f>
        <v>69.Л</v>
      </c>
      <c r="B135" s="32" t="str">
        <f>CONCATENATE(IF(OR(Y135="Не определена",Y135,ISBLANK(Y135)),"↕",),IF(Y135="Не обязательна","±",),Q135,".",P135)</f>
        <v>16.бок (паз_10)</v>
      </c>
      <c r="C135" s="54" t="str">
        <f>I182</f>
        <v>-</v>
      </c>
      <c r="D135" s="54" t="str">
        <f>I182</f>
        <v>-</v>
      </c>
      <c r="E135" s="48">
        <f>IF(M135="скрутка",T135+$Q$1,IF(M135="склейка",T135+$Q$1,IF(M135="запил торца",ROUND(T135+$P$1,0),IF(M135="запил торцов",ROUND(T135+$P$1*2,0),T135))))+IF(G135=$O$1,$P$1,)+IF(H135=$O$1,$P$1,)</f>
        <v>743</v>
      </c>
      <c r="F135" s="48">
        <f>IF(M135="скрутка",U135+$Q$1,IF(M135="склейка",U135+$Q$1,IF(M135="запил торца",ROUND(U135+$P$1,0),IF(M135="запил торцов",ROUND(U135+$P$1*2,0),U135))))+IF(C135=$O$1,$P$1,)+IF(D135=$O$1,$P$1,)</f>
        <v>559</v>
      </c>
      <c r="G135" s="54" t="str">
        <f>I182</f>
        <v>-</v>
      </c>
      <c r="H135" s="54" t="str">
        <f>I182</f>
        <v>-</v>
      </c>
      <c r="I135" s="49">
        <f>IF(OR(M135="скрутка",M135="склейка"),Z135*2,Z135)</f>
        <v>1</v>
      </c>
      <c r="J135" s="53" t="str">
        <f>X135</f>
        <v>ЛДСП Lamarty 2750*1830*16 Белый б/к</v>
      </c>
      <c r="K135" s="52" t="str">
        <f>IF(ISBLANK(AB135),"",AB135)</f>
        <v/>
      </c>
      <c r="L135" s="52" t="str">
        <f>IF(ISBLANK(AC135),"",AC135)</f>
        <v/>
      </c>
      <c r="M135" s="51" t="str">
        <f>IF(AA135="","",AA135)</f>
        <v>паз ХДФ*anna(по длине);</v>
      </c>
      <c r="N135" s="30" t="str">
        <f>CONCATENATE(IF(E135&lt;&gt;T135,"НеРавны",),IF(AND(NOT(ISBLANK(R135)),R135&lt;&gt;T135),"Д",),IF(AND(NOT(ISBLANK(S135)),S135&lt;&gt;U135),"Ш",))</f>
        <v>ДШ</v>
      </c>
      <c r="O135" s="22">
        <f>O134+1</f>
        <v>69</v>
      </c>
      <c r="P135" s="18" t="s">
        <v>187</v>
      </c>
      <c r="Q135" s="18">
        <v>16</v>
      </c>
      <c r="R135" s="18">
        <v>744</v>
      </c>
      <c r="S135" s="18">
        <v>560</v>
      </c>
      <c r="T135" s="3">
        <v>743</v>
      </c>
      <c r="U135" s="3">
        <v>559</v>
      </c>
      <c r="V135" s="23"/>
      <c r="W135" s="23" t="s">
        <v>227</v>
      </c>
      <c r="X135" s="26" t="str">
        <f>J182</f>
        <v>ЛДСП Lamarty 2750*1830*16 Белый б/к</v>
      </c>
      <c r="Y135" s="18" t="s">
        <v>158</v>
      </c>
      <c r="Z135" s="18">
        <v>1</v>
      </c>
      <c r="AA135" s="18" t="s">
        <v>188</v>
      </c>
      <c r="AB135" s="18"/>
      <c r="AC135" s="18"/>
      <c r="AD135" s="56"/>
    </row>
    <row r="136" spans="1:30" x14ac:dyDescent="0.25">
      <c r="A136" s="9" t="str">
        <f>CONCATENATE(O136,".",LEFT(J136))</f>
        <v>70.Л</v>
      </c>
      <c r="B136" s="32" t="str">
        <f>CONCATENATE(IF(OR(Y136="Не определена",Y136,ISBLANK(Y136)),"↕",),IF(Y136="Не обязательна","±",),Q136,".",P136)</f>
        <v>16.дно (паз_10)</v>
      </c>
      <c r="C136" s="54" t="str">
        <f>I182</f>
        <v>-</v>
      </c>
      <c r="D136" s="54" t="str">
        <f>I182</f>
        <v>-</v>
      </c>
      <c r="E136" s="48">
        <f>IF(M136="скрутка",T136+$Q$1,IF(M136="склейка",T136+$Q$1,IF(M136="запил торца",ROUND(T136+$P$1,0),IF(M136="запил торцов",ROUND(T136+$P$1*2,0),T136))))+IF(G136=$O$1,$P$1,)+IF(H136=$O$1,$P$1,)</f>
        <v>599</v>
      </c>
      <c r="F136" s="48">
        <f>IF(M136="скрутка",U136+$Q$1,IF(M136="склейка",U136+$Q$1,IF(M136="запил торца",ROUND(U136+$P$1,0),IF(M136="запил торцов",ROUND(U136+$P$1*2,0),U136))))+IF(C136=$O$1,$P$1,)+IF(D136=$O$1,$P$1,)</f>
        <v>559</v>
      </c>
      <c r="G136" s="54" t="str">
        <f>I182</f>
        <v>-</v>
      </c>
      <c r="H136" s="54" t="str">
        <f>I182</f>
        <v>-</v>
      </c>
      <c r="I136" s="49">
        <f>IF(OR(M136="скрутка",M136="склейка"),Z136*2,Z136)</f>
        <v>1</v>
      </c>
      <c r="J136" s="53" t="str">
        <f>X136</f>
        <v>ЛДСП Lamarty 2750*1830*16 Белый б/к</v>
      </c>
      <c r="K136" s="52" t="str">
        <f>IF(ISBLANK(AB136),"",AB136)</f>
        <v/>
      </c>
      <c r="L136" s="52" t="str">
        <f>IF(ISBLANK(AC136),"",AC136)</f>
        <v/>
      </c>
      <c r="M136" s="51" t="str">
        <f>IF(AA136="","",AA136)</f>
        <v>паз ХДФ*anna(по длине);</v>
      </c>
      <c r="N136" s="30" t="str">
        <f>CONCATENATE(IF(E136&lt;&gt;T136,"НеРавны",),IF(AND(NOT(ISBLANK(R136)),R136&lt;&gt;T136),"Д",),IF(AND(NOT(ISBLANK(S136)),S136&lt;&gt;U136),"Ш",))</f>
        <v>ДШ</v>
      </c>
      <c r="O136" s="22">
        <f>O135+1</f>
        <v>70</v>
      </c>
      <c r="P136" s="18" t="s">
        <v>190</v>
      </c>
      <c r="Q136" s="18">
        <v>16</v>
      </c>
      <c r="R136" s="18">
        <v>600</v>
      </c>
      <c r="S136" s="18">
        <v>560</v>
      </c>
      <c r="T136" s="3">
        <v>599</v>
      </c>
      <c r="U136" s="3">
        <v>559</v>
      </c>
      <c r="V136" s="23"/>
      <c r="W136" s="23" t="s">
        <v>227</v>
      </c>
      <c r="X136" s="26" t="str">
        <f>J182</f>
        <v>ЛДСП Lamarty 2750*1830*16 Белый б/к</v>
      </c>
      <c r="Y136" s="18" t="s">
        <v>158</v>
      </c>
      <c r="Z136" s="18">
        <v>1</v>
      </c>
      <c r="AA136" s="18" t="s">
        <v>188</v>
      </c>
      <c r="AB136" s="18"/>
      <c r="AC136" s="18"/>
      <c r="AD136" s="56"/>
    </row>
    <row r="137" spans="1:30" x14ac:dyDescent="0.25">
      <c r="A137" s="9" t="str">
        <f>CONCATENATE(O137,".",LEFT(J137))</f>
        <v>71.Л</v>
      </c>
      <c r="B137" s="32" t="str">
        <f>CONCATENATE(IF(OR(Y137="Не определена",Y137,ISBLANK(Y137)),"↕",),IF(Y137="Не обязательна","±",),Q137,".",P137)</f>
        <v>16.дно ящика</v>
      </c>
      <c r="C137" s="54" t="str">
        <f>I182</f>
        <v>-</v>
      </c>
      <c r="D137" s="54" t="str">
        <f>I182</f>
        <v>-</v>
      </c>
      <c r="E137" s="48">
        <f>IF(M137="скрутка",T137+$Q$1,IF(M137="склейка",T137+$Q$1,IF(M137="запил торца",ROUND(T137+$P$1,0),IF(M137="запил торцов",ROUND(T137+$P$1*2,0),T137))))+IF(G137=$O$1,$P$1,)+IF(H137=$O$1,$P$1,)</f>
        <v>493</v>
      </c>
      <c r="F137" s="48">
        <f>IF(M137="скрутка",U137+$Q$1,IF(M137="склейка",U137+$Q$1,IF(M137="запил торца",ROUND(U137+$P$1,0),IF(M137="запил торцов",ROUND(U137+$P$1*2,0),U137))))+IF(C137=$O$1,$P$1,)+IF(D137=$O$1,$P$1,)</f>
        <v>475</v>
      </c>
      <c r="G137" s="47"/>
      <c r="H137" s="47"/>
      <c r="I137" s="49">
        <f>IF(OR(M137="скрутка",M137="склейка"),Z137*2,Z137)</f>
        <v>1</v>
      </c>
      <c r="J137" s="53" t="str">
        <f>X137</f>
        <v>ЛДСП Lamarty 2750*1830*16 Белый б/к</v>
      </c>
      <c r="K137" s="52" t="str">
        <f>IF(ISBLANK(AB137),"",AB137)</f>
        <v/>
      </c>
      <c r="L137" s="52" t="str">
        <f>IF(ISBLANK(AC137),"",AC137)</f>
        <v/>
      </c>
      <c r="M137" s="51" t="str">
        <f>IF(AA137="","",AA137)</f>
        <v/>
      </c>
      <c r="N137" s="30" t="str">
        <f>CONCATENATE(IF(E137&lt;&gt;T137,"НеРавны",),IF(AND(NOT(ISBLANK(R137)),R137&lt;&gt;T137),"Д",),IF(AND(NOT(ISBLANK(S137)),S137&lt;&gt;U137),"Ш",))</f>
        <v>Ш</v>
      </c>
      <c r="O137" s="22">
        <f>O136+1</f>
        <v>71</v>
      </c>
      <c r="P137" s="18" t="s">
        <v>182</v>
      </c>
      <c r="Q137" s="18">
        <v>16</v>
      </c>
      <c r="R137" s="18">
        <v>493</v>
      </c>
      <c r="S137" s="18">
        <v>476</v>
      </c>
      <c r="T137" s="3">
        <v>493</v>
      </c>
      <c r="U137" s="3">
        <v>475</v>
      </c>
      <c r="V137" s="23"/>
      <c r="W137" s="23" t="s">
        <v>228</v>
      </c>
      <c r="X137" s="26" t="str">
        <f>J182</f>
        <v>ЛДСП Lamarty 2750*1830*16 Белый б/к</v>
      </c>
      <c r="Y137" s="18" t="s">
        <v>158</v>
      </c>
      <c r="Z137" s="18">
        <v>1</v>
      </c>
      <c r="AA137" s="18"/>
      <c r="AB137" s="18"/>
      <c r="AC137" s="18"/>
      <c r="AD137" s="56"/>
    </row>
    <row r="138" spans="1:30" x14ac:dyDescent="0.25">
      <c r="A138" s="9" t="str">
        <f>CONCATENATE(O138,".",LEFT(J138))</f>
        <v>72.Л</v>
      </c>
      <c r="B138" s="32" t="str">
        <f>CONCATENATE(IF(OR(Y138="Не определена",Y138,ISBLANK(Y138)),"↕",),IF(Y138="Не обязательна","±",),Q138,".",P138)</f>
        <v>16.дно ящика</v>
      </c>
      <c r="C138" s="54" t="str">
        <f>I182</f>
        <v>-</v>
      </c>
      <c r="D138" s="54" t="str">
        <f>I182</f>
        <v>-</v>
      </c>
      <c r="E138" s="48">
        <f>IF(M138="скрутка",T138+$Q$1,IF(M138="склейка",T138+$Q$1,IF(M138="запил торца",ROUND(T138+$P$1,0),IF(M138="запил торцов",ROUND(T138+$P$1*2,0),T138))))+IF(G138=$O$1,$P$1,)+IF(H138=$O$1,$P$1,)</f>
        <v>493</v>
      </c>
      <c r="F138" s="48">
        <f>IF(M138="скрутка",U138+$Q$1,IF(M138="склейка",U138+$Q$1,IF(M138="запил торца",ROUND(U138+$P$1,0),IF(M138="запил торцов",ROUND(U138+$P$1*2,0),U138))))+IF(C138=$O$1,$P$1,)+IF(D138=$O$1,$P$1,)</f>
        <v>475</v>
      </c>
      <c r="G138" s="47"/>
      <c r="H138" s="47"/>
      <c r="I138" s="49">
        <f>IF(OR(M138="скрутка",M138="склейка"),Z138*2,Z138)</f>
        <v>2</v>
      </c>
      <c r="J138" s="53" t="str">
        <f>X138</f>
        <v>ЛДСП Lamarty 2750*1830*16 Белый б/к</v>
      </c>
      <c r="K138" s="52" t="str">
        <f>IF(ISBLANK(AB138),"",AB138)</f>
        <v/>
      </c>
      <c r="L138" s="52" t="str">
        <f>IF(ISBLANK(AC138),"",AC138)</f>
        <v/>
      </c>
      <c r="M138" s="51" t="str">
        <f>IF(AA138="","",AA138)</f>
        <v/>
      </c>
      <c r="N138" s="30" t="str">
        <f>CONCATENATE(IF(E138&lt;&gt;T138,"НеРавны",),IF(AND(NOT(ISBLANK(R138)),R138&lt;&gt;T138),"Д",),IF(AND(NOT(ISBLANK(S138)),S138&lt;&gt;U138),"Ш",))</f>
        <v>Ш</v>
      </c>
      <c r="O138" s="22">
        <f>O137+1</f>
        <v>72</v>
      </c>
      <c r="P138" s="18" t="s">
        <v>182</v>
      </c>
      <c r="Q138" s="18">
        <v>16</v>
      </c>
      <c r="R138" s="18">
        <v>493</v>
      </c>
      <c r="S138" s="18">
        <v>476</v>
      </c>
      <c r="T138" s="3">
        <v>493</v>
      </c>
      <c r="U138" s="3">
        <v>475</v>
      </c>
      <c r="V138" s="23"/>
      <c r="W138" s="23" t="s">
        <v>228</v>
      </c>
      <c r="X138" s="26" t="str">
        <f>J182</f>
        <v>ЛДСП Lamarty 2750*1830*16 Белый б/к</v>
      </c>
      <c r="Y138" s="18" t="s">
        <v>158</v>
      </c>
      <c r="Z138" s="18">
        <v>2</v>
      </c>
      <c r="AA138" s="18"/>
      <c r="AB138" s="18"/>
      <c r="AC138" s="18"/>
      <c r="AD138" s="56"/>
    </row>
    <row r="139" spans="1:30" x14ac:dyDescent="0.25">
      <c r="A139" s="9" t="str">
        <f>CONCATENATE(O139,".",LEFT(J139))</f>
        <v>73.Л</v>
      </c>
      <c r="B139" s="32" t="str">
        <f>CONCATENATE(IF(OR(Y139="Не определена",Y139,ISBLANK(Y139)),"↕",),IF(Y139="Не обязательна","±",),Q139,".",P139)</f>
        <v>16.задняя стенка ящика</v>
      </c>
      <c r="C139" s="54" t="str">
        <f>I182</f>
        <v>-</v>
      </c>
      <c r="D139" s="54" t="str">
        <f>I182</f>
        <v>-</v>
      </c>
      <c r="E139" s="48">
        <f>IF(M139="скрутка",T139+$Q$1,IF(M139="склейка",T139+$Q$1,IF(M139="запил торца",ROUND(T139+$P$1,0),IF(M139="запил торцов",ROUND(T139+$P$1*2,0),T139))))+IF(G139=$O$1,$P$1,)+IF(H139=$O$1,$P$1,)</f>
        <v>481</v>
      </c>
      <c r="F139" s="48">
        <f>IF(M139="скрутка",U139+$Q$1,IF(M139="склейка",U139+$Q$1,IF(M139="запил торца",ROUND(U139+$P$1,0),IF(M139="запил торцов",ROUND(U139+$P$1*2,0),U139))))+IF(C139=$O$1,$P$1,)+IF(D139=$O$1,$P$1,)</f>
        <v>83</v>
      </c>
      <c r="G139" s="47"/>
      <c r="H139" s="47"/>
      <c r="I139" s="49">
        <f>IF(OR(M139="скрутка",M139="склейка"),Z139*2,Z139)</f>
        <v>1</v>
      </c>
      <c r="J139" s="53" t="str">
        <f>X139</f>
        <v>ЛДСП Lamarty 2750*1830*16 Белый б/к</v>
      </c>
      <c r="K139" s="52" t="str">
        <f>IF(ISBLANK(AB139),"",AB139)</f>
        <v/>
      </c>
      <c r="L139" s="52" t="str">
        <f>IF(ISBLANK(AC139),"",AC139)</f>
        <v/>
      </c>
      <c r="M139" s="51" t="str">
        <f>IF(AA139="","",AA139)</f>
        <v/>
      </c>
      <c r="N139" s="30" t="str">
        <f>CONCATENATE(IF(E139&lt;&gt;T139,"НеРавны",),IF(AND(NOT(ISBLANK(R139)),R139&lt;&gt;T139),"Д",),IF(AND(NOT(ISBLANK(S139)),S139&lt;&gt;U139),"Ш",))</f>
        <v>Ш</v>
      </c>
      <c r="O139" s="22">
        <f>O138+1</f>
        <v>73</v>
      </c>
      <c r="P139" s="18" t="s">
        <v>192</v>
      </c>
      <c r="Q139" s="18">
        <v>16</v>
      </c>
      <c r="R139" s="18">
        <v>481</v>
      </c>
      <c r="S139" s="18">
        <v>84</v>
      </c>
      <c r="T139" s="3">
        <v>481</v>
      </c>
      <c r="U139" s="3">
        <v>83</v>
      </c>
      <c r="V139" s="23"/>
      <c r="W139" s="23" t="s">
        <v>228</v>
      </c>
      <c r="X139" s="26" t="str">
        <f>J182</f>
        <v>ЛДСП Lamarty 2750*1830*16 Белый б/к</v>
      </c>
      <c r="Y139" s="18" t="s">
        <v>158</v>
      </c>
      <c r="Z139" s="18">
        <v>1</v>
      </c>
      <c r="AA139" s="18"/>
      <c r="AB139" s="18"/>
      <c r="AC139" s="18"/>
      <c r="AD139" s="56"/>
    </row>
    <row r="140" spans="1:30" x14ac:dyDescent="0.25">
      <c r="A140" s="9" t="str">
        <f>CONCATENATE(O140,".",LEFT(J140))</f>
        <v>74.Л</v>
      </c>
      <c r="B140" s="32" t="str">
        <f>CONCATENATE(IF(OR(Y140="Не определена",Y140,ISBLANK(Y140)),"↕",),IF(Y140="Не обязательна","±",),Q140,".",P140)</f>
        <v>16.задняя стенка ящика</v>
      </c>
      <c r="C140" s="54" t="str">
        <f>I182</f>
        <v>-</v>
      </c>
      <c r="D140" s="54" t="str">
        <f>I182</f>
        <v>-</v>
      </c>
      <c r="E140" s="48">
        <f>IF(M140="скрутка",T140+$Q$1,IF(M140="склейка",T140+$Q$1,IF(M140="запил торца",ROUND(T140+$P$1,0),IF(M140="запил торцов",ROUND(T140+$P$1*2,0),T140))))+IF(G140=$O$1,$P$1,)+IF(H140=$O$1,$P$1,)</f>
        <v>481</v>
      </c>
      <c r="F140" s="48">
        <f>IF(M140="скрутка",U140+$Q$1,IF(M140="склейка",U140+$Q$1,IF(M140="запил торца",ROUND(U140+$P$1,0),IF(M140="запил торцов",ROUND(U140+$P$1*2,0),U140))))+IF(C140=$O$1,$P$1,)+IF(D140=$O$1,$P$1,)</f>
        <v>83</v>
      </c>
      <c r="G140" s="47"/>
      <c r="H140" s="47"/>
      <c r="I140" s="49">
        <f>IF(OR(M140="скрутка",M140="склейка"),Z140*2,Z140)</f>
        <v>1</v>
      </c>
      <c r="J140" s="53" t="str">
        <f>X140</f>
        <v>ЛДСП Lamarty 2750*1830*16 Белый б/к</v>
      </c>
      <c r="K140" s="52" t="str">
        <f>IF(ISBLANK(AB140),"",AB140)</f>
        <v/>
      </c>
      <c r="L140" s="52" t="str">
        <f>IF(ISBLANK(AC140),"",AC140)</f>
        <v/>
      </c>
      <c r="M140" s="51" t="str">
        <f>IF(AA140="","",AA140)</f>
        <v/>
      </c>
      <c r="N140" s="30" t="str">
        <f>CONCATENATE(IF(E140&lt;&gt;T140,"НеРавны",),IF(AND(NOT(ISBLANK(R140)),R140&lt;&gt;T140),"Д",),IF(AND(NOT(ISBLANK(S140)),S140&lt;&gt;U140),"Ш",))</f>
        <v>Ш</v>
      </c>
      <c r="O140" s="22">
        <f>O139+1</f>
        <v>74</v>
      </c>
      <c r="P140" s="18" t="s">
        <v>192</v>
      </c>
      <c r="Q140" s="18">
        <v>16</v>
      </c>
      <c r="R140" s="18">
        <v>481</v>
      </c>
      <c r="S140" s="18">
        <v>84</v>
      </c>
      <c r="T140" s="3">
        <v>481</v>
      </c>
      <c r="U140" s="3">
        <v>83</v>
      </c>
      <c r="V140" s="23"/>
      <c r="W140" s="23" t="s">
        <v>228</v>
      </c>
      <c r="X140" s="26" t="str">
        <f>J182</f>
        <v>ЛДСП Lamarty 2750*1830*16 Белый б/к</v>
      </c>
      <c r="Y140" s="18" t="s">
        <v>158</v>
      </c>
      <c r="Z140" s="18">
        <v>1</v>
      </c>
      <c r="AA140" s="18"/>
      <c r="AB140" s="18"/>
      <c r="AC140" s="18"/>
      <c r="AD140" s="56"/>
    </row>
    <row r="141" spans="1:30" x14ac:dyDescent="0.25">
      <c r="A141" s="9" t="str">
        <f>CONCATENATE(O141,".",LEFT(J141))</f>
        <v>75.Л</v>
      </c>
      <c r="B141" s="32" t="str">
        <f>CONCATENATE(IF(OR(Y141="Не определена",Y141,ISBLANK(Y141)),"↕",),IF(Y141="Не обязательна","±",),Q141,".",P141)</f>
        <v>16.тыл ящика</v>
      </c>
      <c r="C141" s="54" t="str">
        <f>I182</f>
        <v>-</v>
      </c>
      <c r="D141" s="54" t="str">
        <f>I182</f>
        <v>-</v>
      </c>
      <c r="E141" s="48">
        <f>IF(M141="скрутка",T141+$Q$1,IF(M141="склейка",T141+$Q$1,IF(M141="запил торца",ROUND(T141+$P$1,0),IF(M141="запил торцов",ROUND(T141+$P$1*2,0),T141))))+IF(G141=$O$1,$P$1,)+IF(H141=$O$1,$P$1,)</f>
        <v>481</v>
      </c>
      <c r="F141" s="48">
        <f>IF(M141="скрутка",U141+$Q$1,IF(M141="склейка",U141+$Q$1,IF(M141="запил торца",ROUND(U141+$P$1,0),IF(M141="запил торцов",ROUND(U141+$P$1*2,0),U141))))+IF(C141=$O$1,$P$1,)+IF(D141=$O$1,$P$1,)</f>
        <v>198</v>
      </c>
      <c r="G141" s="47"/>
      <c r="H141" s="47"/>
      <c r="I141" s="49">
        <f>IF(OR(M141="скрутка",M141="склейка"),Z141*2,Z141)</f>
        <v>1</v>
      </c>
      <c r="J141" s="53" t="str">
        <f>X141</f>
        <v>ЛДСП Lamarty 2750*1830*16 Белый б/к</v>
      </c>
      <c r="K141" s="52" t="str">
        <f>IF(ISBLANK(AB141),"",AB141)</f>
        <v/>
      </c>
      <c r="L141" s="52" t="str">
        <f>IF(ISBLANK(AC141),"",AC141)</f>
        <v/>
      </c>
      <c r="M141" s="51" t="str">
        <f>IF(AA141="","",AA141)</f>
        <v/>
      </c>
      <c r="N141" s="30" t="str">
        <f>CONCATENATE(IF(E141&lt;&gt;T141,"НеРавны",),IF(AND(NOT(ISBLANK(R141)),R141&lt;&gt;T141),"Д",),IF(AND(NOT(ISBLANK(S141)),S141&lt;&gt;U141),"Ш",))</f>
        <v>Ш</v>
      </c>
      <c r="O141" s="22">
        <f>O140+1</f>
        <v>75</v>
      </c>
      <c r="P141" s="18" t="s">
        <v>183</v>
      </c>
      <c r="Q141" s="18">
        <v>16</v>
      </c>
      <c r="R141" s="18">
        <v>481</v>
      </c>
      <c r="S141" s="18">
        <v>199</v>
      </c>
      <c r="T141" s="3">
        <v>481</v>
      </c>
      <c r="U141" s="3">
        <v>198</v>
      </c>
      <c r="V141" s="23"/>
      <c r="W141" s="23" t="s">
        <v>228</v>
      </c>
      <c r="X141" s="26" t="str">
        <f>J182</f>
        <v>ЛДСП Lamarty 2750*1830*16 Белый б/к</v>
      </c>
      <c r="Y141" s="18" t="s">
        <v>158</v>
      </c>
      <c r="Z141" s="18">
        <v>1</v>
      </c>
      <c r="AA141" s="18"/>
      <c r="AB141" s="18"/>
      <c r="AC141" s="18"/>
      <c r="AD141" s="56"/>
    </row>
    <row r="142" spans="1:30" x14ac:dyDescent="0.25">
      <c r="A142" s="9" t="str">
        <f>CONCATENATE(O142,".",LEFT(J142))</f>
        <v>76.Л</v>
      </c>
      <c r="B142" s="32" t="str">
        <f>CONCATENATE(IF(OR(Y142="Не определена",Y142,ISBLANK(Y142)),"↕",),IF(Y142="Не обязательна","±",),Q142,".",P142)</f>
        <v>16.фальш горизонт</v>
      </c>
      <c r="C142" s="54" t="str">
        <f>I182</f>
        <v>-</v>
      </c>
      <c r="D142" s="54" t="str">
        <f>I182</f>
        <v>-</v>
      </c>
      <c r="E142" s="48">
        <f>IF(M142="скрутка",T142+$Q$1,IF(M142="склейка",T142+$Q$1,IF(M142="запил торца",ROUND(T142+$P$1,0),IF(M142="запил торцов",ROUND(T142+$P$1*2,0),T142))))+IF(G142=$O$1,$P$1,)+IF(H142=$O$1,$P$1,)</f>
        <v>568</v>
      </c>
      <c r="F142" s="48">
        <f>IF(M142="скрутка",U142+$Q$1,IF(M142="склейка",U142+$Q$1,IF(M142="запил торца",ROUND(U142+$P$1,0),IF(M142="запил торцов",ROUND(U142+$P$1*2,0),U142))))+IF(C142=$O$1,$P$1,)+IF(D142=$O$1,$P$1,)</f>
        <v>99</v>
      </c>
      <c r="G142" s="47"/>
      <c r="H142" s="47"/>
      <c r="I142" s="49">
        <f>IF(OR(M142="скрутка",M142="склейка"),Z142*2,Z142)</f>
        <v>1</v>
      </c>
      <c r="J142" s="53" t="str">
        <f>X142</f>
        <v>ЛДСП Lamarty 2750*1830*16 Белый б/к</v>
      </c>
      <c r="K142" s="52" t="str">
        <f>IF(ISBLANK(AB142),"",AB142)</f>
        <v/>
      </c>
      <c r="L142" s="52" t="str">
        <f>IF(ISBLANK(AC142),"",AC142)</f>
        <v/>
      </c>
      <c r="M142" s="51" t="str">
        <f>IF(AA142="","",AA142)</f>
        <v/>
      </c>
      <c r="N142" s="30" t="str">
        <f>CONCATENATE(IF(E142&lt;&gt;T142,"НеРавны",),IF(AND(NOT(ISBLANK(R142)),R142&lt;&gt;T142),"Д",),IF(AND(NOT(ISBLANK(S142)),S142&lt;&gt;U142),"Ш",))</f>
        <v>Ш</v>
      </c>
      <c r="O142" s="22">
        <f>O141+1</f>
        <v>76</v>
      </c>
      <c r="P142" s="18" t="s">
        <v>186</v>
      </c>
      <c r="Q142" s="18">
        <v>16</v>
      </c>
      <c r="R142" s="18">
        <v>568</v>
      </c>
      <c r="S142" s="18">
        <v>100</v>
      </c>
      <c r="T142" s="3">
        <v>568</v>
      </c>
      <c r="U142" s="3">
        <v>99</v>
      </c>
      <c r="V142" s="23"/>
      <c r="W142" s="23" t="s">
        <v>228</v>
      </c>
      <c r="X142" s="26" t="str">
        <f>J182</f>
        <v>ЛДСП Lamarty 2750*1830*16 Белый б/к</v>
      </c>
      <c r="Y142" s="18" t="s">
        <v>158</v>
      </c>
      <c r="Z142" s="18">
        <v>1</v>
      </c>
      <c r="AA142" s="18"/>
      <c r="AB142" s="18"/>
      <c r="AC142" s="18"/>
      <c r="AD142" s="56"/>
    </row>
    <row r="143" spans="1:30" x14ac:dyDescent="0.25">
      <c r="A143" s="9" t="str">
        <f>CONCATENATE(O143,".",LEFT(J143))</f>
        <v>77.Л</v>
      </c>
      <c r="B143" s="32" t="str">
        <f>CONCATENATE(IF(OR(Y143="Не определена",Y143,ISBLANK(Y143)),"↕",),IF(Y143="Не обязательна","±",),Q143,".",P143)</f>
        <v>16.царга</v>
      </c>
      <c r="C143" s="54" t="str">
        <f>I182</f>
        <v>-</v>
      </c>
      <c r="D143" s="54" t="str">
        <f>I182</f>
        <v>-</v>
      </c>
      <c r="E143" s="48">
        <f>IF(M143="скрутка",T143+$Q$1,IF(M143="склейка",T143+$Q$1,IF(M143="запил торца",ROUND(T143+$P$1,0),IF(M143="запил торцов",ROUND(T143+$P$1*2,0),T143))))+IF(G143=$O$1,$P$1,)+IF(H143=$O$1,$P$1,)</f>
        <v>568</v>
      </c>
      <c r="F143" s="48">
        <f>IF(M143="скрутка",U143+$Q$1,IF(M143="склейка",U143+$Q$1,IF(M143="запил торца",ROUND(U143+$P$1,0),IF(M143="запил торцов",ROUND(U143+$P$1*2,0),U143))))+IF(C143=$O$1,$P$1,)+IF(D143=$O$1,$P$1,)</f>
        <v>59</v>
      </c>
      <c r="G143" s="47"/>
      <c r="H143" s="47"/>
      <c r="I143" s="49">
        <f>IF(OR(M143="скрутка",M143="склейка"),Z143*2,Z143)</f>
        <v>1</v>
      </c>
      <c r="J143" s="53" t="str">
        <f>X143</f>
        <v>ЛДСП Lamarty 2750*1830*16 Белый б/к</v>
      </c>
      <c r="K143" s="52" t="str">
        <f>IF(ISBLANK(AB143),"",AB143)</f>
        <v/>
      </c>
      <c r="L143" s="52" t="str">
        <f>IF(ISBLANK(AC143),"",AC143)</f>
        <v/>
      </c>
      <c r="M143" s="51" t="str">
        <f>IF(AA143="","",AA143)</f>
        <v/>
      </c>
      <c r="N143" s="30" t="str">
        <f>CONCATENATE(IF(E143&lt;&gt;T143,"НеРавны",),IF(AND(NOT(ISBLANK(R143)),R143&lt;&gt;T143),"Д",),IF(AND(NOT(ISBLANK(S143)),S143&lt;&gt;U143),"Ш",))</f>
        <v>Ш</v>
      </c>
      <c r="O143" s="22">
        <f>O142+1</f>
        <v>77</v>
      </c>
      <c r="P143" s="18" t="s">
        <v>173</v>
      </c>
      <c r="Q143" s="18">
        <v>16</v>
      </c>
      <c r="R143" s="18">
        <v>568</v>
      </c>
      <c r="S143" s="18">
        <v>60</v>
      </c>
      <c r="T143" s="3">
        <v>568</v>
      </c>
      <c r="U143" s="3">
        <v>59</v>
      </c>
      <c r="V143" s="23"/>
      <c r="W143" s="23" t="s">
        <v>228</v>
      </c>
      <c r="X143" s="26" t="str">
        <f>J182</f>
        <v>ЛДСП Lamarty 2750*1830*16 Белый б/к</v>
      </c>
      <c r="Y143" s="18" t="s">
        <v>158</v>
      </c>
      <c r="Z143" s="18">
        <v>1</v>
      </c>
      <c r="AA143" s="18"/>
      <c r="AB143" s="18"/>
      <c r="AC143" s="18"/>
      <c r="AD143" s="56"/>
    </row>
    <row r="144" spans="1:30" x14ac:dyDescent="0.25">
      <c r="A144" s="9" t="str">
        <f>CONCATENATE(O144,".",LEFT(J144))</f>
        <v>78.Л</v>
      </c>
      <c r="B144" s="32" t="str">
        <f>CONCATENATE(IF(OR(Y144="Не определена",Y144,ISBLANK(Y144)),"↕",),IF(Y144="Не обязательна","±",),Q144,".",P144)</f>
        <v>16.царга (паз_10 в торец)</v>
      </c>
      <c r="C144" s="54" t="str">
        <f>I182</f>
        <v>-</v>
      </c>
      <c r="D144" s="54" t="str">
        <f>I182</f>
        <v>-</v>
      </c>
      <c r="E144" s="48">
        <f>IF(M144="скрутка",T144+$Q$1,IF(M144="склейка",T144+$Q$1,IF(M144="запил торца",ROUND(T144+$P$1,0),IF(M144="запил торцов",ROUND(T144+$P$1*2,0),T144))))+IF(G144=$O$1,$P$1,)+IF(H144=$O$1,$P$1,)</f>
        <v>568</v>
      </c>
      <c r="F144" s="48">
        <f>IF(M144="скрутка",U144+$Q$1,IF(M144="склейка",U144+$Q$1,IF(M144="запил торца",ROUND(U144+$P$1,0),IF(M144="запил торцов",ROUND(U144+$P$1*2,0),U144))))+IF(C144=$O$1,$P$1,)+IF(D144=$O$1,$P$1,)</f>
        <v>99</v>
      </c>
      <c r="G144" s="47"/>
      <c r="H144" s="47"/>
      <c r="I144" s="49">
        <f>IF(OR(M144="скрутка",M144="склейка"),Z144*2,Z144)</f>
        <v>1</v>
      </c>
      <c r="J144" s="53" t="str">
        <f>X144</f>
        <v>ЛДСП Lamarty 2750*1830*16 Белый б/к</v>
      </c>
      <c r="K144" s="52" t="str">
        <f>IF(ISBLANK(AB144),"",AB144)</f>
        <v/>
      </c>
      <c r="L144" s="52" t="str">
        <f>IF(ISBLANK(AC144),"",AC144)</f>
        <v/>
      </c>
      <c r="M144" s="51" t="str">
        <f>IF(AA144="","",AA144)</f>
        <v/>
      </c>
      <c r="N144" s="30" t="str">
        <f>CONCATENATE(IF(E144&lt;&gt;T144,"НеРавны",),IF(AND(NOT(ISBLANK(R144)),R144&lt;&gt;T144),"Д",),IF(AND(NOT(ISBLANK(S144)),S144&lt;&gt;U144),"Ш",))</f>
        <v>Ш</v>
      </c>
      <c r="O144" s="22">
        <f>O143+1</f>
        <v>78</v>
      </c>
      <c r="P144" s="18" t="s">
        <v>193</v>
      </c>
      <c r="Q144" s="18">
        <v>16</v>
      </c>
      <c r="R144" s="18">
        <v>568</v>
      </c>
      <c r="S144" s="18">
        <v>100</v>
      </c>
      <c r="T144" s="3">
        <v>568</v>
      </c>
      <c r="U144" s="3">
        <v>99</v>
      </c>
      <c r="V144" s="23"/>
      <c r="W144" s="23" t="s">
        <v>228</v>
      </c>
      <c r="X144" s="26" t="str">
        <f>J182</f>
        <v>ЛДСП Lamarty 2750*1830*16 Белый б/к</v>
      </c>
      <c r="Y144" s="18" t="s">
        <v>158</v>
      </c>
      <c r="Z144" s="18">
        <v>1</v>
      </c>
      <c r="AA144" s="18"/>
      <c r="AB144" s="18"/>
      <c r="AC144" s="18"/>
      <c r="AD144" s="56"/>
    </row>
    <row r="145" spans="1:30" ht="30" x14ac:dyDescent="0.25">
      <c r="A145" s="9" t="str">
        <f>CONCATENATE(O145,".",LEFT(J145))</f>
        <v>20.М</v>
      </c>
      <c r="B145" s="32" t="str">
        <f>CONCATENATE(IF(OR(Y145="Не определена",Y145,ISBLANK(Y145)),"↕",),IF(Y145="Не обязательна","±",),Q145,".",P145)</f>
        <v>16.фасад (мыло, 901246 в торец)</v>
      </c>
      <c r="C145" s="54" t="str">
        <f>I186</f>
        <v>-</v>
      </c>
      <c r="D145" s="54" t="str">
        <f>I186</f>
        <v>-</v>
      </c>
      <c r="E145" s="48">
        <f>IF(M145="скрутка",T145+$Q$1,IF(M145="склейка",T145+$Q$1,IF(M145="запил торца",ROUND(T145+$P$1,0),IF(M145="запил торцов",ROUND(T145+$P$1*2,0),T145))))+IF(G145=$O$1,$P$1,)+IF(H145=$O$1,$P$1,)</f>
        <v>337</v>
      </c>
      <c r="F145" s="48">
        <f>IF(M145="скрутка",U145+$Q$1,IF(M145="склейка",U145+$Q$1,IF(M145="запил торца",ROUND(U145+$P$1,0),IF(M145="запил торцов",ROUND(U145+$P$1*2,0),U145))))+IF(C145=$O$1,$P$1,)+IF(D145=$O$1,$P$1,)</f>
        <v>597</v>
      </c>
      <c r="G145" s="54" t="str">
        <f>I186</f>
        <v>-</v>
      </c>
      <c r="H145" s="54" t="str">
        <f>I186</f>
        <v>-</v>
      </c>
      <c r="I145" s="49">
        <f>IF(OR(M145="скрутка",M145="склейка"),Z145*2,Z145)</f>
        <v>1</v>
      </c>
      <c r="J145" s="53" t="str">
        <f>X145</f>
        <v>МДФ 2800х2070х16 лам. Белый 2 ст. б/к</v>
      </c>
      <c r="K145" s="52" t="str">
        <f>IF(ISBLANK(AB145),"",AB145)</f>
        <v>KHR Глянец</v>
      </c>
      <c r="L145" s="52" t="str">
        <f>IF(ISBLANK(AC145),"",AC145)</f>
        <v/>
      </c>
      <c r="M145" s="51" t="str">
        <f>IF(AA145="","",AA145)</f>
        <v/>
      </c>
      <c r="N145" s="30" t="str">
        <f>CONCATENATE(IF(E145&lt;&gt;T145,"НеРавны",),IF(AND(NOT(ISBLANK(R145)),R145&lt;&gt;T145),"Д",),IF(AND(NOT(ISBLANK(S145)),S145&lt;&gt;U145),"Ш",))</f>
        <v/>
      </c>
      <c r="O145" s="22">
        <f>O132+1</f>
        <v>20</v>
      </c>
      <c r="P145" s="18" t="s">
        <v>191</v>
      </c>
      <c r="Q145" s="18">
        <v>16</v>
      </c>
      <c r="R145" s="18">
        <v>337</v>
      </c>
      <c r="S145" s="18">
        <v>597</v>
      </c>
      <c r="T145" s="3">
        <v>337</v>
      </c>
      <c r="U145" s="3">
        <v>597</v>
      </c>
      <c r="V145" s="23"/>
      <c r="W145" s="23" t="s">
        <v>229</v>
      </c>
      <c r="X145" s="26" t="str">
        <f>J186</f>
        <v>МДФ 2800х2070х16 лам. Белый 2 ст. б/к</v>
      </c>
      <c r="Y145" s="18" t="s">
        <v>158</v>
      </c>
      <c r="Z145" s="18">
        <v>1</v>
      </c>
      <c r="AA145" s="18"/>
      <c r="AB145" s="18" t="str">
        <f>K179</f>
        <v>KHR Глянец</v>
      </c>
      <c r="AC145" s="18"/>
      <c r="AD145" s="56"/>
    </row>
    <row r="146" spans="1:30" ht="30" x14ac:dyDescent="0.25">
      <c r="A146" s="9" t="str">
        <f>CONCATENATE(O146,".",LEFT(J146))</f>
        <v>21.М</v>
      </c>
      <c r="B146" s="32" t="str">
        <f>CONCATENATE(IF(OR(Y146="Не определена",Y146,ISBLANK(Y146)),"↕",),IF(Y146="Не обязательна","±",),Q146,".",P146)</f>
        <v>16.фасад (мыло, 901246 в торец)</v>
      </c>
      <c r="C146" s="54" t="str">
        <f>I186</f>
        <v>-</v>
      </c>
      <c r="D146" s="54" t="str">
        <f>I186</f>
        <v>-</v>
      </c>
      <c r="E146" s="48">
        <f>IF(M146="скрутка",T146+$Q$1,IF(M146="склейка",T146+$Q$1,IF(M146="запил торца",ROUND(T146+$P$1,0),IF(M146="запил торцов",ROUND(T146+$P$1*2,0),T146))))+IF(G146=$O$1,$P$1,)+IF(H146=$O$1,$P$1,)</f>
        <v>337</v>
      </c>
      <c r="F146" s="48">
        <f>IF(M146="скрутка",U146+$Q$1,IF(M146="склейка",U146+$Q$1,IF(M146="запил торца",ROUND(U146+$P$1,0),IF(M146="запил торцов",ROUND(U146+$P$1*2,0),U146))))+IF(C146=$O$1,$P$1,)+IF(D146=$O$1,$P$1,)</f>
        <v>597</v>
      </c>
      <c r="G146" s="54" t="str">
        <f>I186</f>
        <v>-</v>
      </c>
      <c r="H146" s="54" t="str">
        <f>I186</f>
        <v>-</v>
      </c>
      <c r="I146" s="49">
        <f>IF(OR(M146="скрутка",M146="склейка"),Z146*2,Z146)</f>
        <v>1</v>
      </c>
      <c r="J146" s="53" t="str">
        <f>X146</f>
        <v>МДФ 2800х2070х16 лам. Белый 2 ст. б/к</v>
      </c>
      <c r="K146" s="52" t="str">
        <f>IF(ISBLANK(AB146),"",AB146)</f>
        <v>KHR Глянец</v>
      </c>
      <c r="L146" s="52" t="str">
        <f>IF(ISBLANK(AC146),"",AC146)</f>
        <v/>
      </c>
      <c r="M146" s="51" t="str">
        <f>IF(AA146="","",AA146)</f>
        <v/>
      </c>
      <c r="N146" s="30" t="str">
        <f>CONCATENATE(IF(E146&lt;&gt;T146,"НеРавны",),IF(AND(NOT(ISBLANK(R146)),R146&lt;&gt;T146),"Д",),IF(AND(NOT(ISBLANK(S146)),S146&lt;&gt;U146),"Ш",))</f>
        <v/>
      </c>
      <c r="O146" s="22">
        <f>O145+1</f>
        <v>21</v>
      </c>
      <c r="P146" s="18" t="s">
        <v>191</v>
      </c>
      <c r="Q146" s="18">
        <v>16</v>
      </c>
      <c r="R146" s="18">
        <v>337</v>
      </c>
      <c r="S146" s="18">
        <v>597</v>
      </c>
      <c r="T146" s="3">
        <v>337</v>
      </c>
      <c r="U146" s="3">
        <v>597</v>
      </c>
      <c r="V146" s="23"/>
      <c r="W146" s="23" t="s">
        <v>229</v>
      </c>
      <c r="X146" s="26" t="str">
        <f>J186</f>
        <v>МДФ 2800х2070х16 лам. Белый 2 ст. б/к</v>
      </c>
      <c r="Y146" s="18" t="s">
        <v>158</v>
      </c>
      <c r="Z146" s="18">
        <v>1</v>
      </c>
      <c r="AA146" s="18"/>
      <c r="AB146" s="18" t="str">
        <f>K179</f>
        <v>KHR Глянец</v>
      </c>
      <c r="AC146" s="18"/>
      <c r="AD146" s="56"/>
    </row>
    <row r="147" spans="1:30" x14ac:dyDescent="0.25">
      <c r="A147" s="9" t="str">
        <f>CONCATENATE(O147,".",LEFT(J147))</f>
        <v>13.X</v>
      </c>
      <c r="B147" s="32" t="str">
        <f>CONCATENATE(IF(OR(Y147="Не определена",Y147,ISBLANK(Y147)),"↕",),IF(Y147="Не обязательна","±",),Q147,".",P147)</f>
        <v>17.задняя стенка</v>
      </c>
      <c r="C147" s="47"/>
      <c r="D147" s="47"/>
      <c r="E147" s="48">
        <f>IF(M147="скрутка",T147+$Q$1,IF(M147="склейка",T147+$Q$1,IF(M147="запил торца",ROUND(T147+$P$1,0),IF(M147="запил торцов",ROUND(T147+$P$1*2,0),T147))))+IF(G147=$O$1,$P$1,)+IF(H147=$O$1,$P$1,)</f>
        <v>742</v>
      </c>
      <c r="F147" s="48">
        <f>IF(M147="скрутка",U147+$Q$1,IF(M147="склейка",U147+$Q$1,IF(M147="запил торца",ROUND(U147+$P$1,0),IF(M147="запил торцов",ROUND(U147+$P$1*2,0),U147))))+IF(C147=$O$1,$P$1,)+IF(D147=$O$1,$P$1,)</f>
        <v>582</v>
      </c>
      <c r="G147" s="47"/>
      <c r="H147" s="47"/>
      <c r="I147" s="49">
        <f>IF(OR(M147="скрутка",M147="склейка"),Z147*2,Z147)</f>
        <v>1</v>
      </c>
      <c r="J147" s="111" t="str">
        <f>X147</f>
        <v>XДФ 2800*2070*4 Белый б/к</v>
      </c>
      <c r="K147" s="52" t="str">
        <f>IF(ISBLANK(AB147),"",AB147)</f>
        <v/>
      </c>
      <c r="L147" s="52" t="str">
        <f>IF(ISBLANK(AC147),"",AC147)</f>
        <v/>
      </c>
      <c r="M147" s="51" t="str">
        <f>IF(AA147="","",AA147)</f>
        <v/>
      </c>
      <c r="N147" s="30" t="str">
        <f>CONCATENATE(IF(E147&lt;&gt;T147,"НеРавны",),IF(AND(NOT(ISBLANK(R147)),R147&lt;&gt;T147),"Д",),IF(AND(NOT(ISBLANK(S147)),S147&lt;&gt;U147),"Ш",))</f>
        <v/>
      </c>
      <c r="O147" s="22">
        <f>O133+1</f>
        <v>13</v>
      </c>
      <c r="P147" s="18" t="s">
        <v>189</v>
      </c>
      <c r="Q147" s="18">
        <v>17</v>
      </c>
      <c r="R147" s="18">
        <v>742</v>
      </c>
      <c r="S147" s="18">
        <v>582</v>
      </c>
      <c r="T147" s="3">
        <v>742</v>
      </c>
      <c r="U147" s="3">
        <v>582</v>
      </c>
      <c r="V147" s="23"/>
      <c r="W147" s="23" t="s">
        <v>164</v>
      </c>
      <c r="X147" s="26" t="str">
        <f>X133</f>
        <v>XДФ 2800*2070*4 Белый б/к</v>
      </c>
      <c r="Y147" s="18" t="s">
        <v>158</v>
      </c>
      <c r="Z147" s="18">
        <v>1</v>
      </c>
      <c r="AA147" s="18"/>
      <c r="AB147" s="18"/>
      <c r="AC147" s="18"/>
      <c r="AD147" s="56"/>
    </row>
    <row r="148" spans="1:30" x14ac:dyDescent="0.25">
      <c r="A148" s="9" t="str">
        <f>CONCATENATE(O148,".",LEFT(J148))</f>
        <v>79.Л</v>
      </c>
      <c r="B148" s="32" t="str">
        <f>CONCATENATE(IF(OR(Y148="Не определена",Y148,ISBLANK(Y148)),"↕",),IF(Y148="Не обязательна","±",),Q148,".",P148)</f>
        <v>17.бок (паз_10)</v>
      </c>
      <c r="C148" s="54" t="str">
        <f>I182</f>
        <v>-</v>
      </c>
      <c r="D148" s="54" t="str">
        <f>I182</f>
        <v>-</v>
      </c>
      <c r="E148" s="48">
        <f>IF(M148="скрутка",T148+$Q$1,IF(M148="склейка",T148+$Q$1,IF(M148="запил торца",ROUND(T148+$P$1,0),IF(M148="запил торцов",ROUND(T148+$P$1*2,0),T148))))+IF(G148=$O$1,$P$1,)+IF(H148=$O$1,$P$1,)</f>
        <v>743</v>
      </c>
      <c r="F148" s="48">
        <f>IF(M148="скрутка",U148+$Q$1,IF(M148="склейка",U148+$Q$1,IF(M148="запил торца",ROUND(U148+$P$1,0),IF(M148="запил торцов",ROUND(U148+$P$1*2,0),U148))))+IF(C148=$O$1,$P$1,)+IF(D148=$O$1,$P$1,)</f>
        <v>559</v>
      </c>
      <c r="G148" s="54" t="str">
        <f>I182</f>
        <v>-</v>
      </c>
      <c r="H148" s="54" t="str">
        <f>I182</f>
        <v>-</v>
      </c>
      <c r="I148" s="49">
        <f>IF(OR(M148="скрутка",M148="склейка"),Z148*2,Z148)</f>
        <v>1</v>
      </c>
      <c r="J148" s="53" t="str">
        <f>X148</f>
        <v>ЛДСП Lamarty 2750*1830*16 Белый б/к</v>
      </c>
      <c r="K148" s="52" t="str">
        <f>IF(ISBLANK(AB148),"",AB148)</f>
        <v/>
      </c>
      <c r="L148" s="52" t="str">
        <f>IF(ISBLANK(AC148),"",AC148)</f>
        <v/>
      </c>
      <c r="M148" s="51" t="str">
        <f>IF(AA148="","",AA148)</f>
        <v>паз ХДФ*anna(по длине);</v>
      </c>
      <c r="N148" s="30" t="str">
        <f>CONCATENATE(IF(E148&lt;&gt;T148,"НеРавны",),IF(AND(NOT(ISBLANK(R148)),R148&lt;&gt;T148),"Д",),IF(AND(NOT(ISBLANK(S148)),S148&lt;&gt;U148),"Ш",))</f>
        <v>ДШ</v>
      </c>
      <c r="O148" s="22">
        <f>O144+1</f>
        <v>79</v>
      </c>
      <c r="P148" s="18" t="s">
        <v>187</v>
      </c>
      <c r="Q148" s="18">
        <v>17</v>
      </c>
      <c r="R148" s="18">
        <v>744</v>
      </c>
      <c r="S148" s="18">
        <v>560</v>
      </c>
      <c r="T148" s="3">
        <v>743</v>
      </c>
      <c r="U148" s="3">
        <v>559</v>
      </c>
      <c r="V148" s="23"/>
      <c r="W148" s="23" t="s">
        <v>227</v>
      </c>
      <c r="X148" s="26" t="str">
        <f>J182</f>
        <v>ЛДСП Lamarty 2750*1830*16 Белый б/к</v>
      </c>
      <c r="Y148" s="18" t="s">
        <v>158</v>
      </c>
      <c r="Z148" s="18">
        <v>1</v>
      </c>
      <c r="AA148" s="18" t="s">
        <v>188</v>
      </c>
      <c r="AB148" s="18"/>
      <c r="AC148" s="18"/>
      <c r="AD148" s="56"/>
    </row>
    <row r="149" spans="1:30" x14ac:dyDescent="0.25">
      <c r="A149" s="9" t="str">
        <f>CONCATENATE(O149,".",LEFT(J149))</f>
        <v>80.Л</v>
      </c>
      <c r="B149" s="32" t="str">
        <f>CONCATENATE(IF(OR(Y149="Не определена",Y149,ISBLANK(Y149)),"↕",),IF(Y149="Не обязательна","±",),Q149,".",P149)</f>
        <v>17.бок (паз_10)</v>
      </c>
      <c r="C149" s="54" t="str">
        <f>I182</f>
        <v>-</v>
      </c>
      <c r="D149" s="54" t="str">
        <f>I182</f>
        <v>-</v>
      </c>
      <c r="E149" s="48">
        <f>IF(M149="скрутка",T149+$Q$1,IF(M149="склейка",T149+$Q$1,IF(M149="запил торца",ROUND(T149+$P$1,0),IF(M149="запил торцов",ROUND(T149+$P$1*2,0),T149))))+IF(G149=$O$1,$P$1,)+IF(H149=$O$1,$P$1,)</f>
        <v>743</v>
      </c>
      <c r="F149" s="48">
        <f>IF(M149="скрутка",U149+$Q$1,IF(M149="склейка",U149+$Q$1,IF(M149="запил торца",ROUND(U149+$P$1,0),IF(M149="запил торцов",ROUND(U149+$P$1*2,0),U149))))+IF(C149=$O$1,$P$1,)+IF(D149=$O$1,$P$1,)</f>
        <v>559</v>
      </c>
      <c r="G149" s="54" t="str">
        <f>I182</f>
        <v>-</v>
      </c>
      <c r="H149" s="54" t="str">
        <f>I182</f>
        <v>-</v>
      </c>
      <c r="I149" s="49">
        <f>IF(OR(M149="скрутка",M149="склейка"),Z149*2,Z149)</f>
        <v>1</v>
      </c>
      <c r="J149" s="53" t="str">
        <f>X149</f>
        <v>ЛДСП Lamarty 2750*1830*16 Белый б/к</v>
      </c>
      <c r="K149" s="52" t="str">
        <f>IF(ISBLANK(AB149),"",AB149)</f>
        <v/>
      </c>
      <c r="L149" s="52" t="str">
        <f>IF(ISBLANK(AC149),"",AC149)</f>
        <v/>
      </c>
      <c r="M149" s="51" t="str">
        <f>IF(AA149="","",AA149)</f>
        <v>паз ХДФ*anna(по длине);</v>
      </c>
      <c r="N149" s="30" t="str">
        <f>CONCATENATE(IF(E149&lt;&gt;T149,"НеРавны",),IF(AND(NOT(ISBLANK(R149)),R149&lt;&gt;T149),"Д",),IF(AND(NOT(ISBLANK(S149)),S149&lt;&gt;U149),"Ш",))</f>
        <v>ДШ</v>
      </c>
      <c r="O149" s="22">
        <f>O148+1</f>
        <v>80</v>
      </c>
      <c r="P149" s="18" t="s">
        <v>187</v>
      </c>
      <c r="Q149" s="18">
        <v>17</v>
      </c>
      <c r="R149" s="18">
        <v>744</v>
      </c>
      <c r="S149" s="18">
        <v>560</v>
      </c>
      <c r="T149" s="3">
        <v>743</v>
      </c>
      <c r="U149" s="3">
        <v>559</v>
      </c>
      <c r="V149" s="23"/>
      <c r="W149" s="23" t="s">
        <v>227</v>
      </c>
      <c r="X149" s="26" t="str">
        <f>J182</f>
        <v>ЛДСП Lamarty 2750*1830*16 Белый б/к</v>
      </c>
      <c r="Y149" s="18" t="s">
        <v>158</v>
      </c>
      <c r="Z149" s="18">
        <v>1</v>
      </c>
      <c r="AA149" s="18" t="s">
        <v>188</v>
      </c>
      <c r="AB149" s="18"/>
      <c r="AC149" s="18"/>
      <c r="AD149" s="56"/>
    </row>
    <row r="150" spans="1:30" x14ac:dyDescent="0.25">
      <c r="A150" s="9" t="str">
        <f>CONCATENATE(O150,".",LEFT(J150))</f>
        <v>81.Л</v>
      </c>
      <c r="B150" s="32" t="str">
        <f>CONCATENATE(IF(OR(Y150="Не определена",Y150,ISBLANK(Y150)),"↕",),IF(Y150="Не обязательна","±",),Q150,".",P150)</f>
        <v>17.дно (паз_10)</v>
      </c>
      <c r="C150" s="54" t="str">
        <f>I182</f>
        <v>-</v>
      </c>
      <c r="D150" s="54" t="str">
        <f>I182</f>
        <v>-</v>
      </c>
      <c r="E150" s="48">
        <f>IF(M150="скрутка",T150+$Q$1,IF(M150="склейка",T150+$Q$1,IF(M150="запил торца",ROUND(T150+$P$1,0),IF(M150="запил торцов",ROUND(T150+$P$1*2,0),T150))))+IF(G150=$O$1,$P$1,)+IF(H150=$O$1,$P$1,)</f>
        <v>599</v>
      </c>
      <c r="F150" s="48">
        <f>IF(M150="скрутка",U150+$Q$1,IF(M150="склейка",U150+$Q$1,IF(M150="запил торца",ROUND(U150+$P$1,0),IF(M150="запил торцов",ROUND(U150+$P$1*2,0),U150))))+IF(C150=$O$1,$P$1,)+IF(D150=$O$1,$P$1,)</f>
        <v>559</v>
      </c>
      <c r="G150" s="54" t="str">
        <f>I182</f>
        <v>-</v>
      </c>
      <c r="H150" s="54" t="str">
        <f>I182</f>
        <v>-</v>
      </c>
      <c r="I150" s="49">
        <f>IF(OR(M150="скрутка",M150="склейка"),Z150*2,Z150)</f>
        <v>1</v>
      </c>
      <c r="J150" s="53" t="str">
        <f>X150</f>
        <v>ЛДСП Lamarty 2750*1830*16 Белый б/к</v>
      </c>
      <c r="K150" s="52" t="str">
        <f>IF(ISBLANK(AB150),"",AB150)</f>
        <v/>
      </c>
      <c r="L150" s="52" t="str">
        <f>IF(ISBLANK(AC150),"",AC150)</f>
        <v/>
      </c>
      <c r="M150" s="51" t="str">
        <f>IF(AA150="","",AA150)</f>
        <v>паз ХДФ*anna(по длине);</v>
      </c>
      <c r="N150" s="30" t="str">
        <f>CONCATENATE(IF(E150&lt;&gt;T150,"НеРавны",),IF(AND(NOT(ISBLANK(R150)),R150&lt;&gt;T150),"Д",),IF(AND(NOT(ISBLANK(S150)),S150&lt;&gt;U150),"Ш",))</f>
        <v>ДШ</v>
      </c>
      <c r="O150" s="22">
        <f>O149+1</f>
        <v>81</v>
      </c>
      <c r="P150" s="18" t="s">
        <v>190</v>
      </c>
      <c r="Q150" s="18">
        <v>17</v>
      </c>
      <c r="R150" s="18">
        <v>600</v>
      </c>
      <c r="S150" s="18">
        <v>560</v>
      </c>
      <c r="T150" s="3">
        <v>599</v>
      </c>
      <c r="U150" s="3">
        <v>559</v>
      </c>
      <c r="V150" s="23"/>
      <c r="W150" s="23" t="s">
        <v>227</v>
      </c>
      <c r="X150" s="26" t="str">
        <f>J182</f>
        <v>ЛДСП Lamarty 2750*1830*16 Белый б/к</v>
      </c>
      <c r="Y150" s="18" t="s">
        <v>158</v>
      </c>
      <c r="Z150" s="18">
        <v>1</v>
      </c>
      <c r="AA150" s="18" t="s">
        <v>188</v>
      </c>
      <c r="AB150" s="18"/>
      <c r="AC150" s="18"/>
      <c r="AD150" s="56"/>
    </row>
    <row r="151" spans="1:30" x14ac:dyDescent="0.25">
      <c r="A151" s="9" t="str">
        <f>CONCATENATE(O151,".",LEFT(J151))</f>
        <v>82.Л</v>
      </c>
      <c r="B151" s="32" t="str">
        <f>CONCATENATE(IF(OR(Y151="Не определена",Y151,ISBLANK(Y151)),"↕",),IF(Y151="Не обязательна","±",),Q151,".",P151)</f>
        <v>17.дно ящика</v>
      </c>
      <c r="C151" s="54" t="str">
        <f>I182</f>
        <v>-</v>
      </c>
      <c r="D151" s="54" t="str">
        <f>I182</f>
        <v>-</v>
      </c>
      <c r="E151" s="48">
        <f>IF(M151="скрутка",T151+$Q$1,IF(M151="склейка",T151+$Q$1,IF(M151="запил торца",ROUND(T151+$P$1,0),IF(M151="запил торцов",ROUND(T151+$P$1*2,0),T151))))+IF(G151=$O$1,$P$1,)+IF(H151=$O$1,$P$1,)</f>
        <v>493</v>
      </c>
      <c r="F151" s="48">
        <f>IF(M151="скрутка",U151+$Q$1,IF(M151="склейка",U151+$Q$1,IF(M151="запил торца",ROUND(U151+$P$1,0),IF(M151="запил торцов",ROUND(U151+$P$1*2,0),U151))))+IF(C151=$O$1,$P$1,)+IF(D151=$O$1,$P$1,)</f>
        <v>475</v>
      </c>
      <c r="G151" s="47"/>
      <c r="H151" s="47"/>
      <c r="I151" s="49">
        <f>IF(OR(M151="скрутка",M151="склейка"),Z151*2,Z151)</f>
        <v>2</v>
      </c>
      <c r="J151" s="53" t="str">
        <f>X151</f>
        <v>ЛДСП Lamarty 2750*1830*16 Белый б/к</v>
      </c>
      <c r="K151" s="52" t="str">
        <f>IF(ISBLANK(AB151),"",AB151)</f>
        <v/>
      </c>
      <c r="L151" s="52" t="str">
        <f>IF(ISBLANK(AC151),"",AC151)</f>
        <v/>
      </c>
      <c r="M151" s="51" t="str">
        <f>IF(AA151="","",AA151)</f>
        <v/>
      </c>
      <c r="N151" s="30" t="str">
        <f>CONCATENATE(IF(E151&lt;&gt;T151,"НеРавны",),IF(AND(NOT(ISBLANK(R151)),R151&lt;&gt;T151),"Д",),IF(AND(NOT(ISBLANK(S151)),S151&lt;&gt;U151),"Ш",))</f>
        <v>Ш</v>
      </c>
      <c r="O151" s="22">
        <f>O150+1</f>
        <v>82</v>
      </c>
      <c r="P151" s="18" t="s">
        <v>182</v>
      </c>
      <c r="Q151" s="18">
        <v>17</v>
      </c>
      <c r="R151" s="18">
        <v>493</v>
      </c>
      <c r="S151" s="18">
        <v>476</v>
      </c>
      <c r="T151" s="3">
        <v>493</v>
      </c>
      <c r="U151" s="3">
        <v>475</v>
      </c>
      <c r="V151" s="23"/>
      <c r="W151" s="23" t="s">
        <v>228</v>
      </c>
      <c r="X151" s="26" t="str">
        <f>J182</f>
        <v>ЛДСП Lamarty 2750*1830*16 Белый б/к</v>
      </c>
      <c r="Y151" s="18" t="s">
        <v>158</v>
      </c>
      <c r="Z151" s="18">
        <v>2</v>
      </c>
      <c r="AA151" s="18"/>
      <c r="AB151" s="18"/>
      <c r="AC151" s="18"/>
      <c r="AD151" s="56"/>
    </row>
    <row r="152" spans="1:30" x14ac:dyDescent="0.25">
      <c r="A152" s="9" t="str">
        <f>CONCATENATE(O152,".",LEFT(J152))</f>
        <v>83.Л</v>
      </c>
      <c r="B152" s="32" t="str">
        <f>CONCATENATE(IF(OR(Y152="Не определена",Y152,ISBLANK(Y152)),"↕",),IF(Y152="Не обязательна","±",),Q152,".",P152)</f>
        <v>17.тыл ящика</v>
      </c>
      <c r="C152" s="54" t="str">
        <f>I182</f>
        <v>-</v>
      </c>
      <c r="D152" s="54" t="str">
        <f>I182</f>
        <v>-</v>
      </c>
      <c r="E152" s="48">
        <f>IF(M152="скрутка",T152+$Q$1,IF(M152="склейка",T152+$Q$1,IF(M152="запил торца",ROUND(T152+$P$1,0),IF(M152="запил торцов",ROUND(T152+$P$1*2,0),T152))))+IF(G152=$O$1,$P$1,)+IF(H152=$O$1,$P$1,)</f>
        <v>481</v>
      </c>
      <c r="F152" s="48">
        <f>IF(M152="скрутка",U152+$Q$1,IF(M152="склейка",U152+$Q$1,IF(M152="запил торца",ROUND(U152+$P$1,0),IF(M152="запил торцов",ROUND(U152+$P$1*2,0),U152))))+IF(C152=$O$1,$P$1,)+IF(D152=$O$1,$P$1,)</f>
        <v>198</v>
      </c>
      <c r="G152" s="47"/>
      <c r="H152" s="47"/>
      <c r="I152" s="49">
        <f>IF(OR(M152="скрутка",M152="склейка"),Z152*2,Z152)</f>
        <v>2</v>
      </c>
      <c r="J152" s="53" t="str">
        <f>X152</f>
        <v>ЛДСП Lamarty 2750*1830*16 Белый б/к</v>
      </c>
      <c r="K152" s="52" t="str">
        <f>IF(ISBLANK(AB152),"",AB152)</f>
        <v/>
      </c>
      <c r="L152" s="52" t="str">
        <f>IF(ISBLANK(AC152),"",AC152)</f>
        <v/>
      </c>
      <c r="M152" s="51" t="str">
        <f>IF(AA152="","",AA152)</f>
        <v/>
      </c>
      <c r="N152" s="30" t="str">
        <f>CONCATENATE(IF(E152&lt;&gt;T152,"НеРавны",),IF(AND(NOT(ISBLANK(R152)),R152&lt;&gt;T152),"Д",),IF(AND(NOT(ISBLANK(S152)),S152&lt;&gt;U152),"Ш",))</f>
        <v>Ш</v>
      </c>
      <c r="O152" s="22">
        <f>O151+1</f>
        <v>83</v>
      </c>
      <c r="P152" s="18" t="s">
        <v>183</v>
      </c>
      <c r="Q152" s="18">
        <v>17</v>
      </c>
      <c r="R152" s="18">
        <v>481</v>
      </c>
      <c r="S152" s="18">
        <v>199</v>
      </c>
      <c r="T152" s="3">
        <v>481</v>
      </c>
      <c r="U152" s="3">
        <v>198</v>
      </c>
      <c r="V152" s="23"/>
      <c r="W152" s="23" t="s">
        <v>228</v>
      </c>
      <c r="X152" s="26" t="str">
        <f>J182</f>
        <v>ЛДСП Lamarty 2750*1830*16 Белый б/к</v>
      </c>
      <c r="Y152" s="18" t="s">
        <v>158</v>
      </c>
      <c r="Z152" s="18">
        <v>2</v>
      </c>
      <c r="AA152" s="18"/>
      <c r="AB152" s="18"/>
      <c r="AC152" s="18"/>
      <c r="AD152" s="56"/>
    </row>
    <row r="153" spans="1:30" x14ac:dyDescent="0.25">
      <c r="A153" s="9" t="str">
        <f>CONCATENATE(O153,".",LEFT(J153))</f>
        <v>84.Л</v>
      </c>
      <c r="B153" s="32" t="str">
        <f>CONCATENATE(IF(OR(Y153="Не определена",Y153,ISBLANK(Y153)),"↕",),IF(Y153="Не обязательна","±",),Q153,".",P153)</f>
        <v>17.фальш горизонт</v>
      </c>
      <c r="C153" s="54" t="str">
        <f>I182</f>
        <v>-</v>
      </c>
      <c r="D153" s="54" t="str">
        <f>I182</f>
        <v>-</v>
      </c>
      <c r="E153" s="48">
        <f>IF(M153="скрутка",T153+$Q$1,IF(M153="склейка",T153+$Q$1,IF(M153="запил торца",ROUND(T153+$P$1,0),IF(M153="запил торцов",ROUND(T153+$P$1*2,0),T153))))+IF(G153=$O$1,$P$1,)+IF(H153=$O$1,$P$1,)</f>
        <v>568</v>
      </c>
      <c r="F153" s="48">
        <f>IF(M153="скрутка",U153+$Q$1,IF(M153="склейка",U153+$Q$1,IF(M153="запил торца",ROUND(U153+$P$1,0),IF(M153="запил торцов",ROUND(U153+$P$1*2,0),U153))))+IF(C153=$O$1,$P$1,)+IF(D153=$O$1,$P$1,)</f>
        <v>99</v>
      </c>
      <c r="G153" s="47"/>
      <c r="H153" s="47"/>
      <c r="I153" s="49">
        <f>IF(OR(M153="скрутка",M153="склейка"),Z153*2,Z153)</f>
        <v>1</v>
      </c>
      <c r="J153" s="53" t="str">
        <f>X153</f>
        <v>ЛДСП Lamarty 2750*1830*16 Белый б/к</v>
      </c>
      <c r="K153" s="52" t="str">
        <f>IF(ISBLANK(AB153),"",AB153)</f>
        <v/>
      </c>
      <c r="L153" s="52" t="str">
        <f>IF(ISBLANK(AC153),"",AC153)</f>
        <v/>
      </c>
      <c r="M153" s="51" t="str">
        <f>IF(AA153="","",AA153)</f>
        <v/>
      </c>
      <c r="N153" s="30" t="str">
        <f>CONCATENATE(IF(E153&lt;&gt;T153,"НеРавны",),IF(AND(NOT(ISBLANK(R153)),R153&lt;&gt;T153),"Д",),IF(AND(NOT(ISBLANK(S153)),S153&lt;&gt;U153),"Ш",))</f>
        <v>Ш</v>
      </c>
      <c r="O153" s="22">
        <f>O152+1</f>
        <v>84</v>
      </c>
      <c r="P153" s="18" t="s">
        <v>186</v>
      </c>
      <c r="Q153" s="18">
        <v>17</v>
      </c>
      <c r="R153" s="18">
        <v>568</v>
      </c>
      <c r="S153" s="18">
        <v>100</v>
      </c>
      <c r="T153" s="3">
        <v>568</v>
      </c>
      <c r="U153" s="3">
        <v>99</v>
      </c>
      <c r="V153" s="23"/>
      <c r="W153" s="23" t="s">
        <v>228</v>
      </c>
      <c r="X153" s="26" t="str">
        <f>J182</f>
        <v>ЛДСП Lamarty 2750*1830*16 Белый б/к</v>
      </c>
      <c r="Y153" s="18" t="s">
        <v>158</v>
      </c>
      <c r="Z153" s="18">
        <v>1</v>
      </c>
      <c r="AA153" s="18"/>
      <c r="AB153" s="18"/>
      <c r="AC153" s="18"/>
      <c r="AD153" s="56"/>
    </row>
    <row r="154" spans="1:30" x14ac:dyDescent="0.25">
      <c r="A154" s="9" t="str">
        <f>CONCATENATE(O154,".",LEFT(J154))</f>
        <v>85.Л</v>
      </c>
      <c r="B154" s="32" t="str">
        <f>CONCATENATE(IF(OR(Y154="Не определена",Y154,ISBLANK(Y154)),"↕",),IF(Y154="Не обязательна","±",),Q154,".",P154)</f>
        <v>17.фальш горизонт</v>
      </c>
      <c r="C154" s="54" t="str">
        <f>I182</f>
        <v>-</v>
      </c>
      <c r="D154" s="54" t="str">
        <f>I182</f>
        <v>-</v>
      </c>
      <c r="E154" s="48">
        <f>IF(M154="скрутка",T154+$Q$1,IF(M154="склейка",T154+$Q$1,IF(M154="запил торца",ROUND(T154+$P$1,0),IF(M154="запил торцов",ROUND(T154+$P$1*2,0),T154))))+IF(G154=$O$1,$P$1,)+IF(H154=$O$1,$P$1,)</f>
        <v>568</v>
      </c>
      <c r="F154" s="48">
        <f>IF(M154="скрутка",U154+$Q$1,IF(M154="склейка",U154+$Q$1,IF(M154="запил торца",ROUND(U154+$P$1,0),IF(M154="запил торцов",ROUND(U154+$P$1*2,0),U154))))+IF(C154=$O$1,$P$1,)+IF(D154=$O$1,$P$1,)</f>
        <v>99</v>
      </c>
      <c r="G154" s="47"/>
      <c r="H154" s="47"/>
      <c r="I154" s="49">
        <f>IF(OR(M154="скрутка",M154="склейка"),Z154*2,Z154)</f>
        <v>1</v>
      </c>
      <c r="J154" s="53" t="str">
        <f>X154</f>
        <v>ЛДСП Lamarty 2750*1830*16 Белый б/к</v>
      </c>
      <c r="K154" s="52" t="str">
        <f>IF(ISBLANK(AB154),"",AB154)</f>
        <v/>
      </c>
      <c r="L154" s="52" t="str">
        <f>IF(ISBLANK(AC154),"",AC154)</f>
        <v/>
      </c>
      <c r="M154" s="51" t="str">
        <f>IF(AA154="","",AA154)</f>
        <v/>
      </c>
      <c r="N154" s="30" t="str">
        <f>CONCATENATE(IF(E154&lt;&gt;T154,"НеРавны",),IF(AND(NOT(ISBLANK(R154)),R154&lt;&gt;T154),"Д",),IF(AND(NOT(ISBLANK(S154)),S154&lt;&gt;U154),"Ш",))</f>
        <v>Ш</v>
      </c>
      <c r="O154" s="22">
        <f>O153+1</f>
        <v>85</v>
      </c>
      <c r="P154" s="18" t="s">
        <v>186</v>
      </c>
      <c r="Q154" s="18">
        <v>17</v>
      </c>
      <c r="R154" s="18">
        <v>568</v>
      </c>
      <c r="S154" s="18">
        <v>100</v>
      </c>
      <c r="T154" s="3">
        <v>568</v>
      </c>
      <c r="U154" s="3">
        <v>99</v>
      </c>
      <c r="V154" s="23"/>
      <c r="W154" s="23" t="s">
        <v>228</v>
      </c>
      <c r="X154" s="26" t="str">
        <f>J182</f>
        <v>ЛДСП Lamarty 2750*1830*16 Белый б/к</v>
      </c>
      <c r="Y154" s="18" t="s">
        <v>158</v>
      </c>
      <c r="Z154" s="18">
        <v>1</v>
      </c>
      <c r="AA154" s="18"/>
      <c r="AB154" s="18"/>
      <c r="AC154" s="18"/>
      <c r="AD154" s="56"/>
    </row>
    <row r="155" spans="1:30" x14ac:dyDescent="0.25">
      <c r="A155" s="9" t="str">
        <f>CONCATENATE(O155,".",LEFT(J155))</f>
        <v>86.Л</v>
      </c>
      <c r="B155" s="32" t="str">
        <f>CONCATENATE(IF(OR(Y155="Не определена",Y155,ISBLANK(Y155)),"↕",),IF(Y155="Не обязательна","±",),Q155,".",P155)</f>
        <v>17.фальш горизонт (паз_10)</v>
      </c>
      <c r="C155" s="54" t="str">
        <f>I182</f>
        <v>-</v>
      </c>
      <c r="D155" s="54" t="str">
        <f>I182</f>
        <v>-</v>
      </c>
      <c r="E155" s="48">
        <f>IF(M155="скрутка",T155+$Q$1,IF(M155="склейка",T155+$Q$1,IF(M155="запил торца",ROUND(T155+$P$1,0),IF(M155="запил торцов",ROUND(T155+$P$1*2,0),T155))))+IF(G155=$O$1,$P$1,)+IF(H155=$O$1,$P$1,)</f>
        <v>568</v>
      </c>
      <c r="F155" s="48">
        <f>IF(M155="скрутка",U155+$Q$1,IF(M155="склейка",U155+$Q$1,IF(M155="запил торца",ROUND(U155+$P$1,0),IF(M155="запил торцов",ROUND(U155+$P$1*2,0),U155))))+IF(C155=$O$1,$P$1,)+IF(D155=$O$1,$P$1,)</f>
        <v>99</v>
      </c>
      <c r="G155" s="47"/>
      <c r="H155" s="47"/>
      <c r="I155" s="49">
        <f>IF(OR(M155="скрутка",M155="склейка"),Z155*2,Z155)</f>
        <v>1</v>
      </c>
      <c r="J155" s="53" t="str">
        <f>X155</f>
        <v>ЛДСП Lamarty 2750*1830*16 Белый б/к</v>
      </c>
      <c r="K155" s="52" t="str">
        <f>IF(ISBLANK(AB155),"",AB155)</f>
        <v/>
      </c>
      <c r="L155" s="52" t="str">
        <f>IF(ISBLANK(AC155),"",AC155)</f>
        <v/>
      </c>
      <c r="M155" s="51" t="str">
        <f>IF(AA155="","",AA155)</f>
        <v>паз ХДФ 8*4(по длине);</v>
      </c>
      <c r="N155" s="30" t="str">
        <f>CONCATENATE(IF(E155&lt;&gt;T155,"НеРавны",),IF(AND(NOT(ISBLANK(R155)),R155&lt;&gt;T155),"Д",),IF(AND(NOT(ISBLANK(S155)),S155&lt;&gt;U155),"Ш",))</f>
        <v>Ш</v>
      </c>
      <c r="O155" s="22">
        <f>O154+1</f>
        <v>86</v>
      </c>
      <c r="P155" s="18" t="s">
        <v>184</v>
      </c>
      <c r="Q155" s="18">
        <v>17</v>
      </c>
      <c r="R155" s="18">
        <v>568</v>
      </c>
      <c r="S155" s="18">
        <v>100</v>
      </c>
      <c r="T155" s="3">
        <v>568</v>
      </c>
      <c r="U155" s="3">
        <v>99</v>
      </c>
      <c r="V155" s="23"/>
      <c r="W155" s="23" t="s">
        <v>228</v>
      </c>
      <c r="X155" s="26" t="str">
        <f>J182</f>
        <v>ЛДСП Lamarty 2750*1830*16 Белый б/к</v>
      </c>
      <c r="Y155" s="18" t="s">
        <v>158</v>
      </c>
      <c r="Z155" s="18">
        <v>1</v>
      </c>
      <c r="AA155" s="18" t="s">
        <v>185</v>
      </c>
      <c r="AB155" s="18"/>
      <c r="AC155" s="18"/>
      <c r="AD155" s="56"/>
    </row>
    <row r="156" spans="1:30" ht="30" x14ac:dyDescent="0.25">
      <c r="A156" s="9" t="str">
        <f>CONCATENATE(O156,".",LEFT(J156))</f>
        <v>22.М</v>
      </c>
      <c r="B156" s="32" t="str">
        <f>CONCATENATE(IF(OR(Y156="Не определена",Y156,ISBLANK(Y156)),"↕",),IF(Y156="Не обязательна","±",),Q156,".",P156)</f>
        <v>17.фасад (мыло, 901246 в торец)</v>
      </c>
      <c r="C156" s="54" t="str">
        <f>I186</f>
        <v>-</v>
      </c>
      <c r="D156" s="54" t="str">
        <f>I186</f>
        <v>-</v>
      </c>
      <c r="E156" s="48">
        <f>IF(M156="скрутка",T156+$Q$1,IF(M156="склейка",T156+$Q$1,IF(M156="запил торца",ROUND(T156+$P$1,0),IF(M156="запил торцов",ROUND(T156+$P$1*2,0),T156))))+IF(G156=$O$1,$P$1,)+IF(H156=$O$1,$P$1,)</f>
        <v>337</v>
      </c>
      <c r="F156" s="48">
        <f>IF(M156="скрутка",U156+$Q$1,IF(M156="склейка",U156+$Q$1,IF(M156="запил торца",ROUND(U156+$P$1,0),IF(M156="запил торцов",ROUND(U156+$P$1*2,0),U156))))+IF(C156=$O$1,$P$1,)+IF(D156=$O$1,$P$1,)</f>
        <v>597</v>
      </c>
      <c r="G156" s="54" t="str">
        <f>I186</f>
        <v>-</v>
      </c>
      <c r="H156" s="54" t="str">
        <f>I186</f>
        <v>-</v>
      </c>
      <c r="I156" s="49">
        <f>IF(OR(M156="скрутка",M156="склейка"),Z156*2,Z156)</f>
        <v>1</v>
      </c>
      <c r="J156" s="53" t="str">
        <f>X156</f>
        <v>МДФ 2800х2070х16 лам. Белый 2 ст. б/к</v>
      </c>
      <c r="K156" s="52" t="str">
        <f>IF(ISBLANK(AB156),"",AB156)</f>
        <v>KHR Глянец</v>
      </c>
      <c r="L156" s="52" t="str">
        <f>IF(ISBLANK(AC156),"",AC156)</f>
        <v/>
      </c>
      <c r="M156" s="51" t="str">
        <f>IF(AA156="","",AA156)</f>
        <v/>
      </c>
      <c r="N156" s="30" t="str">
        <f>CONCATENATE(IF(E156&lt;&gt;T156,"НеРавны",),IF(AND(NOT(ISBLANK(R156)),R156&lt;&gt;T156),"Д",),IF(AND(NOT(ISBLANK(S156)),S156&lt;&gt;U156),"Ш",))</f>
        <v/>
      </c>
      <c r="O156" s="22">
        <f>O146+1</f>
        <v>22</v>
      </c>
      <c r="P156" s="18" t="s">
        <v>191</v>
      </c>
      <c r="Q156" s="18">
        <v>17</v>
      </c>
      <c r="R156" s="18">
        <v>337</v>
      </c>
      <c r="S156" s="18">
        <v>597</v>
      </c>
      <c r="T156" s="3">
        <v>337</v>
      </c>
      <c r="U156" s="3">
        <v>597</v>
      </c>
      <c r="V156" s="23"/>
      <c r="W156" s="23" t="s">
        <v>229</v>
      </c>
      <c r="X156" s="26" t="str">
        <f>J186</f>
        <v>МДФ 2800х2070х16 лам. Белый 2 ст. б/к</v>
      </c>
      <c r="Y156" s="18" t="s">
        <v>158</v>
      </c>
      <c r="Z156" s="18">
        <v>1</v>
      </c>
      <c r="AA156" s="18"/>
      <c r="AB156" s="18" t="str">
        <f>K179</f>
        <v>KHR Глянец</v>
      </c>
      <c r="AC156" s="18"/>
      <c r="AD156" s="56"/>
    </row>
    <row r="157" spans="1:30" ht="30" x14ac:dyDescent="0.25">
      <c r="A157" s="9" t="str">
        <f>CONCATENATE(O157,".",LEFT(J157))</f>
        <v>23.М</v>
      </c>
      <c r="B157" s="32" t="str">
        <f>CONCATENATE(IF(OR(Y157="Не определена",Y157,ISBLANK(Y157)),"↕",),IF(Y157="Не обязательна","±",),Q157,".",P157)</f>
        <v>17.фасад (мыло, 901246 в торец)</v>
      </c>
      <c r="C157" s="54" t="str">
        <f>I186</f>
        <v>-</v>
      </c>
      <c r="D157" s="54" t="str">
        <f>I186</f>
        <v>-</v>
      </c>
      <c r="E157" s="48">
        <f>IF(M157="скрутка",T157+$Q$1,IF(M157="склейка",T157+$Q$1,IF(M157="запил торца",ROUND(T157+$P$1,0),IF(M157="запил торцов",ROUND(T157+$P$1*2,0),T157))))+IF(G157=$O$1,$P$1,)+IF(H157=$O$1,$P$1,)</f>
        <v>337</v>
      </c>
      <c r="F157" s="48">
        <f>IF(M157="скрутка",U157+$Q$1,IF(M157="склейка",U157+$Q$1,IF(M157="запил торца",ROUND(U157+$P$1,0),IF(M157="запил торцов",ROUND(U157+$P$1*2,0),U157))))+IF(C157=$O$1,$P$1,)+IF(D157=$O$1,$P$1,)</f>
        <v>597</v>
      </c>
      <c r="G157" s="54" t="str">
        <f>I186</f>
        <v>-</v>
      </c>
      <c r="H157" s="54" t="str">
        <f>I186</f>
        <v>-</v>
      </c>
      <c r="I157" s="49">
        <f>IF(OR(M157="скрутка",M157="склейка"),Z157*2,Z157)</f>
        <v>1</v>
      </c>
      <c r="J157" s="53" t="str">
        <f>X157</f>
        <v>МДФ 2800х2070х16 лам. Белый 2 ст. б/к</v>
      </c>
      <c r="K157" s="52" t="str">
        <f>IF(ISBLANK(AB157),"",AB157)</f>
        <v>KHR Глянец</v>
      </c>
      <c r="L157" s="52" t="str">
        <f>IF(ISBLANK(AC157),"",AC157)</f>
        <v/>
      </c>
      <c r="M157" s="51" t="str">
        <f>IF(AA157="","",AA157)</f>
        <v/>
      </c>
      <c r="N157" s="30" t="str">
        <f>CONCATENATE(IF(E157&lt;&gt;T157,"НеРавны",),IF(AND(NOT(ISBLANK(R157)),R157&lt;&gt;T157),"Д",),IF(AND(NOT(ISBLANK(S157)),S157&lt;&gt;U157),"Ш",))</f>
        <v/>
      </c>
      <c r="O157" s="22">
        <f>O156+1</f>
        <v>23</v>
      </c>
      <c r="P157" s="18" t="s">
        <v>191</v>
      </c>
      <c r="Q157" s="18">
        <v>17</v>
      </c>
      <c r="R157" s="18">
        <v>337</v>
      </c>
      <c r="S157" s="18">
        <v>597</v>
      </c>
      <c r="T157" s="3">
        <v>337</v>
      </c>
      <c r="U157" s="3">
        <v>597</v>
      </c>
      <c r="V157" s="23"/>
      <c r="W157" s="23" t="s">
        <v>229</v>
      </c>
      <c r="X157" s="26" t="str">
        <f>J186</f>
        <v>МДФ 2800х2070х16 лам. Белый 2 ст. б/к</v>
      </c>
      <c r="Y157" s="18" t="s">
        <v>158</v>
      </c>
      <c r="Z157" s="18">
        <v>1</v>
      </c>
      <c r="AA157" s="18"/>
      <c r="AB157" s="18" t="str">
        <f>K179</f>
        <v>KHR Глянец</v>
      </c>
      <c r="AC157" s="18"/>
      <c r="AD157" s="56"/>
    </row>
    <row r="158" spans="1:30" x14ac:dyDescent="0.25">
      <c r="A158" s="9" t="str">
        <f>CONCATENATE(O158,".",LEFT(J158))</f>
        <v>1.к</v>
      </c>
      <c r="B158" s="32" t="str">
        <f>CONCATENATE(IF(OR(Y158="Не определена",Y158,ISBLANK(Y158)),"↕",),IF(Y158="Не обязательна","±",),Q158,".",P158)</f>
        <v>.водоотбойник камень 12</v>
      </c>
      <c r="C158" s="47"/>
      <c r="D158" s="47"/>
      <c r="E158" s="48">
        <f>IF(M158="скрутка",T158+$Q$1,IF(M158="склейка",T158+$Q$1,IF(M158="запил торца",ROUND(T158+$P$1,0),IF(M158="запил торцов",ROUND(T158+$P$1*2,0),T158))))+IF(G158=$O$1,$P$1,)+IF(H158=$O$1,$P$1,)</f>
        <v>1817</v>
      </c>
      <c r="F158" s="48">
        <f>IF(M158="скрутка",U158+$Q$1,IF(M158="склейка",U158+$Q$1,IF(M158="запил торца",ROUND(U158+$P$1,0),IF(M158="запил торцов",ROUND(U158+$P$1*2,0),U158))))+IF(C158=$O$1,$P$1,)+IF(D158=$O$1,$P$1,)</f>
        <v>20</v>
      </c>
      <c r="G158" s="47"/>
      <c r="H158" s="47"/>
      <c r="I158" s="49">
        <f>IF(OR(M158="скрутка",M158="склейка"),Z158*2,Z158)</f>
        <v>1</v>
      </c>
      <c r="J158" s="111" t="str">
        <f>X158</f>
        <v>камень_Akrilika MA-502 Everest 3660*760*12 б/к</v>
      </c>
      <c r="K158" s="52" t="str">
        <f>IF(ISBLANK(AB158),"",AB158)</f>
        <v/>
      </c>
      <c r="L158" s="52" t="str">
        <f>IF(ISBLANK(AC158),"",AC158)</f>
        <v/>
      </c>
      <c r="M158" s="51" t="str">
        <f>IF(AA158="","",AA158)</f>
        <v/>
      </c>
      <c r="N158" s="30" t="str">
        <f>CONCATENATE(IF(E158&lt;&gt;T158,"НеРавны",),IF(AND(NOT(ISBLANK(R158)),R158&lt;&gt;T158),"Д",),IF(AND(NOT(ISBLANK(S158)),S158&lt;&gt;U158),"Ш",))</f>
        <v/>
      </c>
      <c r="O158" s="22">
        <v>1</v>
      </c>
      <c r="P158" s="18" t="s">
        <v>170</v>
      </c>
      <c r="Q158" s="18"/>
      <c r="R158" s="18">
        <v>1817</v>
      </c>
      <c r="S158" s="18">
        <v>20</v>
      </c>
      <c r="T158" s="3">
        <v>1817</v>
      </c>
      <c r="U158" s="3">
        <v>20</v>
      </c>
      <c r="V158" s="23"/>
      <c r="W158" s="23" t="s">
        <v>164</v>
      </c>
      <c r="X158" s="18" t="s">
        <v>106</v>
      </c>
      <c r="Y158" s="18" t="s">
        <v>158</v>
      </c>
      <c r="Z158" s="18">
        <v>1</v>
      </c>
      <c r="AA158" s="18"/>
      <c r="AB158" s="18"/>
      <c r="AC158" s="18"/>
      <c r="AD158" s="56"/>
    </row>
    <row r="159" spans="1:30" x14ac:dyDescent="0.25">
      <c r="A159" s="9" t="str">
        <f>CONCATENATE(O159,".",LEFT(J159))</f>
        <v>2.к</v>
      </c>
      <c r="B159" s="32" t="str">
        <f>CONCATENATE(IF(OR(Y159="Не определена",Y159,ISBLANK(Y159)),"↕",),IF(Y159="Не обязательна","±",),Q159,".",P159)</f>
        <v>.водоотбойник камень 12</v>
      </c>
      <c r="C159" s="47"/>
      <c r="D159" s="47"/>
      <c r="E159" s="48">
        <f>IF(M159="скрутка",T159+$Q$1,IF(M159="склейка",T159+$Q$1,IF(M159="запил торца",ROUND(T159+$P$1,0),IF(M159="запил торцов",ROUND(T159+$P$1*2,0),T159))))+IF(G159=$O$1,$P$1,)+IF(H159=$O$1,$P$1,)</f>
        <v>2387</v>
      </c>
      <c r="F159" s="48">
        <f>IF(M159="скрутка",U159+$Q$1,IF(M159="склейка",U159+$Q$1,IF(M159="запил торца",ROUND(U159+$P$1,0),IF(M159="запил торцов",ROUND(U159+$P$1*2,0),U159))))+IF(C159=$O$1,$P$1,)+IF(D159=$O$1,$P$1,)</f>
        <v>20</v>
      </c>
      <c r="G159" s="47"/>
      <c r="H159" s="47"/>
      <c r="I159" s="49">
        <f>IF(OR(M159="скрутка",M159="склейка"),Z159*2,Z159)</f>
        <v>1</v>
      </c>
      <c r="J159" s="111" t="str">
        <f>X159</f>
        <v>камень_Akrilika MA-502 Everest 3660*760*12 б/к</v>
      </c>
      <c r="K159" s="52" t="str">
        <f>IF(ISBLANK(AB159),"",AB159)</f>
        <v/>
      </c>
      <c r="L159" s="52" t="str">
        <f>IF(ISBLANK(AC159),"",AC159)</f>
        <v/>
      </c>
      <c r="M159" s="51" t="str">
        <f>IF(AA159="","",AA159)</f>
        <v/>
      </c>
      <c r="N159" s="30" t="str">
        <f>CONCATENATE(IF(E159&lt;&gt;T159,"НеРавны",),IF(AND(NOT(ISBLANK(R159)),R159&lt;&gt;T159),"Д",),IF(AND(NOT(ISBLANK(S159)),S159&lt;&gt;U159),"Ш",))</f>
        <v/>
      </c>
      <c r="O159" s="22">
        <f>O158+1</f>
        <v>2</v>
      </c>
      <c r="P159" s="18" t="s">
        <v>170</v>
      </c>
      <c r="Q159" s="18"/>
      <c r="R159" s="18">
        <v>2387</v>
      </c>
      <c r="S159" s="18">
        <v>20</v>
      </c>
      <c r="T159" s="3">
        <v>2387</v>
      </c>
      <c r="U159" s="3">
        <v>20</v>
      </c>
      <c r="V159" s="23"/>
      <c r="W159" s="23" t="s">
        <v>164</v>
      </c>
      <c r="X159" s="26" t="str">
        <f>X158</f>
        <v>камень_Akrilika MA-502 Everest 3660*760*12 б/к</v>
      </c>
      <c r="Y159" s="18" t="s">
        <v>158</v>
      </c>
      <c r="Z159" s="18">
        <v>1</v>
      </c>
      <c r="AA159" s="18"/>
      <c r="AB159" s="18"/>
      <c r="AC159" s="18"/>
      <c r="AD159" s="56"/>
    </row>
    <row r="160" spans="1:30" x14ac:dyDescent="0.25">
      <c r="A160" s="9" t="str">
        <f>CONCATENATE(O160,".",LEFT(J160))</f>
        <v>3.к</v>
      </c>
      <c r="B160" s="32" t="str">
        <f>CONCATENATE(IF(OR(Y160="Не определена",Y160,ISBLANK(Y160)),"↕",),IF(Y160="Не обязательна","±",),Q160,".",P160)</f>
        <v>.водоотбойник камень 12</v>
      </c>
      <c r="C160" s="47"/>
      <c r="D160" s="47"/>
      <c r="E160" s="48">
        <f>IF(M160="скрутка",T160+$Q$1,IF(M160="склейка",T160+$Q$1,IF(M160="запил торца",ROUND(T160+$P$1,0),IF(M160="запил торцов",ROUND(T160+$P$1*2,0),T160))))+IF(G160=$O$1,$P$1,)+IF(H160=$O$1,$P$1,)</f>
        <v>599</v>
      </c>
      <c r="F160" s="48">
        <f>IF(M160="скрутка",U160+$Q$1,IF(M160="склейка",U160+$Q$1,IF(M160="запил торца",ROUND(U160+$P$1,0),IF(M160="запил торцов",ROUND(U160+$P$1*2,0),U160))))+IF(C160=$O$1,$P$1,)+IF(D160=$O$1,$P$1,)</f>
        <v>20</v>
      </c>
      <c r="G160" s="47"/>
      <c r="H160" s="47"/>
      <c r="I160" s="49">
        <f>IF(OR(M160="скрутка",M160="склейка"),Z160*2,Z160)</f>
        <v>1</v>
      </c>
      <c r="J160" s="111" t="str">
        <f>X160</f>
        <v>камень_Akrilika MA-502 Everest 3660*760*12 б/к</v>
      </c>
      <c r="K160" s="52" t="str">
        <f>IF(ISBLANK(AB160),"",AB160)</f>
        <v/>
      </c>
      <c r="L160" s="52" t="str">
        <f>IF(ISBLANK(AC160),"",AC160)</f>
        <v/>
      </c>
      <c r="M160" s="51" t="str">
        <f>IF(AA160="","",AA160)</f>
        <v/>
      </c>
      <c r="N160" s="30" t="str">
        <f>CONCATENATE(IF(E160&lt;&gt;T160,"НеРавны",),IF(AND(NOT(ISBLANK(R160)),R160&lt;&gt;T160),"Д",),IF(AND(NOT(ISBLANK(S160)),S160&lt;&gt;U160),"Ш",))</f>
        <v/>
      </c>
      <c r="O160" s="22">
        <f>O159+1</f>
        <v>3</v>
      </c>
      <c r="P160" s="18" t="s">
        <v>170</v>
      </c>
      <c r="Q160" s="18"/>
      <c r="R160" s="18">
        <v>599</v>
      </c>
      <c r="S160" s="18">
        <v>20</v>
      </c>
      <c r="T160" s="3">
        <v>599</v>
      </c>
      <c r="U160" s="3">
        <v>20</v>
      </c>
      <c r="V160" s="23"/>
      <c r="W160" s="23" t="s">
        <v>164</v>
      </c>
      <c r="X160" s="26" t="str">
        <f>X159</f>
        <v>камень_Akrilika MA-502 Everest 3660*760*12 б/к</v>
      </c>
      <c r="Y160" s="18" t="s">
        <v>158</v>
      </c>
      <c r="Z160" s="18">
        <v>1</v>
      </c>
      <c r="AA160" s="18"/>
      <c r="AB160" s="18"/>
      <c r="AC160" s="18"/>
      <c r="AD160" s="56"/>
    </row>
    <row r="161" spans="1:30" x14ac:dyDescent="0.25">
      <c r="A161" s="9" t="str">
        <f>CONCATENATE(O161,".",LEFT(J161))</f>
        <v>5.Л</v>
      </c>
      <c r="B161" s="32" t="str">
        <f>CONCATENATE(IF(OR(Y161="Не определена",Y161,ISBLANK(Y161)),"↕",),IF(Y161="Не обязательна","±",),Q161,".",P161)</f>
        <v>.цоколь (ПВХ_1мм в круг)</v>
      </c>
      <c r="C161" s="54">
        <f>I184</f>
        <v>1</v>
      </c>
      <c r="D161" s="54">
        <f>I184</f>
        <v>1</v>
      </c>
      <c r="E161" s="48">
        <f>IF(M161="скрутка",T161+$Q$1,IF(M161="склейка",T161+$Q$1,IF(M161="запил торца",ROUND(T161+$P$1,0),IF(M161="запил торцов",ROUND(T161+$P$1*2,0),T161))))+IF(G161=$O$1,$P$1,)+IF(H161=$O$1,$P$1,)</f>
        <v>234</v>
      </c>
      <c r="F161" s="48">
        <f>IF(M161="скрутка",U161+$Q$1,IF(M161="склейка",U161+$Q$1,IF(M161="запил торца",ROUND(U161+$P$1,0),IF(M161="запил торцов",ROUND(U161+$P$1*2,0),U161))))+IF(C161=$O$1,$P$1,)+IF(D161=$O$1,$P$1,)</f>
        <v>93</v>
      </c>
      <c r="G161" s="54">
        <f>I184</f>
        <v>1</v>
      </c>
      <c r="H161" s="54">
        <f>I184</f>
        <v>1</v>
      </c>
      <c r="I161" s="49">
        <f>IF(OR(M161="скрутка",M161="склейка"),Z161*2,Z161)</f>
        <v>1</v>
      </c>
      <c r="J161" s="53" t="str">
        <f>X161</f>
        <v>ЛДСП FB68 Ares 2800х2070х18</v>
      </c>
      <c r="K161" s="52" t="str">
        <f>IF(ISBLANK(AB161),"",AB161)</f>
        <v/>
      </c>
      <c r="L161" s="52" t="str">
        <f>IF(ISBLANK(AC161),"",AC161)</f>
        <v/>
      </c>
      <c r="M161" s="51" t="str">
        <f>IF(AA161="","",AA161)</f>
        <v/>
      </c>
      <c r="N161" s="30" t="str">
        <f>CONCATENATE(IF(E161&lt;&gt;T161,"НеРавны",),IF(AND(NOT(ISBLANK(R161)),R161&lt;&gt;T161),"Д",),IF(AND(NOT(ISBLANK(S161)),S161&lt;&gt;U161),"Ш",))</f>
        <v>ДШ</v>
      </c>
      <c r="O161" s="22">
        <f>O90+1</f>
        <v>5</v>
      </c>
      <c r="P161" s="18" t="s">
        <v>220</v>
      </c>
      <c r="Q161" s="18"/>
      <c r="R161" s="18">
        <v>236</v>
      </c>
      <c r="S161" s="18">
        <v>95</v>
      </c>
      <c r="T161" s="3">
        <v>234</v>
      </c>
      <c r="U161" s="3">
        <v>93</v>
      </c>
      <c r="V161" s="23"/>
      <c r="W161" s="23" t="s">
        <v>233</v>
      </c>
      <c r="X161" s="26" t="str">
        <f>J184</f>
        <v>ЛДСП FB68 Ares 2800х2070х18</v>
      </c>
      <c r="Y161" s="18" t="s">
        <v>158</v>
      </c>
      <c r="Z161" s="18">
        <v>1</v>
      </c>
      <c r="AA161" s="18"/>
      <c r="AB161" s="18"/>
      <c r="AC161" s="18"/>
      <c r="AD161" s="56"/>
    </row>
    <row r="162" spans="1:30" x14ac:dyDescent="0.25">
      <c r="A162" s="9" t="str">
        <f>CONCATENATE(O162,".",LEFT(J162))</f>
        <v>6.Л</v>
      </c>
      <c r="B162" s="32" t="str">
        <f>CONCATENATE(IF(OR(Y162="Не определена",Y162,ISBLANK(Y162)),"↕",),IF(Y162="Не обязательна","±",),Q162,".",P162)</f>
        <v>.цоколь (ПВХ_1мм в круг)</v>
      </c>
      <c r="C162" s="54">
        <f>I184</f>
        <v>1</v>
      </c>
      <c r="D162" s="54">
        <f>I184</f>
        <v>1</v>
      </c>
      <c r="E162" s="48">
        <f>IF(M162="скрутка",T162+$Q$1,IF(M162="склейка",T162+$Q$1,IF(M162="запил торца",ROUND(T162+$P$1,0),IF(M162="запил торцов",ROUND(T162+$P$1*2,0),T162))))+IF(G162=$O$1,$P$1,)+IF(H162=$O$1,$P$1,)</f>
        <v>2456.1</v>
      </c>
      <c r="F162" s="48">
        <f>IF(M162="скрутка",U162+$Q$1,IF(M162="склейка",U162+$Q$1,IF(M162="запил торца",ROUND(U162+$P$1,0),IF(M162="запил торцов",ROUND(U162+$P$1*2,0),U162))))+IF(C162=$O$1,$P$1,)+IF(D162=$O$1,$P$1,)</f>
        <v>93</v>
      </c>
      <c r="G162" s="54">
        <f>I184</f>
        <v>1</v>
      </c>
      <c r="H162" s="54">
        <f>I184</f>
        <v>1</v>
      </c>
      <c r="I162" s="49">
        <f>IF(OR(M162="скрутка",M162="склейка"),Z162*2,Z162)</f>
        <v>1</v>
      </c>
      <c r="J162" s="53" t="str">
        <f>X162</f>
        <v>ЛДСП FB68 Ares 2800х2070х18</v>
      </c>
      <c r="K162" s="52" t="str">
        <f>IF(ISBLANK(AB162),"",AB162)</f>
        <v/>
      </c>
      <c r="L162" s="52" t="str">
        <f>IF(ISBLANK(AC162),"",AC162)</f>
        <v/>
      </c>
      <c r="M162" s="51" t="str">
        <f>IF(AA162="","",AA162)</f>
        <v/>
      </c>
      <c r="N162" s="30" t="str">
        <f>CONCATENATE(IF(E162&lt;&gt;T162,"НеРавны",),IF(AND(NOT(ISBLANK(R162)),R162&lt;&gt;T162),"Д",),IF(AND(NOT(ISBLANK(S162)),S162&lt;&gt;U162),"Ш",))</f>
        <v>ДШ</v>
      </c>
      <c r="O162" s="22">
        <f>O161+1</f>
        <v>6</v>
      </c>
      <c r="P162" s="18" t="s">
        <v>220</v>
      </c>
      <c r="Q162" s="18"/>
      <c r="R162" s="18">
        <v>2458.1</v>
      </c>
      <c r="S162" s="18">
        <v>95</v>
      </c>
      <c r="T162" s="3">
        <v>2456.1</v>
      </c>
      <c r="U162" s="3">
        <v>93</v>
      </c>
      <c r="V162" s="23"/>
      <c r="W162" s="23" t="s">
        <v>233</v>
      </c>
      <c r="X162" s="26" t="str">
        <f>J184</f>
        <v>ЛДСП FB68 Ares 2800х2070х18</v>
      </c>
      <c r="Y162" s="18" t="s">
        <v>158</v>
      </c>
      <c r="Z162" s="18">
        <v>1</v>
      </c>
      <c r="AA162" s="18"/>
      <c r="AB162" s="18"/>
      <c r="AC162" s="18"/>
      <c r="AD162" s="56"/>
    </row>
    <row r="163" spans="1:30" x14ac:dyDescent="0.25">
      <c r="A163" s="9" t="str">
        <f>CONCATENATE(O163,".",LEFT(J163))</f>
        <v>7.Л</v>
      </c>
      <c r="B163" s="32" t="str">
        <f>CONCATENATE(IF(OR(Y163="Не определена",Y163,ISBLANK(Y163)),"↕",),IF(Y163="Не обязательна","±",),Q163,".",P163)</f>
        <v>.цоколь (ПВХ_1мм в круг)</v>
      </c>
      <c r="C163" s="54">
        <f>I184</f>
        <v>1</v>
      </c>
      <c r="D163" s="54">
        <f>I184</f>
        <v>1</v>
      </c>
      <c r="E163" s="48">
        <f>IF(M163="скрутка",T163+$Q$1,IF(M163="склейка",T163+$Q$1,IF(M163="запил торца",ROUND(T163+$P$1,0),IF(M163="запил торцов",ROUND(T163+$P$1*2,0),T163))))+IF(G163=$O$1,$P$1,)+IF(H163=$O$1,$P$1,)</f>
        <v>1224</v>
      </c>
      <c r="F163" s="48">
        <f>IF(M163="скрутка",U163+$Q$1,IF(M163="склейка",U163+$Q$1,IF(M163="запил торца",ROUND(U163+$P$1,0),IF(M163="запил торцов",ROUND(U163+$P$1*2,0),U163))))+IF(C163=$O$1,$P$1,)+IF(D163=$O$1,$P$1,)</f>
        <v>93</v>
      </c>
      <c r="G163" s="54">
        <f>I184</f>
        <v>1</v>
      </c>
      <c r="H163" s="54">
        <f>I184</f>
        <v>1</v>
      </c>
      <c r="I163" s="49">
        <f>IF(OR(M163="скрутка",M163="склейка"),Z163*2,Z163)</f>
        <v>1</v>
      </c>
      <c r="J163" s="53" t="str">
        <f>X163</f>
        <v>ЛДСП FB68 Ares 2800х2070х18</v>
      </c>
      <c r="K163" s="52" t="str">
        <f>IF(ISBLANK(AB163),"",AB163)</f>
        <v/>
      </c>
      <c r="L163" s="52" t="str">
        <f>IF(ISBLANK(AC163),"",AC163)</f>
        <v/>
      </c>
      <c r="M163" s="51" t="str">
        <f>IF(AA163="","",AA163)</f>
        <v/>
      </c>
      <c r="N163" s="30" t="str">
        <f>CONCATENATE(IF(E163&lt;&gt;T163,"НеРавны",),IF(AND(NOT(ISBLANK(R163)),R163&lt;&gt;T163),"Д",),IF(AND(NOT(ISBLANK(S163)),S163&lt;&gt;U163),"Ш",))</f>
        <v>ДШ</v>
      </c>
      <c r="O163" s="22">
        <f>O162+1</f>
        <v>7</v>
      </c>
      <c r="P163" s="18" t="s">
        <v>220</v>
      </c>
      <c r="Q163" s="18"/>
      <c r="R163" s="18">
        <v>1226</v>
      </c>
      <c r="S163" s="18">
        <v>95</v>
      </c>
      <c r="T163" s="3">
        <v>1224</v>
      </c>
      <c r="U163" s="3">
        <v>93</v>
      </c>
      <c r="V163" s="23"/>
      <c r="W163" s="23" t="s">
        <v>233</v>
      </c>
      <c r="X163" s="26" t="str">
        <f>J184</f>
        <v>ЛДСП FB68 Ares 2800х2070х18</v>
      </c>
      <c r="Y163" s="18" t="s">
        <v>158</v>
      </c>
      <c r="Z163" s="18">
        <v>1</v>
      </c>
      <c r="AA163" s="18"/>
      <c r="AB163" s="18"/>
      <c r="AC163" s="18"/>
      <c r="AD163" s="56"/>
    </row>
    <row r="164" spans="1:30" x14ac:dyDescent="0.25">
      <c r="A164" s="9" t="str">
        <f>CONCATENATE(O164,".",LEFT(J164))</f>
        <v>8.Л</v>
      </c>
      <c r="B164" s="32" t="str">
        <f>CONCATENATE(IF(OR(Y164="Не определена",Y164,ISBLANK(Y164)),"↕",),IF(Y164="Не обязательна","±",),Q164,".",P164)</f>
        <v>.цоколь (ПВХ_1мм в круг)</v>
      </c>
      <c r="C164" s="54">
        <f>I184</f>
        <v>1</v>
      </c>
      <c r="D164" s="54">
        <f>I184</f>
        <v>1</v>
      </c>
      <c r="E164" s="48">
        <f>IF(M164="скрутка",T164+$Q$1,IF(M164="склейка",T164+$Q$1,IF(M164="запил торца",ROUND(T164+$P$1,0),IF(M164="запил торцов",ROUND(T164+$P$1*2,0),T164))))+IF(G164=$O$1,$P$1,)+IF(H164=$O$1,$P$1,)</f>
        <v>580</v>
      </c>
      <c r="F164" s="48">
        <f>IF(M164="скрутка",U164+$Q$1,IF(M164="склейка",U164+$Q$1,IF(M164="запил торца",ROUND(U164+$P$1,0),IF(M164="запил торцов",ROUND(U164+$P$1*2,0),U164))))+IF(C164=$O$1,$P$1,)+IF(D164=$O$1,$P$1,)</f>
        <v>93</v>
      </c>
      <c r="G164" s="54">
        <f>I184</f>
        <v>1</v>
      </c>
      <c r="H164" s="54">
        <f>I184</f>
        <v>1</v>
      </c>
      <c r="I164" s="49">
        <f>IF(OR(M164="скрутка",M164="склейка"),Z164*2,Z164)</f>
        <v>2</v>
      </c>
      <c r="J164" s="53" t="str">
        <f>X164</f>
        <v>ЛДСП FB68 Ares 2800х2070х18</v>
      </c>
      <c r="K164" s="52" t="str">
        <f>IF(ISBLANK(AB164),"",AB164)</f>
        <v/>
      </c>
      <c r="L164" s="52" t="str">
        <f>IF(ISBLANK(AC164),"",AC164)</f>
        <v/>
      </c>
      <c r="M164" s="51" t="str">
        <f>IF(AA164="","",AA164)</f>
        <v/>
      </c>
      <c r="N164" s="30" t="str">
        <f>CONCATENATE(IF(E164&lt;&gt;T164,"НеРавны",),IF(AND(NOT(ISBLANK(R164)),R164&lt;&gt;T164),"Д",),IF(AND(NOT(ISBLANK(S164)),S164&lt;&gt;U164),"Ш",))</f>
        <v>ДШ</v>
      </c>
      <c r="O164" s="22">
        <f>O163+1</f>
        <v>8</v>
      </c>
      <c r="P164" s="18" t="s">
        <v>220</v>
      </c>
      <c r="Q164" s="18"/>
      <c r="R164" s="18">
        <v>582</v>
      </c>
      <c r="S164" s="18">
        <v>95</v>
      </c>
      <c r="T164" s="3">
        <v>580</v>
      </c>
      <c r="U164" s="3">
        <v>93</v>
      </c>
      <c r="V164" s="23"/>
      <c r="W164" s="23" t="s">
        <v>233</v>
      </c>
      <c r="X164" s="26" t="str">
        <f>J184</f>
        <v>ЛДСП FB68 Ares 2800х2070х18</v>
      </c>
      <c r="Y164" s="18" t="s">
        <v>158</v>
      </c>
      <c r="Z164" s="18">
        <v>2</v>
      </c>
      <c r="AA164" s="18"/>
      <c r="AB164" s="18"/>
      <c r="AC164" s="18"/>
      <c r="AD164" s="56"/>
    </row>
    <row r="165" spans="1:30" ht="30" x14ac:dyDescent="0.25">
      <c r="A165" s="9" t="str">
        <f>CONCATENATE(O165,".",LEFT(J165))</f>
        <v>87.Л</v>
      </c>
      <c r="B165" s="32" t="str">
        <f>CONCATENATE(IF(OR(Y165="Не определена",Y165,ISBLANK(Y165)),"↕",),IF(Y165="Не обязательна","±",),Q165,".",P165)</f>
        <v>.видимое дно антресолей (вырез)</v>
      </c>
      <c r="C165" s="54" t="str">
        <f>I182</f>
        <v>-</v>
      </c>
      <c r="D165" s="54" t="str">
        <f>I182</f>
        <v>-</v>
      </c>
      <c r="E165" s="48">
        <f>IF(M165="скрутка",T165+$Q$1,IF(M165="склейка",T165+$Q$1,IF(M165="запил торца",ROUND(T165+$P$1,0),IF(M165="запил торцов",ROUND(T165+$P$1*2,0),T165))))+IF(G165=$O$1,$P$1,)+IF(H165=$O$1,$P$1,)</f>
        <v>2368</v>
      </c>
      <c r="F165" s="48">
        <f>IF(M165="скрутка",U165+$Q$1,IF(M165="склейка",U165+$Q$1,IF(M165="запил торца",ROUND(U165+$P$1,0),IF(M165="запил торцов",ROUND(U165+$P$1*2,0),U165))))+IF(C165=$O$1,$P$1,)+IF(D165=$O$1,$P$1,)</f>
        <v>623</v>
      </c>
      <c r="G165" s="54" t="str">
        <f>I182</f>
        <v>-</v>
      </c>
      <c r="H165" s="54" t="str">
        <f>I182</f>
        <v>-</v>
      </c>
      <c r="I165" s="49">
        <f>IF(OR(M165="скрутка",M165="склейка"),Z165*2,Z165)</f>
        <v>1</v>
      </c>
      <c r="J165" s="53" t="str">
        <f>X165</f>
        <v>ЛДСП Lamarty 2750*1830*16 Белый б/к</v>
      </c>
      <c r="K165" s="52" t="str">
        <f>IF(ISBLANK(AB165),"",AB165)</f>
        <v/>
      </c>
      <c r="L165" s="52" t="str">
        <f>IF(ISBLANK(AC165),"",AC165)</f>
        <v/>
      </c>
      <c r="M165" s="51" t="str">
        <f>IF(AA165="","",AA165)</f>
        <v>Вырез;</v>
      </c>
      <c r="N165" s="30" t="str">
        <f>CONCATENATE(IF(E165&lt;&gt;T165,"НеРавны",),IF(AND(NOT(ISBLANK(R165)),R165&lt;&gt;T165),"Д",),IF(AND(NOT(ISBLANK(S165)),S165&lt;&gt;U165),"Ш",))</f>
        <v>ДШ</v>
      </c>
      <c r="O165" s="22">
        <f>O155+1</f>
        <v>87</v>
      </c>
      <c r="P165" s="18" t="s">
        <v>221</v>
      </c>
      <c r="Q165" s="18"/>
      <c r="R165" s="18">
        <v>2369</v>
      </c>
      <c r="S165" s="18">
        <v>624</v>
      </c>
      <c r="T165" s="3">
        <v>2368</v>
      </c>
      <c r="U165" s="3">
        <v>623</v>
      </c>
      <c r="V165" s="23"/>
      <c r="W165" s="23" t="s">
        <v>227</v>
      </c>
      <c r="X165" s="26" t="str">
        <f>J182</f>
        <v>ЛДСП Lamarty 2750*1830*16 Белый б/к</v>
      </c>
      <c r="Y165" s="18" t="s">
        <v>158</v>
      </c>
      <c r="Z165" s="18">
        <v>1</v>
      </c>
      <c r="AA165" s="18" t="s">
        <v>172</v>
      </c>
      <c r="AB165" s="18"/>
      <c r="AC165" s="18"/>
      <c r="AD165" s="56"/>
    </row>
    <row r="166" spans="1:30" x14ac:dyDescent="0.25">
      <c r="A166" s="9" t="str">
        <f>CONCATENATE(O166,".",LEFT(J166))</f>
        <v>24.М</v>
      </c>
      <c r="B166" s="32" t="str">
        <f>CONCATENATE(IF(OR(Y166="Не определена",Y166,ISBLANK(Y166)),"↕",),IF(Y166="Не обязательна","±",),Q166,".",P166)</f>
        <v>.фасадная планка (мыло)</v>
      </c>
      <c r="C166" s="54" t="str">
        <f>I186</f>
        <v>-</v>
      </c>
      <c r="D166" s="54" t="str">
        <f>I186</f>
        <v>-</v>
      </c>
      <c r="E166" s="48">
        <f>IF(M166="скрутка",T166+$Q$1,IF(M166="склейка",T166+$Q$1,IF(M166="запил торца",ROUND(T166+$P$1,0),IF(M166="запил торцов",ROUND(T166+$P$1*2,0),T166))))+IF(G166=$O$1,$P$1,)+IF(H166=$O$1,$P$1,)</f>
        <v>2360</v>
      </c>
      <c r="F166" s="48">
        <f>IF(M166="скрутка",U166+$Q$1,IF(M166="склейка",U166+$Q$1,IF(M166="запил торца",ROUND(U166+$P$1,0),IF(M166="запил торцов",ROUND(U166+$P$1*2,0),U166))))+IF(C166=$O$1,$P$1,)+IF(D166=$O$1,$P$1,)</f>
        <v>100</v>
      </c>
      <c r="G166" s="54" t="str">
        <f>I186</f>
        <v>-</v>
      </c>
      <c r="H166" s="54" t="str">
        <f>I186</f>
        <v>-</v>
      </c>
      <c r="I166" s="49">
        <f>IF(OR(M166="скрутка",M166="склейка"),Z166*2,Z166)</f>
        <v>1</v>
      </c>
      <c r="J166" s="53" t="str">
        <f>X166</f>
        <v>МДФ 2800х2070х16 лам. Белый 2 ст. б/к</v>
      </c>
      <c r="K166" s="52" t="str">
        <f>IF(ISBLANK(AB166),"",AB166)</f>
        <v>KHR Глянец</v>
      </c>
      <c r="L166" s="52" t="str">
        <f>IF(ISBLANK(AC166),"",AC166)</f>
        <v/>
      </c>
      <c r="M166" s="51" t="str">
        <f>IF(AA166="","",AA166)</f>
        <v/>
      </c>
      <c r="N166" s="30" t="str">
        <f>CONCATENATE(IF(E166&lt;&gt;T166,"НеРавны",),IF(AND(NOT(ISBLANK(R166)),R166&lt;&gt;T166),"Д",),IF(AND(NOT(ISBLANK(S166)),S166&lt;&gt;U166),"Ш",))</f>
        <v/>
      </c>
      <c r="O166" s="22">
        <f>O157+1</f>
        <v>24</v>
      </c>
      <c r="P166" s="18" t="s">
        <v>178</v>
      </c>
      <c r="Q166" s="18"/>
      <c r="R166" s="18">
        <v>2360</v>
      </c>
      <c r="S166" s="18">
        <v>100</v>
      </c>
      <c r="T166" s="3">
        <v>2360</v>
      </c>
      <c r="U166" s="3">
        <v>100</v>
      </c>
      <c r="V166" s="23"/>
      <c r="W166" s="23" t="s">
        <v>229</v>
      </c>
      <c r="X166" s="26" t="str">
        <f>J186</f>
        <v>МДФ 2800х2070х16 лам. Белый 2 ст. б/к</v>
      </c>
      <c r="Y166" s="18" t="s">
        <v>158</v>
      </c>
      <c r="Z166" s="18">
        <v>1</v>
      </c>
      <c r="AA166" s="18"/>
      <c r="AB166" s="18" t="str">
        <f>K179</f>
        <v>KHR Глянец</v>
      </c>
      <c r="AC166" s="18"/>
      <c r="AD166" s="56"/>
    </row>
    <row r="167" spans="1:30" x14ac:dyDescent="0.25">
      <c r="A167" s="9" t="str">
        <f>CONCATENATE(O167,".",LEFT(J167))</f>
        <v>1.С</v>
      </c>
      <c r="B167" s="32" t="str">
        <f>CONCATENATE(IF(OR(Y167="Не определена",Y167,ISBLANK(Y167)),"↕",),IF(Y167="Не обязательна","±",),Q167,".",P167)</f>
        <v>.столешница</v>
      </c>
      <c r="C167" s="54">
        <f>I185</f>
        <v>12</v>
      </c>
      <c r="D167" s="47"/>
      <c r="E167" s="48">
        <f>IF(M167="скрутка",T167+$Q$1,IF(M167="склейка",T167+$Q$1,IF(M167="запил торца",ROUND(T167+$P$1,0),IF(M167="запил торцов",ROUND(T167+$P$1*2,0),T167))))+IF(G167=$O$1,$P$1,)+IF(H167=$O$1,$P$1,)</f>
        <v>1830</v>
      </c>
      <c r="F167" s="48">
        <f>IF(M167="скрутка",U167+$Q$1,IF(M167="склейка",U167+$Q$1,IF(M167="запил торца",ROUND(U167+$P$1,0),IF(M167="запил торцов",ROUND(U167+$P$1*2,0),U167))))+IF(C167=$O$1,$P$1,)+IF(D167=$O$1,$P$1,)</f>
        <v>588</v>
      </c>
      <c r="G167" s="47"/>
      <c r="H167" s="54">
        <f>I185</f>
        <v>12</v>
      </c>
      <c r="I167" s="49">
        <f>IF(OR(M167="скрутка",M167="склейка"),Z167*2,Z167)</f>
        <v>1</v>
      </c>
      <c r="J167" s="53" t="str">
        <f>X167</f>
        <v>Склейка 28 ДСП</v>
      </c>
      <c r="K167" s="52" t="str">
        <f>IF(ISBLANK(AB167),"",AB167)</f>
        <v>камень_Akrilika MA-502 Everest 3660*760*12 б/к</v>
      </c>
      <c r="L167" s="52" t="str">
        <f>IF(ISBLANK(AC167),"",AC167)</f>
        <v>пластик ПОДКЛАДОЧНЫЙ б/к</v>
      </c>
      <c r="M167" s="51" t="str">
        <f>IF(AA167="","",AA167)</f>
        <v>Вырез;</v>
      </c>
      <c r="N167" s="30" t="str">
        <f>CONCATENATE(IF(E167&lt;&gt;T167,"НеРавны",),IF(AND(NOT(ISBLANK(R167)),R167&lt;&gt;T167),"Д",),IF(AND(NOT(ISBLANK(S167)),S167&lt;&gt;U167),"Ш",))</f>
        <v>ДШ</v>
      </c>
      <c r="O167" s="22">
        <v>1</v>
      </c>
      <c r="P167" s="18" t="s">
        <v>171</v>
      </c>
      <c r="Q167" s="18"/>
      <c r="R167" s="18">
        <v>1842</v>
      </c>
      <c r="S167" s="18">
        <v>600</v>
      </c>
      <c r="T167" s="3">
        <v>1830</v>
      </c>
      <c r="U167" s="3">
        <v>588</v>
      </c>
      <c r="V167" s="23"/>
      <c r="W167" s="23" t="s">
        <v>225</v>
      </c>
      <c r="X167" s="18" t="str">
        <f>J185</f>
        <v>Склейка 28 ДСП</v>
      </c>
      <c r="Y167" s="18" t="s">
        <v>158</v>
      </c>
      <c r="Z167" s="18">
        <v>1</v>
      </c>
      <c r="AA167" s="18" t="s">
        <v>172</v>
      </c>
      <c r="AB167" s="18" t="str">
        <f>K180</f>
        <v>камень_Akrilika MA-502 Everest 3660*760*12 б/к</v>
      </c>
      <c r="AC167" s="18" t="s">
        <v>112</v>
      </c>
      <c r="AD167" s="56"/>
    </row>
    <row r="168" spans="1:30" x14ac:dyDescent="0.25">
      <c r="A168" s="9" t="str">
        <f>CONCATENATE(O168,".",LEFT(J168))</f>
        <v>2.С</v>
      </c>
      <c r="B168" s="32" t="str">
        <f>CONCATENATE(IF(OR(Y168="Не определена",Y168,ISBLANK(Y168)),"↕",),IF(Y168="Не обязательна","±",),Q168,".",P168)</f>
        <v>.столешница</v>
      </c>
      <c r="C168" s="54">
        <f>I185</f>
        <v>12</v>
      </c>
      <c r="D168" s="47"/>
      <c r="E168" s="48">
        <f>IF(M168="скрутка",T168+$Q$1,IF(M168="склейка",T168+$Q$1,IF(M168="запил торца",ROUND(T168+$P$1,0),IF(M168="запил торцов",ROUND(T168+$P$1*2,0),T168))))+IF(G168=$O$1,$P$1,)+IF(H168=$O$1,$P$1,)</f>
        <v>1788</v>
      </c>
      <c r="F168" s="48">
        <f>IF(M168="скрутка",U168+$Q$1,IF(M168="склейка",U168+$Q$1,IF(M168="запил торца",ROUND(U168+$P$1,0),IF(M168="запил торцов",ROUND(U168+$P$1*2,0),U168))))+IF(C168=$O$1,$P$1,)+IF(D168=$O$1,$P$1,)</f>
        <v>628</v>
      </c>
      <c r="G168" s="54">
        <f>I185</f>
        <v>12</v>
      </c>
      <c r="H168" s="47"/>
      <c r="I168" s="49">
        <f>IF(OR(M168="скрутка",M168="склейка"),Z168*2,Z168)</f>
        <v>1</v>
      </c>
      <c r="J168" s="53" t="str">
        <f>X168</f>
        <v>Склейка 28 ДСП</v>
      </c>
      <c r="K168" s="52" t="str">
        <f>IF(ISBLANK(AB168),"",AB168)</f>
        <v>камень_Akrilika MA-502 Everest 3660*760*12 б/к</v>
      </c>
      <c r="L168" s="52" t="str">
        <f>IF(ISBLANK(AC168),"",AC168)</f>
        <v>пластик ПОДКЛАДОЧНЫЙ б/к</v>
      </c>
      <c r="M168" s="51" t="str">
        <f>IF(AA168="","",AA168)</f>
        <v>Вырез;</v>
      </c>
      <c r="N168" s="30" t="str">
        <f>CONCATENATE(IF(E168&lt;&gt;T168,"НеРавны",),IF(AND(NOT(ISBLANK(R168)),R168&lt;&gt;T168),"Д",),IF(AND(NOT(ISBLANK(S168)),S168&lt;&gt;U168),"Ш",))</f>
        <v>ДШ</v>
      </c>
      <c r="O168" s="22">
        <f>O167+1</f>
        <v>2</v>
      </c>
      <c r="P168" s="18" t="s">
        <v>171</v>
      </c>
      <c r="Q168" s="18"/>
      <c r="R168" s="18">
        <v>1800</v>
      </c>
      <c r="S168" s="18">
        <v>640</v>
      </c>
      <c r="T168" s="3">
        <v>1788</v>
      </c>
      <c r="U168" s="3">
        <v>628</v>
      </c>
      <c r="V168" s="23"/>
      <c r="W168" s="23" t="s">
        <v>226</v>
      </c>
      <c r="X168" s="26" t="str">
        <f>J185</f>
        <v>Склейка 28 ДСП</v>
      </c>
      <c r="Y168" s="18" t="s">
        <v>158</v>
      </c>
      <c r="Z168" s="18">
        <v>1</v>
      </c>
      <c r="AA168" s="18" t="s">
        <v>172</v>
      </c>
      <c r="AB168" s="18" t="str">
        <f>K180</f>
        <v>камень_Akrilika MA-502 Everest 3660*760*12 б/к</v>
      </c>
      <c r="AC168" s="18" t="s">
        <v>112</v>
      </c>
      <c r="AD168" s="56"/>
    </row>
    <row r="169" spans="1:30" x14ac:dyDescent="0.25">
      <c r="A169" s="13"/>
      <c r="B169" s="34"/>
      <c r="C169" s="42"/>
      <c r="D169" s="42"/>
      <c r="E169" s="33"/>
      <c r="F169" s="33"/>
      <c r="G169" s="42"/>
      <c r="H169" s="45" t="s">
        <v>15</v>
      </c>
      <c r="I169" s="50">
        <f>SUM(I4:I168)</f>
        <v>172</v>
      </c>
      <c r="J169" s="35"/>
      <c r="K169" s="34"/>
      <c r="L169" s="34"/>
      <c r="M169" s="36"/>
      <c r="O169" s="24"/>
      <c r="V169" s="17"/>
      <c r="W169" s="17"/>
    </row>
    <row r="170" spans="1:30" ht="15" customHeight="1" x14ac:dyDescent="0.25">
      <c r="A170" s="34"/>
      <c r="B170" s="34"/>
      <c r="C170" s="42"/>
      <c r="D170" s="42"/>
      <c r="E170" s="33"/>
      <c r="F170" s="33"/>
      <c r="G170" s="42"/>
      <c r="H170" s="42"/>
      <c r="I170" s="25"/>
      <c r="J170" s="35"/>
      <c r="K170" s="34"/>
      <c r="L170" s="34"/>
      <c r="M170" s="36"/>
      <c r="O170" s="24"/>
      <c r="V170" s="17"/>
      <c r="W170" s="17"/>
    </row>
    <row r="171" spans="1:30" x14ac:dyDescent="0.25">
      <c r="A171" s="2" t="s">
        <v>8</v>
      </c>
      <c r="B171" s="13"/>
      <c r="C171" s="42"/>
      <c r="D171" s="42"/>
      <c r="E171" s="33"/>
      <c r="F171" s="33"/>
      <c r="G171" s="42"/>
      <c r="H171" s="42"/>
      <c r="I171" s="25"/>
      <c r="J171" s="37"/>
      <c r="K171" s="13"/>
      <c r="L171" s="13"/>
      <c r="M171" s="36"/>
      <c r="O171" s="24"/>
      <c r="V171" s="17"/>
      <c r="W171" s="17"/>
    </row>
    <row r="172" spans="1:30" x14ac:dyDescent="0.25">
      <c r="A172" s="30" t="s">
        <v>32</v>
      </c>
      <c r="B172" s="13"/>
      <c r="C172" s="42"/>
      <c r="D172" s="42"/>
      <c r="E172" s="33"/>
      <c r="F172" s="33"/>
      <c r="G172" s="42"/>
      <c r="H172" s="42"/>
      <c r="I172" s="25"/>
      <c r="J172" s="37"/>
      <c r="K172" s="13"/>
      <c r="L172" s="13"/>
      <c r="M172" s="36"/>
      <c r="O172" s="24"/>
      <c r="V172" s="17"/>
      <c r="W172" s="17"/>
    </row>
    <row r="173" spans="1:30" x14ac:dyDescent="0.25">
      <c r="A173" s="13" t="s">
        <v>33</v>
      </c>
    </row>
    <row r="174" spans="1:30" x14ac:dyDescent="0.25">
      <c r="A174" s="13" t="s">
        <v>16</v>
      </c>
    </row>
    <row r="175" spans="1:30" x14ac:dyDescent="0.25">
      <c r="A175" s="13" t="s">
        <v>28</v>
      </c>
    </row>
    <row r="176" spans="1:30" x14ac:dyDescent="0.25">
      <c r="A176" s="13"/>
    </row>
    <row r="177" spans="1:29" ht="18.75" x14ac:dyDescent="0.3">
      <c r="A177" s="1" t="str">
        <f>CONCATENATE(A2, ". Соответствие кромки и ДСП")</f>
        <v>bCad-teh1. Соответствие кромки и ДСП</v>
      </c>
      <c r="N177" s="30" t="s">
        <v>35</v>
      </c>
    </row>
    <row r="178" spans="1:29" x14ac:dyDescent="0.25">
      <c r="A178" s="3" t="s">
        <v>6</v>
      </c>
      <c r="B178" s="4" t="s">
        <v>14</v>
      </c>
      <c r="C178" s="40"/>
      <c r="D178" s="60"/>
      <c r="E178" s="61"/>
      <c r="F178" s="5"/>
      <c r="G178" s="44"/>
      <c r="H178" s="57" t="s">
        <v>31</v>
      </c>
      <c r="I178" s="58" t="s">
        <v>30</v>
      </c>
      <c r="J178" s="3" t="s">
        <v>13</v>
      </c>
      <c r="K178" s="3" t="s">
        <v>52</v>
      </c>
      <c r="L178" s="55"/>
      <c r="M178" s="56"/>
    </row>
    <row r="179" spans="1:29" x14ac:dyDescent="0.25">
      <c r="A179" s="3" t="s">
        <v>155</v>
      </c>
      <c r="B179" s="4" t="s">
        <v>117</v>
      </c>
      <c r="C179" s="46"/>
      <c r="D179" s="62"/>
      <c r="E179" s="63"/>
      <c r="F179" s="5"/>
      <c r="G179" s="43"/>
      <c r="H179" s="59">
        <v>0</v>
      </c>
      <c r="I179" s="18" t="s">
        <v>166</v>
      </c>
      <c r="J179" s="3" t="s">
        <v>169</v>
      </c>
      <c r="K179" s="3" t="s">
        <v>111</v>
      </c>
      <c r="L179" s="55"/>
      <c r="M179" s="56"/>
    </row>
    <row r="180" spans="1:29" x14ac:dyDescent="0.25">
      <c r="A180" s="3" t="s">
        <v>156</v>
      </c>
      <c r="B180" s="4" t="s">
        <v>120</v>
      </c>
      <c r="C180" s="46"/>
      <c r="D180" s="62"/>
      <c r="E180" s="63"/>
      <c r="F180" s="5"/>
      <c r="G180" s="43"/>
      <c r="H180" s="59">
        <v>2</v>
      </c>
      <c r="I180" s="18">
        <v>2</v>
      </c>
      <c r="J180" s="3" t="s">
        <v>118</v>
      </c>
      <c r="K180" s="3" t="s">
        <v>106</v>
      </c>
      <c r="L180" s="55"/>
      <c r="M180" s="56"/>
    </row>
    <row r="181" spans="1:29" x14ac:dyDescent="0.25">
      <c r="A181" s="3" t="s">
        <v>163</v>
      </c>
      <c r="B181" s="4" t="s">
        <v>116</v>
      </c>
      <c r="C181" s="46"/>
      <c r="D181" s="62"/>
      <c r="E181" s="63"/>
      <c r="F181" s="5"/>
      <c r="G181" s="43"/>
      <c r="H181" s="59"/>
      <c r="I181" s="18" t="s">
        <v>166</v>
      </c>
      <c r="J181" s="3" t="s">
        <v>119</v>
      </c>
      <c r="K181" s="3"/>
      <c r="L181" s="55"/>
      <c r="M181" s="56"/>
    </row>
    <row r="182" spans="1:29" x14ac:dyDescent="0.25">
      <c r="A182" s="3" t="s">
        <v>155</v>
      </c>
      <c r="B182" s="4" t="s">
        <v>113</v>
      </c>
      <c r="C182" s="46"/>
      <c r="D182" s="62"/>
      <c r="E182" s="63"/>
      <c r="F182" s="5"/>
      <c r="G182" s="43"/>
      <c r="H182" s="59">
        <v>0.5</v>
      </c>
      <c r="I182" s="18" t="s">
        <v>166</v>
      </c>
      <c r="J182" s="3" t="s">
        <v>88</v>
      </c>
      <c r="K182" s="3"/>
      <c r="L182" s="55"/>
      <c r="M182" s="56"/>
    </row>
    <row r="183" spans="1:29" x14ac:dyDescent="0.25">
      <c r="A183" s="3" t="s">
        <v>156</v>
      </c>
      <c r="B183" s="4" t="s">
        <v>114</v>
      </c>
      <c r="C183" s="46"/>
      <c r="D183" s="62"/>
      <c r="E183" s="63"/>
      <c r="F183" s="5"/>
      <c r="G183" s="43"/>
      <c r="H183" s="59">
        <v>0.5</v>
      </c>
      <c r="I183" s="18" t="s">
        <v>166</v>
      </c>
      <c r="J183" s="3" t="s">
        <v>109</v>
      </c>
      <c r="K183" s="3"/>
      <c r="L183" s="55"/>
      <c r="M183" s="56"/>
    </row>
    <row r="184" spans="1:29" x14ac:dyDescent="0.25">
      <c r="A184" s="3" t="s">
        <v>157</v>
      </c>
      <c r="B184" s="4" t="s">
        <v>115</v>
      </c>
      <c r="C184" s="46"/>
      <c r="D184" s="62"/>
      <c r="E184" s="63"/>
      <c r="F184" s="5"/>
      <c r="G184" s="43"/>
      <c r="H184" s="59">
        <v>1</v>
      </c>
      <c r="I184" s="18">
        <v>1</v>
      </c>
      <c r="J184" s="3" t="s">
        <v>110</v>
      </c>
      <c r="K184" s="3"/>
      <c r="L184" s="55"/>
      <c r="M184" s="56"/>
    </row>
    <row r="185" spans="1:29" x14ac:dyDescent="0.25">
      <c r="A185" s="3" t="s">
        <v>163</v>
      </c>
      <c r="B185" s="4" t="s">
        <v>106</v>
      </c>
      <c r="C185" s="46"/>
      <c r="D185" s="62"/>
      <c r="E185" s="63"/>
      <c r="F185" s="5"/>
      <c r="G185" s="43"/>
      <c r="H185" s="59">
        <v>12</v>
      </c>
      <c r="I185" s="18">
        <v>12</v>
      </c>
      <c r="J185" s="3" t="s">
        <v>107</v>
      </c>
      <c r="K185" s="3"/>
      <c r="L185" s="55"/>
      <c r="M185" s="56"/>
    </row>
    <row r="186" spans="1:29" x14ac:dyDescent="0.25">
      <c r="A186" s="3" t="s">
        <v>224</v>
      </c>
      <c r="B186" s="4" t="s">
        <v>111</v>
      </c>
      <c r="C186" s="46"/>
      <c r="D186" s="62"/>
      <c r="E186" s="63"/>
      <c r="F186" s="5"/>
      <c r="G186" s="43"/>
      <c r="H186" s="59">
        <v>0</v>
      </c>
      <c r="I186" s="18" t="s">
        <v>166</v>
      </c>
      <c r="J186" s="3" t="s">
        <v>108</v>
      </c>
      <c r="K186" s="3"/>
      <c r="L186" s="55"/>
      <c r="M186" s="56"/>
    </row>
    <row r="187" spans="1:29" x14ac:dyDescent="0.25">
      <c r="A187" s="3"/>
      <c r="B187" s="4"/>
      <c r="C187" s="46"/>
      <c r="D187" s="62"/>
      <c r="E187" s="63"/>
      <c r="F187" s="5"/>
      <c r="G187" s="43"/>
      <c r="H187" s="59"/>
      <c r="I187" s="18"/>
      <c r="J187" s="18"/>
      <c r="K187" s="3"/>
      <c r="L187" s="55"/>
      <c r="M187" s="56"/>
    </row>
    <row r="188" spans="1:29" ht="18.75" x14ac:dyDescent="0.3">
      <c r="A188" s="1" t="str">
        <f>CONCATENATE(A2, ". Стекло")</f>
        <v>bCad-teh1. Стекло</v>
      </c>
    </row>
    <row r="189" spans="1:29" x14ac:dyDescent="0.25">
      <c r="A189" s="3" t="s">
        <v>6</v>
      </c>
      <c r="B189" s="4" t="s">
        <v>5</v>
      </c>
      <c r="C189" s="39" t="s">
        <v>9</v>
      </c>
      <c r="D189" s="40" t="s">
        <v>11</v>
      </c>
      <c r="E189" s="6" t="s">
        <v>1</v>
      </c>
      <c r="F189" s="7" t="s">
        <v>0</v>
      </c>
      <c r="G189" s="40" t="s">
        <v>10</v>
      </c>
      <c r="H189" s="44" t="s">
        <v>12</v>
      </c>
      <c r="I189" s="8" t="s">
        <v>2</v>
      </c>
      <c r="J189" s="3" t="s">
        <v>3</v>
      </c>
      <c r="K189" s="4"/>
      <c r="L189" s="4"/>
      <c r="M189" s="3" t="s">
        <v>4</v>
      </c>
    </row>
    <row r="190" spans="1:29" x14ac:dyDescent="0.25">
      <c r="A190" s="9"/>
      <c r="B190" s="32"/>
      <c r="C190" s="41"/>
      <c r="D190" s="41"/>
      <c r="E190" s="14"/>
      <c r="F190" s="14"/>
      <c r="G190" s="41"/>
      <c r="H190" s="41"/>
      <c r="I190" s="10"/>
      <c r="J190" s="11"/>
      <c r="K190" s="32"/>
      <c r="L190" s="32"/>
      <c r="M190" s="28"/>
      <c r="O190" s="22"/>
      <c r="P190" s="18"/>
      <c r="Q190" s="18"/>
      <c r="R190" s="18"/>
      <c r="S190" s="18"/>
      <c r="T190" s="3"/>
      <c r="U190" s="3"/>
      <c r="V190" s="23"/>
      <c r="W190" s="23"/>
      <c r="X190" s="18"/>
      <c r="Y190" s="18"/>
      <c r="Z190" s="18"/>
      <c r="AA190" s="18"/>
      <c r="AB190" s="18"/>
      <c r="AC190" s="18"/>
    </row>
    <row r="191" spans="1:29" x14ac:dyDescent="0.25">
      <c r="A191" s="9"/>
      <c r="B191" s="32"/>
      <c r="C191" s="41"/>
      <c r="D191" s="41"/>
      <c r="E191" s="14"/>
      <c r="F191" s="14"/>
      <c r="G191" s="41"/>
      <c r="H191" s="41"/>
      <c r="I191" s="10"/>
      <c r="J191" s="11"/>
      <c r="K191" s="32"/>
      <c r="L191" s="32"/>
      <c r="M191" s="28"/>
      <c r="O191" s="22"/>
      <c r="P191" s="18"/>
      <c r="Q191" s="18"/>
      <c r="R191" s="18"/>
      <c r="S191" s="18"/>
      <c r="T191" s="3"/>
      <c r="U191" s="3"/>
      <c r="V191" s="23"/>
      <c r="W191" s="23"/>
      <c r="X191" s="18"/>
      <c r="Y191" s="18"/>
      <c r="Z191" s="18"/>
      <c r="AA191" s="18"/>
      <c r="AB191" s="18"/>
      <c r="AC191" s="18"/>
    </row>
    <row r="192" spans="1:29" x14ac:dyDescent="0.25">
      <c r="A192" s="9"/>
      <c r="B192" s="32"/>
      <c r="C192" s="41"/>
      <c r="D192" s="41"/>
      <c r="E192" s="14"/>
      <c r="F192" s="14"/>
      <c r="G192" s="41"/>
      <c r="H192" s="41"/>
      <c r="I192" s="10"/>
      <c r="J192" s="11"/>
      <c r="K192" s="32"/>
      <c r="L192" s="32"/>
      <c r="M192" s="28"/>
      <c r="O192" s="22"/>
      <c r="P192" s="18"/>
      <c r="Q192" s="18"/>
      <c r="R192" s="18"/>
      <c r="S192" s="18"/>
      <c r="T192" s="3"/>
      <c r="U192" s="3"/>
      <c r="V192" s="23"/>
      <c r="W192" s="23"/>
      <c r="X192" s="18"/>
      <c r="Y192" s="18"/>
      <c r="Z192" s="18"/>
      <c r="AA192" s="18"/>
      <c r="AB192" s="18"/>
      <c r="AC192" s="18"/>
    </row>
    <row r="193" spans="1:29" x14ac:dyDescent="0.25">
      <c r="A193" s="9"/>
      <c r="B193" s="32"/>
      <c r="C193" s="41"/>
      <c r="D193" s="41"/>
      <c r="E193" s="14"/>
      <c r="F193" s="14"/>
      <c r="G193" s="41"/>
      <c r="H193" s="41"/>
      <c r="I193" s="10"/>
      <c r="J193" s="11"/>
      <c r="K193" s="32"/>
      <c r="L193" s="32"/>
      <c r="M193" s="28"/>
      <c r="O193" s="22"/>
      <c r="P193" s="18"/>
      <c r="Q193" s="18"/>
      <c r="R193" s="18"/>
      <c r="S193" s="18"/>
      <c r="T193" s="3"/>
      <c r="U193" s="3"/>
      <c r="V193" s="23"/>
      <c r="W193" s="23"/>
      <c r="X193" s="18"/>
      <c r="Y193" s="18"/>
      <c r="Z193" s="18"/>
      <c r="AA193" s="18"/>
      <c r="AB193" s="18"/>
      <c r="AC193" s="18"/>
    </row>
    <row r="194" spans="1:29" x14ac:dyDescent="0.25">
      <c r="A194" s="9"/>
      <c r="B194" s="32"/>
      <c r="C194" s="41"/>
      <c r="D194" s="41"/>
      <c r="E194" s="14"/>
      <c r="F194" s="14"/>
      <c r="G194" s="41"/>
      <c r="H194" s="41"/>
      <c r="I194" s="10"/>
      <c r="J194" s="11"/>
      <c r="K194" s="32"/>
      <c r="L194" s="32"/>
      <c r="M194" s="28"/>
      <c r="O194" s="22"/>
      <c r="P194" s="18"/>
      <c r="Q194" s="18"/>
      <c r="R194" s="18"/>
      <c r="S194" s="18"/>
      <c r="T194" s="3"/>
      <c r="U194" s="3"/>
      <c r="V194" s="23"/>
      <c r="W194" s="23"/>
      <c r="X194" s="18"/>
      <c r="Y194" s="18"/>
      <c r="Z194" s="18"/>
      <c r="AA194" s="18"/>
      <c r="AB194" s="18"/>
      <c r="AC194" s="18"/>
    </row>
    <row r="195" spans="1:29" x14ac:dyDescent="0.25">
      <c r="A195" s="13"/>
      <c r="B195" s="9"/>
      <c r="C195" s="41"/>
      <c r="D195" s="41"/>
      <c r="E195" s="14"/>
      <c r="F195" s="14"/>
      <c r="G195" s="41"/>
      <c r="H195" s="45" t="s">
        <v>15</v>
      </c>
      <c r="I195" s="25">
        <f>SUM(I190:I194)</f>
        <v>0</v>
      </c>
      <c r="J195" s="11"/>
      <c r="K195" s="9"/>
      <c r="L195" s="9"/>
      <c r="M195" s="12"/>
      <c r="O195" s="24"/>
      <c r="V195" s="17"/>
      <c r="W195" s="17"/>
    </row>
    <row r="196" spans="1:29" x14ac:dyDescent="0.25">
      <c r="A196" s="16" t="s">
        <v>8</v>
      </c>
      <c r="B196" s="9"/>
      <c r="C196" s="41"/>
      <c r="D196" s="41"/>
      <c r="E196" s="14"/>
      <c r="F196" s="14"/>
      <c r="G196" s="41"/>
      <c r="H196" s="41"/>
      <c r="I196" s="10"/>
      <c r="J196" s="15"/>
      <c r="K196" s="9"/>
      <c r="L196" s="9"/>
      <c r="M196" s="12"/>
    </row>
    <row r="197" spans="1:29" x14ac:dyDescent="0.25">
      <c r="A197" s="13" t="s">
        <v>40</v>
      </c>
      <c r="B197" s="9"/>
      <c r="C197" s="41"/>
      <c r="D197" s="41"/>
      <c r="E197" s="14"/>
      <c r="F197" s="14"/>
      <c r="G197" s="41"/>
      <c r="H197" s="41"/>
      <c r="I197" s="10"/>
      <c r="J197" s="15"/>
      <c r="K197" s="9"/>
      <c r="L197" s="9"/>
      <c r="M197" s="12"/>
    </row>
    <row r="199" spans="1:29" ht="18.75" x14ac:dyDescent="0.3">
      <c r="A199" s="1" t="str">
        <f>CONCATENATE(A2, ". Пластик")</f>
        <v>bCad-teh1. Пластик</v>
      </c>
    </row>
    <row r="200" spans="1:29" x14ac:dyDescent="0.25">
      <c r="A200" s="3" t="s">
        <v>6</v>
      </c>
      <c r="B200" s="4" t="s">
        <v>5</v>
      </c>
      <c r="C200" s="39" t="s">
        <v>9</v>
      </c>
      <c r="D200" s="40" t="s">
        <v>11</v>
      </c>
      <c r="E200" s="6" t="s">
        <v>1</v>
      </c>
      <c r="F200" s="7" t="s">
        <v>0</v>
      </c>
      <c r="G200" s="40" t="s">
        <v>10</v>
      </c>
      <c r="H200" s="44" t="s">
        <v>12</v>
      </c>
      <c r="I200" s="8" t="s">
        <v>2</v>
      </c>
      <c r="J200" s="3" t="s">
        <v>3</v>
      </c>
      <c r="K200" s="4"/>
      <c r="L200" s="4"/>
      <c r="M200" s="3" t="s">
        <v>4</v>
      </c>
    </row>
    <row r="201" spans="1:29" x14ac:dyDescent="0.25">
      <c r="A201" s="9"/>
      <c r="B201" s="32"/>
      <c r="C201" s="41"/>
      <c r="D201" s="41"/>
      <c r="E201" s="14"/>
      <c r="F201" s="14"/>
      <c r="G201" s="41"/>
      <c r="H201" s="41"/>
      <c r="I201" s="10"/>
      <c r="J201" s="11"/>
      <c r="K201" s="32"/>
      <c r="L201" s="32"/>
      <c r="M201" s="28"/>
      <c r="O201" s="22"/>
      <c r="P201" s="18"/>
      <c r="Q201" s="18"/>
      <c r="R201" s="18"/>
      <c r="S201" s="18"/>
      <c r="T201" s="3"/>
      <c r="U201" s="3"/>
      <c r="V201" s="23"/>
      <c r="W201" s="23"/>
      <c r="X201" s="18"/>
      <c r="Y201" s="18"/>
      <c r="Z201" s="18"/>
      <c r="AA201" s="18"/>
      <c r="AB201" s="18"/>
      <c r="AC201" s="18"/>
    </row>
    <row r="202" spans="1:29" x14ac:dyDescent="0.25">
      <c r="A202" s="9"/>
      <c r="B202" s="32"/>
      <c r="C202" s="41"/>
      <c r="D202" s="41"/>
      <c r="E202" s="14"/>
      <c r="F202" s="14"/>
      <c r="G202" s="41"/>
      <c r="H202" s="41"/>
      <c r="I202" s="10"/>
      <c r="J202" s="11"/>
      <c r="K202" s="32"/>
      <c r="L202" s="32"/>
      <c r="M202" s="28"/>
      <c r="O202" s="22"/>
      <c r="P202" s="18"/>
      <c r="Q202" s="18"/>
      <c r="R202" s="18"/>
      <c r="S202" s="18"/>
      <c r="T202" s="3"/>
      <c r="U202" s="3"/>
      <c r="V202" s="23"/>
      <c r="W202" s="23"/>
      <c r="X202" s="18"/>
      <c r="Y202" s="18"/>
      <c r="Z202" s="18"/>
      <c r="AA202" s="18"/>
      <c r="AB202" s="18"/>
      <c r="AC202" s="18"/>
    </row>
    <row r="203" spans="1:29" x14ac:dyDescent="0.25">
      <c r="A203" s="9"/>
      <c r="B203" s="32"/>
      <c r="C203" s="41"/>
      <c r="D203" s="41"/>
      <c r="E203" s="14"/>
      <c r="F203" s="14"/>
      <c r="G203" s="41"/>
      <c r="H203" s="41"/>
      <c r="I203" s="10"/>
      <c r="J203" s="11"/>
      <c r="K203" s="15"/>
      <c r="L203" s="15"/>
      <c r="M203" s="11"/>
      <c r="O203" s="22"/>
      <c r="P203" s="18"/>
      <c r="Q203" s="18"/>
      <c r="R203" s="18"/>
      <c r="S203" s="18"/>
      <c r="T203" s="3"/>
      <c r="U203" s="3"/>
      <c r="V203" s="23"/>
      <c r="W203" s="23"/>
      <c r="X203" s="18"/>
      <c r="Y203" s="18"/>
      <c r="Z203" s="18"/>
      <c r="AA203" s="18"/>
      <c r="AB203" s="18"/>
      <c r="AC203" s="18"/>
    </row>
    <row r="204" spans="1:29" x14ac:dyDescent="0.25">
      <c r="A204" s="9"/>
      <c r="B204" s="32"/>
      <c r="C204" s="41"/>
      <c r="D204" s="41"/>
      <c r="E204" s="14"/>
      <c r="F204" s="14"/>
      <c r="G204" s="41"/>
      <c r="H204" s="41"/>
      <c r="I204" s="10"/>
      <c r="J204" s="11"/>
      <c r="K204" s="15"/>
      <c r="L204" s="15"/>
      <c r="M204" s="11"/>
      <c r="O204" s="22"/>
      <c r="P204" s="18"/>
      <c r="Q204" s="18"/>
      <c r="R204" s="18"/>
      <c r="S204" s="18"/>
      <c r="T204" s="3"/>
      <c r="U204" s="3"/>
      <c r="V204" s="23"/>
      <c r="W204" s="23"/>
      <c r="X204" s="18"/>
      <c r="Y204" s="18"/>
      <c r="Z204" s="18"/>
      <c r="AA204" s="18"/>
      <c r="AB204" s="18"/>
      <c r="AC204" s="18"/>
    </row>
    <row r="205" spans="1:29" x14ac:dyDescent="0.25">
      <c r="A205" s="9"/>
      <c r="B205" s="32"/>
      <c r="C205" s="41"/>
      <c r="D205" s="41"/>
      <c r="E205" s="14"/>
      <c r="F205" s="14"/>
      <c r="G205" s="41"/>
      <c r="H205" s="41"/>
      <c r="I205" s="10"/>
      <c r="J205" s="11"/>
      <c r="K205" s="15"/>
      <c r="L205" s="15"/>
      <c r="M205" s="11"/>
      <c r="O205" s="22"/>
      <c r="P205" s="18"/>
      <c r="Q205" s="18"/>
      <c r="R205" s="18"/>
      <c r="S205" s="18"/>
      <c r="T205" s="3"/>
      <c r="U205" s="3"/>
      <c r="V205" s="23"/>
      <c r="W205" s="23"/>
      <c r="X205" s="18"/>
      <c r="Y205" s="18"/>
      <c r="Z205" s="18"/>
      <c r="AA205" s="18"/>
      <c r="AB205" s="18"/>
      <c r="AC205" s="18"/>
    </row>
    <row r="206" spans="1:29" x14ac:dyDescent="0.25">
      <c r="A206" s="9"/>
      <c r="B206" s="32"/>
      <c r="C206" s="41"/>
      <c r="D206" s="41"/>
      <c r="E206" s="14"/>
      <c r="F206" s="14"/>
      <c r="G206" s="41"/>
      <c r="H206" s="41"/>
      <c r="I206" s="10"/>
      <c r="J206" s="11"/>
      <c r="K206" s="15"/>
      <c r="L206" s="15"/>
      <c r="M206" s="11"/>
      <c r="O206" s="22"/>
      <c r="P206" s="18"/>
      <c r="Q206" s="18"/>
      <c r="R206" s="18"/>
      <c r="S206" s="18"/>
      <c r="T206" s="3"/>
      <c r="U206" s="3"/>
      <c r="V206" s="23"/>
      <c r="W206" s="23"/>
      <c r="X206" s="18"/>
      <c r="Y206" s="18"/>
      <c r="Z206" s="18"/>
      <c r="AA206" s="18"/>
      <c r="AB206" s="18"/>
      <c r="AC206" s="18"/>
    </row>
    <row r="207" spans="1:29" x14ac:dyDescent="0.25">
      <c r="A207" s="9"/>
      <c r="B207" s="32"/>
      <c r="C207" s="41"/>
      <c r="D207" s="41"/>
      <c r="E207" s="14"/>
      <c r="F207" s="14"/>
      <c r="G207" s="41"/>
      <c r="H207" s="41"/>
      <c r="I207" s="10"/>
      <c r="J207" s="11"/>
      <c r="K207" s="15"/>
      <c r="L207" s="15"/>
      <c r="M207" s="11"/>
      <c r="O207" s="22"/>
      <c r="P207" s="18"/>
      <c r="Q207" s="18"/>
      <c r="R207" s="18"/>
      <c r="S207" s="18"/>
      <c r="T207" s="3"/>
      <c r="U207" s="3"/>
      <c r="V207" s="23"/>
      <c r="W207" s="23"/>
      <c r="X207" s="18"/>
      <c r="Y207" s="18"/>
      <c r="Z207" s="18"/>
      <c r="AA207" s="18"/>
      <c r="AB207" s="18"/>
      <c r="AC207" s="18"/>
    </row>
    <row r="208" spans="1:29" x14ac:dyDescent="0.25">
      <c r="A208" s="9"/>
      <c r="B208" s="32"/>
      <c r="C208" s="41"/>
      <c r="D208" s="41"/>
      <c r="E208" s="14"/>
      <c r="F208" s="14"/>
      <c r="G208" s="41"/>
      <c r="H208" s="41"/>
      <c r="I208" s="10"/>
      <c r="J208" s="11"/>
      <c r="K208" s="15"/>
      <c r="L208" s="15"/>
      <c r="M208" s="11"/>
      <c r="O208" s="22"/>
      <c r="P208" s="18"/>
      <c r="Q208" s="18"/>
      <c r="R208" s="18"/>
      <c r="S208" s="18"/>
      <c r="T208" s="3"/>
      <c r="U208" s="3"/>
      <c r="V208" s="23"/>
      <c r="W208" s="23"/>
      <c r="X208" s="18"/>
      <c r="Y208" s="18"/>
      <c r="Z208" s="18"/>
      <c r="AA208" s="18"/>
      <c r="AB208" s="18"/>
      <c r="AC208" s="18"/>
    </row>
    <row r="209" spans="1:29" x14ac:dyDescent="0.25">
      <c r="A209" s="9"/>
      <c r="B209" s="32"/>
      <c r="C209" s="41"/>
      <c r="D209" s="41"/>
      <c r="E209" s="14"/>
      <c r="F209" s="14"/>
      <c r="G209" s="41"/>
      <c r="H209" s="41"/>
      <c r="I209" s="10"/>
      <c r="J209" s="11"/>
      <c r="K209" s="15"/>
      <c r="L209" s="15"/>
      <c r="M209" s="11"/>
      <c r="O209" s="22"/>
      <c r="P209" s="18"/>
      <c r="Q209" s="18"/>
      <c r="R209" s="18"/>
      <c r="S209" s="18"/>
      <c r="T209" s="3"/>
      <c r="U209" s="3"/>
      <c r="V209" s="23"/>
      <c r="W209" s="23"/>
      <c r="X209" s="18"/>
      <c r="Y209" s="18"/>
      <c r="Z209" s="18"/>
      <c r="AA209" s="18"/>
      <c r="AB209" s="18"/>
      <c r="AC209" s="18"/>
    </row>
    <row r="210" spans="1:29" x14ac:dyDescent="0.25">
      <c r="A210" s="9"/>
      <c r="B210" s="32"/>
      <c r="C210" s="41"/>
      <c r="D210" s="41"/>
      <c r="E210" s="14"/>
      <c r="F210" s="14"/>
      <c r="G210" s="41"/>
      <c r="H210" s="41"/>
      <c r="I210" s="10"/>
      <c r="J210" s="11"/>
      <c r="K210" s="15"/>
      <c r="L210" s="15"/>
      <c r="M210" s="11"/>
      <c r="O210" s="22"/>
      <c r="P210" s="18"/>
      <c r="Q210" s="18"/>
      <c r="R210" s="18"/>
      <c r="S210" s="18"/>
      <c r="T210" s="3"/>
      <c r="U210" s="3"/>
      <c r="V210" s="23"/>
      <c r="W210" s="23"/>
      <c r="X210" s="18"/>
      <c r="Y210" s="18"/>
      <c r="Z210" s="18"/>
      <c r="AA210" s="18"/>
      <c r="AB210" s="18"/>
      <c r="AC210" s="18"/>
    </row>
    <row r="211" spans="1:29" x14ac:dyDescent="0.25">
      <c r="A211" s="13"/>
      <c r="B211" s="9"/>
      <c r="C211" s="41"/>
      <c r="D211" s="41"/>
      <c r="E211" s="14"/>
      <c r="F211" s="14"/>
      <c r="G211" s="41"/>
      <c r="H211" s="45" t="s">
        <v>15</v>
      </c>
      <c r="I211" s="25">
        <f>SUM(I201:I210)</f>
        <v>0</v>
      </c>
      <c r="J211" s="11"/>
      <c r="K211" s="9"/>
      <c r="L211" s="9"/>
      <c r="M211" s="12"/>
    </row>
    <row r="212" spans="1:29" x14ac:dyDescent="0.25">
      <c r="A212" s="16" t="s">
        <v>8</v>
      </c>
      <c r="B212" s="9"/>
      <c r="C212" s="41"/>
      <c r="D212" s="41"/>
      <c r="E212" s="14"/>
      <c r="F212" s="14"/>
      <c r="G212" s="41"/>
      <c r="H212" s="41"/>
      <c r="I212" s="10"/>
      <c r="J212" s="15"/>
      <c r="K212" s="9"/>
      <c r="L212" s="9"/>
      <c r="M212" s="12"/>
    </row>
    <row r="213" spans="1:29" x14ac:dyDescent="0.25">
      <c r="A213" s="13" t="s">
        <v>40</v>
      </c>
      <c r="B213" s="9"/>
      <c r="C213" s="41"/>
      <c r="D213" s="41"/>
      <c r="E213" s="14"/>
      <c r="F213" s="14"/>
      <c r="G213" s="41"/>
      <c r="H213" s="41"/>
      <c r="I213" s="10"/>
      <c r="J213" s="15"/>
      <c r="K213" s="9"/>
      <c r="L213" s="9"/>
      <c r="M213" s="12"/>
    </row>
    <row r="218" spans="1:29" ht="18.75" x14ac:dyDescent="0.3">
      <c r="A218" s="1" t="s">
        <v>29</v>
      </c>
    </row>
    <row r="219" spans="1:29" x14ac:dyDescent="0.25">
      <c r="A219" s="30" t="s">
        <v>37</v>
      </c>
    </row>
    <row r="220" spans="1:29" x14ac:dyDescent="0.25">
      <c r="M220" s="30"/>
      <c r="T220" s="30"/>
      <c r="U220" s="30"/>
    </row>
    <row r="221" spans="1:29" x14ac:dyDescent="0.25">
      <c r="M221" s="30"/>
      <c r="T221" s="30"/>
      <c r="U221" s="30"/>
    </row>
    <row r="222" spans="1:29" x14ac:dyDescent="0.25">
      <c r="M222" s="30"/>
      <c r="T222" s="30"/>
      <c r="U222" s="30"/>
    </row>
    <row r="223" spans="1:29" x14ac:dyDescent="0.25">
      <c r="C223" s="30"/>
      <c r="D223" s="30"/>
      <c r="G223" s="30"/>
      <c r="H223" s="30"/>
      <c r="M223" s="30"/>
      <c r="T223" s="30"/>
      <c r="U223" s="30"/>
    </row>
    <row r="225" spans="1:81" x14ac:dyDescent="0.25">
      <c r="C225" s="30"/>
      <c r="D225" s="30"/>
      <c r="G225" s="30"/>
      <c r="H225" s="30"/>
      <c r="M225" s="30"/>
      <c r="T225" s="30"/>
      <c r="U225" s="30"/>
    </row>
    <row r="226" spans="1:81" x14ac:dyDescent="0.25">
      <c r="C226" s="30"/>
      <c r="D226" s="30"/>
      <c r="G226" s="30"/>
      <c r="H226" s="30"/>
      <c r="M226" s="30"/>
      <c r="T226" s="30"/>
      <c r="U226" s="30"/>
    </row>
    <row r="227" spans="1:81" x14ac:dyDescent="0.25">
      <c r="C227" s="30"/>
      <c r="D227" s="30"/>
      <c r="G227" s="30"/>
      <c r="H227" s="30"/>
      <c r="M227" s="30"/>
      <c r="T227" s="30"/>
      <c r="U227" s="30"/>
    </row>
    <row r="228" spans="1:81" x14ac:dyDescent="0.25">
      <c r="C228" s="30"/>
      <c r="D228" s="30"/>
      <c r="G228" s="30"/>
      <c r="H228" s="30"/>
      <c r="M228" s="30"/>
      <c r="T228" s="30"/>
      <c r="U228" s="30"/>
    </row>
    <row r="229" spans="1:81" x14ac:dyDescent="0.25">
      <c r="C229" s="30"/>
      <c r="D229" s="30"/>
      <c r="G229" s="30"/>
      <c r="H229" s="30"/>
      <c r="M229" s="30"/>
      <c r="T229" s="30"/>
      <c r="U229" s="30"/>
    </row>
    <row r="230" spans="1:81" x14ac:dyDescent="0.25">
      <c r="A230"/>
      <c r="B230"/>
      <c r="C230"/>
      <c r="D230"/>
      <c r="E230"/>
      <c r="F230"/>
      <c r="G230"/>
      <c r="H230"/>
      <c r="I230"/>
      <c r="J230"/>
      <c r="K230"/>
      <c r="L230"/>
      <c r="M230"/>
      <c r="N230"/>
      <c r="O230"/>
      <c r="P230"/>
      <c r="Q230"/>
      <c r="R230"/>
      <c r="S230"/>
      <c r="T230"/>
      <c r="U230"/>
      <c r="V230"/>
      <c r="W230"/>
      <c r="X230"/>
      <c r="Y230"/>
      <c r="Z230"/>
      <c r="AA230"/>
      <c r="AB230"/>
      <c r="AC230"/>
      <c r="AD230"/>
      <c r="AE230"/>
      <c r="AF230"/>
      <c r="AG230"/>
      <c r="AH230"/>
      <c r="AI230"/>
      <c r="AJ230"/>
      <c r="AK230"/>
      <c r="AL230"/>
      <c r="AM230"/>
      <c r="AN230"/>
      <c r="AO230"/>
      <c r="AP230"/>
      <c r="AQ230"/>
      <c r="AR230"/>
      <c r="AS230"/>
      <c r="AT230"/>
      <c r="AU230"/>
      <c r="AV230"/>
      <c r="AW230"/>
      <c r="AX230"/>
      <c r="AY230"/>
      <c r="AZ230"/>
      <c r="BA230"/>
      <c r="BB230"/>
      <c r="BC230"/>
      <c r="BD230"/>
      <c r="BE230"/>
      <c r="BF230"/>
      <c r="BG230"/>
      <c r="BH230"/>
      <c r="BI230"/>
      <c r="BJ230"/>
      <c r="BK230"/>
      <c r="BL230"/>
      <c r="BM230"/>
      <c r="BN230"/>
      <c r="BO230"/>
      <c r="BP230"/>
      <c r="BQ230"/>
      <c r="BR230"/>
      <c r="BS230"/>
      <c r="BT230"/>
      <c r="BU230"/>
      <c r="BV230"/>
      <c r="BW230"/>
      <c r="BX230"/>
      <c r="BY230"/>
      <c r="BZ230"/>
      <c r="CA230"/>
      <c r="CB230"/>
      <c r="CC230"/>
    </row>
    <row r="231" spans="1:81" x14ac:dyDescent="0.25">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c r="AI231"/>
      <c r="AJ231"/>
      <c r="AK231"/>
      <c r="AL231"/>
      <c r="AM231"/>
      <c r="AN231"/>
      <c r="AO231"/>
      <c r="AP231"/>
      <c r="AQ231"/>
      <c r="AR231"/>
      <c r="AS231"/>
      <c r="AT231"/>
      <c r="AU231"/>
      <c r="AV231"/>
      <c r="AW231"/>
      <c r="AX231"/>
      <c r="AY231"/>
      <c r="AZ231"/>
      <c r="BA231"/>
      <c r="BB231"/>
      <c r="BC231"/>
      <c r="BD231"/>
      <c r="BE231"/>
      <c r="BF231"/>
      <c r="BG231"/>
      <c r="BH231"/>
      <c r="BI231"/>
      <c r="BJ231"/>
      <c r="BK231"/>
      <c r="BL231"/>
      <c r="BM231"/>
      <c r="BN231"/>
      <c r="BO231"/>
      <c r="BP231"/>
      <c r="BQ231"/>
      <c r="BR231"/>
      <c r="BS231"/>
      <c r="BT231"/>
      <c r="BU231"/>
      <c r="BV231"/>
      <c r="BW231"/>
      <c r="BX231"/>
      <c r="BY231"/>
      <c r="BZ231"/>
      <c r="CA231"/>
      <c r="CB231"/>
      <c r="CC231"/>
    </row>
    <row r="232" spans="1:81" x14ac:dyDescent="0.25">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c r="AI232"/>
      <c r="AJ232"/>
      <c r="AK232"/>
      <c r="AL232"/>
      <c r="AM232"/>
      <c r="AN232"/>
      <c r="AO232"/>
      <c r="AP232"/>
      <c r="AQ232"/>
      <c r="AR232"/>
      <c r="AS232"/>
      <c r="AT232"/>
      <c r="AU232"/>
      <c r="AV232"/>
      <c r="AW232"/>
      <c r="AX232"/>
      <c r="AY232"/>
      <c r="AZ232"/>
      <c r="BA232"/>
      <c r="BB232"/>
      <c r="BC232"/>
      <c r="BD232"/>
      <c r="BE232"/>
      <c r="BF232"/>
      <c r="BG232"/>
      <c r="BH232"/>
      <c r="BI232"/>
      <c r="BJ232"/>
      <c r="BK232"/>
      <c r="BL232"/>
      <c r="BM232"/>
      <c r="BN232"/>
      <c r="BO232"/>
      <c r="BP232"/>
      <c r="BQ232"/>
      <c r="BR232"/>
      <c r="BS232"/>
      <c r="BT232"/>
      <c r="BU232"/>
      <c r="BV232"/>
      <c r="BW232"/>
      <c r="BX232"/>
      <c r="BY232"/>
      <c r="BZ232"/>
      <c r="CA232"/>
      <c r="CB232"/>
      <c r="CC232"/>
    </row>
    <row r="233" spans="1:81" x14ac:dyDescent="0.25">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c r="AI233"/>
      <c r="AJ233"/>
      <c r="AK233"/>
      <c r="AL233"/>
      <c r="AM233"/>
      <c r="AN233"/>
      <c r="AO233"/>
      <c r="AP233"/>
      <c r="AQ233"/>
      <c r="AR233"/>
      <c r="AS233"/>
      <c r="AT233"/>
      <c r="AU233"/>
      <c r="AV233"/>
      <c r="AW233"/>
      <c r="AX233"/>
      <c r="AY233"/>
      <c r="AZ233"/>
      <c r="BA233"/>
      <c r="BB233"/>
      <c r="BC233"/>
      <c r="BD233"/>
      <c r="BE233"/>
      <c r="BF233"/>
      <c r="BG233"/>
      <c r="BH233"/>
      <c r="BI233"/>
      <c r="BJ233"/>
      <c r="BK233"/>
      <c r="BL233"/>
      <c r="BM233"/>
      <c r="BN233"/>
      <c r="BO233"/>
      <c r="BP233"/>
      <c r="BQ233"/>
      <c r="BR233"/>
      <c r="BS233"/>
      <c r="BT233"/>
      <c r="BU233"/>
      <c r="BV233"/>
      <c r="BW233"/>
      <c r="BX233"/>
      <c r="BY233"/>
      <c r="BZ233"/>
      <c r="CA233"/>
      <c r="CB233"/>
      <c r="CC233"/>
    </row>
    <row r="234" spans="1:81" x14ac:dyDescent="0.25">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c r="AI234"/>
      <c r="AJ234"/>
      <c r="AK234"/>
      <c r="AL234"/>
      <c r="AM234"/>
      <c r="AN234"/>
      <c r="AO234"/>
      <c r="AP234"/>
      <c r="AQ234"/>
      <c r="AR234"/>
      <c r="AS234"/>
      <c r="AT234"/>
      <c r="AU234"/>
      <c r="AV234"/>
      <c r="AW234"/>
      <c r="AX234"/>
      <c r="AY234"/>
      <c r="AZ234"/>
      <c r="BA234"/>
      <c r="BB234"/>
      <c r="BC234"/>
      <c r="BD234"/>
      <c r="BE234"/>
      <c r="BF234"/>
      <c r="BG234"/>
      <c r="BH234"/>
      <c r="BI234"/>
      <c r="BJ234"/>
      <c r="BK234"/>
      <c r="BL234"/>
      <c r="BM234"/>
      <c r="BN234"/>
      <c r="BO234"/>
      <c r="BP234"/>
      <c r="BQ234"/>
      <c r="BR234"/>
      <c r="BS234"/>
      <c r="BT234"/>
      <c r="BU234"/>
      <c r="BV234"/>
      <c r="BW234"/>
      <c r="BX234"/>
      <c r="BY234"/>
      <c r="BZ234"/>
      <c r="CA234"/>
      <c r="CB234"/>
      <c r="CC234"/>
    </row>
    <row r="235" spans="1:81" x14ac:dyDescent="0.25">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c r="AI235"/>
      <c r="AJ235"/>
      <c r="AK235"/>
      <c r="AL235"/>
      <c r="AM235"/>
      <c r="AN235"/>
      <c r="AO235"/>
      <c r="AP235"/>
      <c r="AQ235"/>
      <c r="AR235"/>
      <c r="AS235"/>
      <c r="AT235"/>
      <c r="AU235"/>
      <c r="AV235"/>
      <c r="AW235"/>
      <c r="AX235"/>
      <c r="AY235"/>
      <c r="AZ235"/>
      <c r="BA235"/>
      <c r="BB235"/>
      <c r="BC235"/>
      <c r="BD235"/>
      <c r="BE235"/>
      <c r="BF235"/>
      <c r="BG235"/>
      <c r="BH235"/>
      <c r="BI235"/>
      <c r="BJ235"/>
      <c r="BK235"/>
      <c r="BL235"/>
      <c r="BM235"/>
      <c r="BN235"/>
      <c r="BO235"/>
      <c r="BP235"/>
      <c r="BQ235"/>
      <c r="BR235"/>
      <c r="BS235"/>
      <c r="BT235"/>
      <c r="BU235"/>
      <c r="BV235"/>
      <c r="BW235"/>
      <c r="BX235"/>
      <c r="BY235"/>
      <c r="BZ235"/>
      <c r="CA235"/>
      <c r="CB235"/>
      <c r="CC235"/>
    </row>
    <row r="236" spans="1:81" x14ac:dyDescent="0.25">
      <c r="A236"/>
      <c r="B236"/>
      <c r="C236"/>
      <c r="D236"/>
      <c r="E236"/>
      <c r="F236"/>
      <c r="G236"/>
      <c r="H236"/>
      <c r="I236"/>
      <c r="J236"/>
      <c r="K236"/>
      <c r="L236"/>
      <c r="M236"/>
      <c r="N236"/>
      <c r="O236"/>
      <c r="P236"/>
      <c r="Q236"/>
      <c r="R236"/>
      <c r="S236"/>
      <c r="T236"/>
      <c r="U236"/>
      <c r="V236"/>
      <c r="W236"/>
      <c r="X236"/>
      <c r="Y236"/>
      <c r="Z236"/>
      <c r="AA236"/>
      <c r="AB236"/>
      <c r="AC236"/>
      <c r="AD236"/>
      <c r="AE236"/>
      <c r="AF236"/>
      <c r="AG236"/>
      <c r="AH236"/>
      <c r="AI236"/>
      <c r="AJ236"/>
      <c r="AK236"/>
      <c r="AL236"/>
      <c r="AM236"/>
      <c r="AN236"/>
      <c r="AO236"/>
      <c r="AP236"/>
      <c r="AQ236"/>
      <c r="AR236"/>
      <c r="AS236"/>
      <c r="AT236"/>
      <c r="AU236"/>
      <c r="AV236"/>
      <c r="AW236"/>
      <c r="AX236"/>
      <c r="AY236"/>
      <c r="AZ236"/>
      <c r="BA236"/>
      <c r="BB236"/>
      <c r="BC236"/>
      <c r="BD236"/>
      <c r="BE236"/>
      <c r="BF236"/>
      <c r="BG236"/>
      <c r="BH236"/>
      <c r="BI236"/>
      <c r="BJ236"/>
      <c r="BK236"/>
      <c r="BL236"/>
      <c r="BM236"/>
      <c r="BN236"/>
      <c r="BO236"/>
      <c r="BP236"/>
      <c r="BQ236"/>
      <c r="BR236"/>
      <c r="BS236"/>
      <c r="BT236"/>
      <c r="BU236"/>
      <c r="BV236"/>
      <c r="BW236"/>
      <c r="BX236"/>
      <c r="BY236"/>
      <c r="BZ236"/>
      <c r="CA236"/>
      <c r="CB236"/>
      <c r="CC236"/>
    </row>
    <row r="237" spans="1:81" x14ac:dyDescent="0.25">
      <c r="A237"/>
      <c r="B237"/>
      <c r="C237"/>
      <c r="D237"/>
      <c r="E237"/>
      <c r="F237"/>
      <c r="G237"/>
      <c r="H237"/>
      <c r="I237"/>
      <c r="J237"/>
      <c r="K237"/>
      <c r="L237"/>
      <c r="M237"/>
      <c r="N237"/>
      <c r="O237"/>
      <c r="P237"/>
      <c r="Q237"/>
      <c r="R237"/>
      <c r="S237"/>
      <c r="T237"/>
      <c r="U237"/>
      <c r="V237"/>
      <c r="W237"/>
      <c r="X237"/>
      <c r="Y237"/>
      <c r="Z237"/>
      <c r="AA237"/>
      <c r="AB237"/>
      <c r="AC237"/>
      <c r="AD237"/>
      <c r="AE237"/>
      <c r="AF237"/>
      <c r="AG237"/>
      <c r="AH237"/>
      <c r="AI237"/>
      <c r="AJ237"/>
      <c r="AK237"/>
      <c r="AL237"/>
      <c r="AM237"/>
      <c r="AN237"/>
      <c r="AO237"/>
      <c r="AP237"/>
      <c r="AQ237"/>
      <c r="AR237"/>
      <c r="AS237"/>
      <c r="AT237"/>
      <c r="AU237"/>
      <c r="AV237"/>
      <c r="AW237"/>
      <c r="AX237"/>
      <c r="AY237"/>
      <c r="AZ237"/>
      <c r="BA237"/>
      <c r="BB237"/>
      <c r="BC237"/>
      <c r="BD237"/>
      <c r="BE237"/>
      <c r="BF237"/>
      <c r="BG237"/>
      <c r="BH237"/>
      <c r="BI237"/>
      <c r="BJ237"/>
      <c r="BK237"/>
      <c r="BL237"/>
      <c r="BM237"/>
      <c r="BN237"/>
      <c r="BO237"/>
      <c r="BP237"/>
      <c r="BQ237"/>
      <c r="BR237"/>
      <c r="BS237"/>
      <c r="BT237"/>
      <c r="BU237"/>
      <c r="BV237"/>
      <c r="BW237"/>
      <c r="BX237"/>
      <c r="BY237"/>
      <c r="BZ237"/>
      <c r="CA237"/>
      <c r="CB237"/>
      <c r="CC237"/>
    </row>
    <row r="238" spans="1:81" x14ac:dyDescent="0.25">
      <c r="A238"/>
      <c r="B238"/>
      <c r="C238"/>
      <c r="D238"/>
      <c r="E238"/>
      <c r="F238"/>
      <c r="G238"/>
      <c r="H238"/>
      <c r="I238"/>
      <c r="J238"/>
      <c r="K238"/>
      <c r="L238"/>
      <c r="M238"/>
      <c r="N238"/>
      <c r="O238"/>
      <c r="P238"/>
      <c r="Q238"/>
      <c r="R238"/>
      <c r="S238"/>
      <c r="T238"/>
      <c r="U238"/>
      <c r="V238"/>
      <c r="W238"/>
      <c r="X238"/>
      <c r="Y238"/>
      <c r="Z238"/>
      <c r="AA238"/>
      <c r="AB238"/>
      <c r="AC238"/>
      <c r="AD238"/>
      <c r="AE238"/>
      <c r="AF238"/>
      <c r="AG238"/>
      <c r="AH238"/>
      <c r="AI238"/>
      <c r="AJ238"/>
      <c r="AK238"/>
      <c r="AL238"/>
      <c r="AM238"/>
      <c r="AN238"/>
      <c r="AO238"/>
      <c r="AP238"/>
      <c r="AQ238"/>
      <c r="AR238"/>
      <c r="AS238"/>
      <c r="AT238"/>
      <c r="AU238"/>
      <c r="AV238"/>
      <c r="AW238"/>
      <c r="AX238"/>
      <c r="AY238"/>
      <c r="AZ238"/>
      <c r="BA238"/>
      <c r="BB238"/>
      <c r="BC238"/>
      <c r="BD238"/>
      <c r="BE238"/>
      <c r="BF238"/>
      <c r="BG238"/>
      <c r="BH238"/>
      <c r="BI238"/>
      <c r="BJ238"/>
      <c r="BK238"/>
      <c r="BL238"/>
      <c r="BM238"/>
      <c r="BN238"/>
      <c r="BO238"/>
      <c r="BP238"/>
      <c r="BQ238"/>
      <c r="BR238"/>
      <c r="BS238"/>
      <c r="BT238"/>
      <c r="BU238"/>
      <c r="BV238"/>
      <c r="BW238"/>
      <c r="BX238"/>
      <c r="BY238"/>
      <c r="BZ238"/>
      <c r="CA238"/>
      <c r="CB238"/>
      <c r="CC238"/>
    </row>
    <row r="239" spans="1:81" x14ac:dyDescent="0.25">
      <c r="A239"/>
      <c r="B239"/>
      <c r="C239"/>
      <c r="D239"/>
      <c r="E239"/>
      <c r="F239"/>
      <c r="G239"/>
      <c r="H239"/>
      <c r="I239"/>
      <c r="J239"/>
      <c r="K239"/>
      <c r="L239"/>
      <c r="M239"/>
      <c r="N239"/>
      <c r="O239"/>
      <c r="P239"/>
      <c r="Q239"/>
      <c r="R239"/>
      <c r="S239"/>
      <c r="T239"/>
      <c r="U239"/>
      <c r="V239"/>
      <c r="W239"/>
      <c r="X239"/>
      <c r="Y239"/>
      <c r="Z239"/>
      <c r="AA239"/>
      <c r="AB239"/>
      <c r="AC239"/>
      <c r="AD239"/>
      <c r="AE239"/>
      <c r="AF239"/>
      <c r="AG239"/>
      <c r="AH239"/>
      <c r="AI239"/>
      <c r="AJ239"/>
      <c r="AK239"/>
      <c r="AL239"/>
      <c r="AM239"/>
      <c r="AN239"/>
      <c r="AO239"/>
      <c r="AP239"/>
      <c r="AQ239"/>
      <c r="AR239"/>
      <c r="AS239"/>
      <c r="AT239"/>
      <c r="AU239"/>
      <c r="AV239"/>
      <c r="AW239"/>
      <c r="AX239"/>
      <c r="AY239"/>
      <c r="AZ239"/>
      <c r="BA239"/>
      <c r="BB239"/>
      <c r="BC239"/>
      <c r="BD239"/>
      <c r="BE239"/>
      <c r="BF239"/>
      <c r="BG239"/>
      <c r="BH239"/>
      <c r="BI239"/>
      <c r="BJ239"/>
      <c r="BK239"/>
      <c r="BL239"/>
      <c r="BM239"/>
      <c r="BN239"/>
      <c r="BO239"/>
      <c r="BP239"/>
      <c r="BQ239"/>
      <c r="BR239"/>
      <c r="BS239"/>
      <c r="BT239"/>
      <c r="BU239"/>
      <c r="BV239"/>
      <c r="BW239"/>
      <c r="BX239"/>
      <c r="BY239"/>
      <c r="BZ239"/>
      <c r="CA239"/>
      <c r="CB239"/>
      <c r="CC239"/>
    </row>
    <row r="240" spans="1:81" x14ac:dyDescent="0.25">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c r="AI240"/>
      <c r="AJ240"/>
      <c r="AK240"/>
      <c r="AL240"/>
      <c r="AM240"/>
      <c r="AN240"/>
      <c r="AO240"/>
      <c r="AP240"/>
      <c r="AQ240"/>
      <c r="AR240"/>
      <c r="AS240"/>
      <c r="AT240"/>
      <c r="AU240"/>
      <c r="AV240"/>
      <c r="AW240"/>
      <c r="AX240"/>
      <c r="AY240"/>
      <c r="AZ240"/>
      <c r="BA240"/>
      <c r="BB240"/>
      <c r="BC240"/>
      <c r="BD240"/>
      <c r="BE240"/>
      <c r="BF240"/>
      <c r="BG240"/>
      <c r="BH240"/>
      <c r="BI240"/>
      <c r="BJ240"/>
      <c r="BK240"/>
      <c r="BL240"/>
      <c r="BM240"/>
      <c r="BN240"/>
      <c r="BO240"/>
      <c r="BP240"/>
      <c r="BQ240"/>
      <c r="BR240"/>
      <c r="BS240"/>
      <c r="BT240"/>
      <c r="BU240"/>
      <c r="BV240"/>
      <c r="BW240"/>
      <c r="BX240"/>
      <c r="BY240"/>
      <c r="BZ240"/>
      <c r="CA240"/>
      <c r="CB240"/>
      <c r="CC240"/>
    </row>
    <row r="241" spans="1:81" x14ac:dyDescent="0.25">
      <c r="A241"/>
      <c r="B241"/>
      <c r="C241"/>
      <c r="D241"/>
      <c r="E241"/>
      <c r="F241"/>
      <c r="G241"/>
      <c r="H241"/>
      <c r="I241"/>
      <c r="J241"/>
      <c r="K241"/>
      <c r="L241"/>
      <c r="M241"/>
      <c r="N241"/>
      <c r="O241"/>
      <c r="P241"/>
      <c r="Q241"/>
      <c r="R241"/>
      <c r="S241"/>
      <c r="T241"/>
      <c r="U241"/>
      <c r="V241"/>
      <c r="W241"/>
      <c r="X241"/>
      <c r="Y241"/>
      <c r="Z241"/>
      <c r="AA241"/>
      <c r="AB241"/>
      <c r="AC241"/>
      <c r="AD241"/>
      <c r="AE241"/>
      <c r="AF241"/>
      <c r="AG241"/>
      <c r="AH241"/>
      <c r="AI241"/>
      <c r="AJ241"/>
      <c r="AK241"/>
      <c r="AL241"/>
      <c r="AM241"/>
      <c r="AN241"/>
      <c r="AO241"/>
      <c r="AP241"/>
      <c r="AQ241"/>
      <c r="AR241"/>
      <c r="AS241"/>
      <c r="AT241"/>
      <c r="AU241"/>
      <c r="AV241"/>
      <c r="AW241"/>
      <c r="AX241"/>
      <c r="AY241"/>
      <c r="AZ241"/>
      <c r="BA241"/>
      <c r="BB241"/>
      <c r="BC241"/>
      <c r="BD241"/>
      <c r="BE241"/>
      <c r="BF241"/>
      <c r="BG241"/>
      <c r="BH241"/>
      <c r="BI241"/>
      <c r="BJ241"/>
      <c r="BK241"/>
      <c r="BL241"/>
      <c r="BM241"/>
      <c r="BN241"/>
      <c r="BO241"/>
      <c r="BP241"/>
      <c r="BQ241"/>
      <c r="BR241"/>
      <c r="BS241"/>
      <c r="BT241"/>
      <c r="BU241"/>
      <c r="BV241"/>
      <c r="BW241"/>
      <c r="BX241"/>
      <c r="BY241"/>
      <c r="BZ241"/>
      <c r="CA241"/>
      <c r="CB241"/>
      <c r="CC241"/>
    </row>
    <row r="242" spans="1:81" x14ac:dyDescent="0.25">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c r="AI242"/>
      <c r="AJ242"/>
      <c r="AK242"/>
      <c r="AL242"/>
      <c r="AM242"/>
      <c r="AN242"/>
      <c r="AO242"/>
      <c r="AP242"/>
      <c r="AQ242"/>
      <c r="AR242"/>
      <c r="AS242"/>
      <c r="AT242"/>
      <c r="AU242"/>
      <c r="AV242"/>
      <c r="AW242"/>
      <c r="AX242"/>
      <c r="AY242"/>
      <c r="AZ242"/>
      <c r="BA242"/>
      <c r="BB242"/>
      <c r="BC242"/>
      <c r="BD242"/>
      <c r="BE242"/>
      <c r="BF242"/>
      <c r="BG242"/>
      <c r="BH242"/>
      <c r="BI242"/>
      <c r="BJ242"/>
      <c r="BK242"/>
      <c r="BL242"/>
      <c r="BM242"/>
      <c r="BN242"/>
      <c r="BO242"/>
      <c r="BP242"/>
      <c r="BQ242"/>
      <c r="BR242"/>
      <c r="BS242"/>
      <c r="BT242"/>
      <c r="BU242"/>
      <c r="BV242"/>
      <c r="BW242"/>
      <c r="BX242"/>
      <c r="BY242"/>
      <c r="BZ242"/>
      <c r="CA242"/>
      <c r="CB242"/>
      <c r="CC242"/>
    </row>
    <row r="243" spans="1:81" x14ac:dyDescent="0.25">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c r="AI243"/>
      <c r="AJ243"/>
      <c r="AK243"/>
      <c r="AL243"/>
      <c r="AM243"/>
      <c r="AN243"/>
      <c r="AO243"/>
      <c r="AP243"/>
      <c r="AQ243"/>
      <c r="AR243"/>
      <c r="AS243"/>
      <c r="AT243"/>
      <c r="AU243"/>
      <c r="AV243"/>
      <c r="AW243"/>
      <c r="AX243"/>
      <c r="AY243"/>
      <c r="AZ243"/>
      <c r="BA243"/>
      <c r="BB243"/>
      <c r="BC243"/>
      <c r="BD243"/>
      <c r="BE243"/>
      <c r="BF243"/>
      <c r="BG243"/>
      <c r="BH243"/>
      <c r="BI243"/>
      <c r="BJ243"/>
      <c r="BK243"/>
      <c r="BL243"/>
      <c r="BM243"/>
      <c r="BN243"/>
      <c r="BO243"/>
      <c r="BP243"/>
      <c r="BQ243"/>
      <c r="BR243"/>
      <c r="BS243"/>
      <c r="BT243"/>
      <c r="BU243"/>
      <c r="BV243"/>
      <c r="BW243"/>
      <c r="BX243"/>
      <c r="BY243"/>
      <c r="BZ243"/>
      <c r="CA243"/>
      <c r="CB243"/>
      <c r="CC243"/>
    </row>
    <row r="244" spans="1:81" x14ac:dyDescent="0.25">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c r="AI244"/>
      <c r="AJ244"/>
      <c r="AK244"/>
      <c r="AL244"/>
      <c r="AM244"/>
      <c r="AN244"/>
      <c r="AO244"/>
      <c r="AP244"/>
      <c r="AQ244"/>
      <c r="AR244"/>
      <c r="AS244"/>
      <c r="AT244"/>
      <c r="AU244"/>
      <c r="AV244"/>
      <c r="AW244"/>
      <c r="AX244"/>
      <c r="AY244"/>
      <c r="AZ244"/>
      <c r="BA244"/>
      <c r="BB244"/>
      <c r="BC244"/>
      <c r="BD244"/>
      <c r="BE244"/>
      <c r="BF244"/>
      <c r="BG244"/>
      <c r="BH244"/>
      <c r="BI244"/>
      <c r="BJ244"/>
      <c r="BK244"/>
      <c r="BL244"/>
      <c r="BM244"/>
      <c r="BN244"/>
      <c r="BO244"/>
      <c r="BP244"/>
      <c r="BQ244"/>
      <c r="BR244"/>
      <c r="BS244"/>
      <c r="BT244"/>
      <c r="BU244"/>
      <c r="BV244"/>
      <c r="BW244"/>
      <c r="BX244"/>
      <c r="BY244"/>
      <c r="BZ244"/>
      <c r="CA244"/>
      <c r="CB244"/>
      <c r="CC244"/>
    </row>
    <row r="245" spans="1:81" x14ac:dyDescent="0.25">
      <c r="A245"/>
      <c r="B245"/>
      <c r="C245"/>
      <c r="D245"/>
      <c r="E245"/>
      <c r="F245"/>
      <c r="G245"/>
      <c r="H245"/>
      <c r="I245"/>
      <c r="J245"/>
      <c r="K245"/>
      <c r="L245"/>
      <c r="M245"/>
      <c r="N245"/>
      <c r="O245"/>
      <c r="P245"/>
      <c r="Q245"/>
      <c r="R245"/>
      <c r="S245"/>
      <c r="T245"/>
      <c r="U245"/>
      <c r="V245"/>
      <c r="W245"/>
      <c r="X245"/>
      <c r="Y245"/>
      <c r="Z245"/>
      <c r="AA245"/>
      <c r="AB245"/>
      <c r="AC245"/>
      <c r="AD245"/>
      <c r="AE245"/>
      <c r="AF245"/>
      <c r="AG245"/>
      <c r="AH245"/>
      <c r="AI245"/>
      <c r="AJ245"/>
      <c r="AK245"/>
      <c r="AL245"/>
      <c r="AM245"/>
      <c r="AN245"/>
      <c r="AO245"/>
      <c r="AP245"/>
      <c r="AQ245"/>
      <c r="AR245"/>
      <c r="AS245"/>
      <c r="AT245"/>
      <c r="AU245"/>
      <c r="AV245"/>
      <c r="AW245"/>
      <c r="AX245"/>
      <c r="AY245"/>
      <c r="AZ245"/>
      <c r="BA245"/>
      <c r="BB245"/>
      <c r="BC245"/>
      <c r="BD245"/>
      <c r="BE245"/>
      <c r="BF245"/>
      <c r="BG245"/>
      <c r="BH245"/>
      <c r="BI245"/>
      <c r="BJ245"/>
      <c r="BK245"/>
      <c r="BL245"/>
      <c r="BM245"/>
      <c r="BN245"/>
      <c r="BO245"/>
      <c r="BP245"/>
      <c r="BQ245"/>
      <c r="BR245"/>
      <c r="BS245"/>
      <c r="BT245"/>
      <c r="BU245"/>
      <c r="BV245"/>
      <c r="BW245"/>
      <c r="BX245"/>
      <c r="BY245"/>
      <c r="BZ245"/>
      <c r="CA245"/>
      <c r="CB245"/>
      <c r="CC245"/>
    </row>
    <row r="246" spans="1:81" x14ac:dyDescent="0.25">
      <c r="A246"/>
      <c r="B246"/>
      <c r="C246"/>
      <c r="D246"/>
      <c r="E246"/>
      <c r="F246"/>
      <c r="G246"/>
      <c r="H246"/>
      <c r="I246"/>
      <c r="J246"/>
      <c r="K246"/>
      <c r="L246"/>
      <c r="M246"/>
      <c r="N246"/>
      <c r="O246"/>
      <c r="P246"/>
      <c r="Q246"/>
      <c r="R246"/>
      <c r="S246"/>
      <c r="T246"/>
      <c r="U246"/>
      <c r="V246"/>
      <c r="W246"/>
      <c r="X246"/>
      <c r="Y246"/>
      <c r="Z246"/>
      <c r="AA246"/>
      <c r="AB246"/>
      <c r="AC246"/>
      <c r="AD246"/>
      <c r="AE246"/>
      <c r="AF246"/>
      <c r="AG246"/>
      <c r="AH246"/>
      <c r="AI246"/>
      <c r="AJ246"/>
      <c r="AK246"/>
      <c r="AL246"/>
      <c r="AM246"/>
      <c r="AN246"/>
      <c r="AO246"/>
      <c r="AP246"/>
      <c r="AQ246"/>
      <c r="AR246"/>
      <c r="AS246"/>
      <c r="AT246"/>
      <c r="AU246"/>
      <c r="AV246"/>
      <c r="AW246"/>
      <c r="AX246"/>
      <c r="AY246"/>
      <c r="AZ246"/>
      <c r="BA246"/>
      <c r="BB246"/>
      <c r="BC246"/>
      <c r="BD246"/>
      <c r="BE246"/>
      <c r="BF246"/>
      <c r="BG246"/>
      <c r="BH246"/>
      <c r="BI246"/>
      <c r="BJ246"/>
      <c r="BK246"/>
      <c r="BL246"/>
      <c r="BM246"/>
      <c r="BN246"/>
      <c r="BO246"/>
      <c r="BP246"/>
      <c r="BQ246"/>
      <c r="BR246"/>
      <c r="BS246"/>
      <c r="BT246"/>
      <c r="BU246"/>
      <c r="BV246"/>
      <c r="BW246"/>
      <c r="BX246"/>
      <c r="BY246"/>
      <c r="BZ246"/>
      <c r="CA246"/>
      <c r="CB246"/>
      <c r="CC246"/>
    </row>
    <row r="247" spans="1:81" x14ac:dyDescent="0.25">
      <c r="A247"/>
      <c r="B247"/>
      <c r="C247"/>
      <c r="D247"/>
      <c r="E247"/>
      <c r="F247"/>
      <c r="G247"/>
      <c r="H247"/>
      <c r="I247"/>
      <c r="J247"/>
      <c r="K247"/>
      <c r="L247"/>
      <c r="M247"/>
      <c r="N247"/>
      <c r="O247"/>
      <c r="P247"/>
      <c r="Q247"/>
      <c r="R247"/>
      <c r="S247"/>
      <c r="T247"/>
      <c r="U247"/>
      <c r="V247"/>
      <c r="W247"/>
      <c r="X247"/>
      <c r="Y247"/>
      <c r="Z247"/>
      <c r="AA247"/>
      <c r="AB247"/>
      <c r="AC247"/>
      <c r="AD247"/>
      <c r="AE247"/>
      <c r="AF247"/>
      <c r="AG247"/>
      <c r="AH247"/>
      <c r="AI247"/>
      <c r="AJ247"/>
      <c r="AK247"/>
      <c r="AL247"/>
      <c r="AM247"/>
      <c r="AN247"/>
      <c r="AO247"/>
      <c r="AP247"/>
      <c r="AQ247"/>
      <c r="AR247"/>
      <c r="AS247"/>
      <c r="AT247"/>
      <c r="AU247"/>
      <c r="AV247"/>
      <c r="AW247"/>
      <c r="AX247"/>
      <c r="AY247"/>
      <c r="AZ247"/>
      <c r="BA247"/>
      <c r="BB247"/>
      <c r="BC247"/>
      <c r="BD247"/>
      <c r="BE247"/>
      <c r="BF247"/>
      <c r="BG247"/>
      <c r="BH247"/>
      <c r="BI247"/>
      <c r="BJ247"/>
      <c r="BK247"/>
      <c r="BL247"/>
      <c r="BM247"/>
      <c r="BN247"/>
      <c r="BO247"/>
      <c r="BP247"/>
      <c r="BQ247"/>
      <c r="BR247"/>
      <c r="BS247"/>
      <c r="BT247"/>
      <c r="BU247"/>
      <c r="BV247"/>
      <c r="BW247"/>
      <c r="BX247"/>
      <c r="BY247"/>
      <c r="BZ247"/>
      <c r="CA247"/>
      <c r="CB247"/>
      <c r="CC247"/>
    </row>
    <row r="248" spans="1:81" x14ac:dyDescent="0.25">
      <c r="A248"/>
      <c r="B248"/>
      <c r="C248"/>
      <c r="D248"/>
      <c r="E248"/>
      <c r="F248"/>
      <c r="G248"/>
      <c r="H248"/>
      <c r="I248"/>
      <c r="J248"/>
      <c r="K248"/>
      <c r="L248"/>
      <c r="M248"/>
      <c r="N248"/>
      <c r="O248"/>
      <c r="P248"/>
      <c r="Q248"/>
      <c r="R248"/>
      <c r="S248"/>
      <c r="T248"/>
      <c r="U248"/>
      <c r="V248"/>
      <c r="W248"/>
      <c r="X248"/>
      <c r="Y248"/>
      <c r="Z248"/>
      <c r="AA248"/>
      <c r="AB248"/>
      <c r="AC248"/>
      <c r="AD248"/>
      <c r="AE248"/>
      <c r="AF248"/>
      <c r="AG248"/>
      <c r="AH248"/>
      <c r="AI248"/>
      <c r="AJ248"/>
      <c r="AK248"/>
      <c r="AL248"/>
      <c r="AM248"/>
      <c r="AN248"/>
      <c r="AO248"/>
      <c r="AP248"/>
      <c r="AQ248"/>
      <c r="AR248"/>
      <c r="AS248"/>
      <c r="AT248"/>
      <c r="AU248"/>
      <c r="AV248"/>
      <c r="AW248"/>
      <c r="AX248"/>
      <c r="AY248"/>
      <c r="AZ248"/>
      <c r="BA248"/>
      <c r="BB248"/>
      <c r="BC248"/>
      <c r="BD248"/>
      <c r="BE248"/>
      <c r="BF248"/>
      <c r="BG248"/>
      <c r="BH248"/>
      <c r="BI248"/>
      <c r="BJ248"/>
      <c r="BK248"/>
      <c r="BL248"/>
      <c r="BM248"/>
      <c r="BN248"/>
      <c r="BO248"/>
      <c r="BP248"/>
      <c r="BQ248"/>
      <c r="BR248"/>
      <c r="BS248"/>
      <c r="BT248"/>
      <c r="BU248"/>
      <c r="BV248"/>
      <c r="BW248"/>
      <c r="BX248"/>
      <c r="BY248"/>
      <c r="BZ248"/>
      <c r="CA248"/>
      <c r="CB248"/>
      <c r="CC248"/>
    </row>
    <row r="249" spans="1:81" x14ac:dyDescent="0.25">
      <c r="A249"/>
      <c r="B249"/>
      <c r="C249"/>
      <c r="D249"/>
      <c r="E249"/>
      <c r="F249"/>
      <c r="G249"/>
      <c r="H249"/>
      <c r="I249"/>
      <c r="J249"/>
      <c r="K249"/>
      <c r="L249"/>
      <c r="M249"/>
      <c r="N249"/>
      <c r="O249"/>
      <c r="P249"/>
      <c r="Q249"/>
      <c r="R249"/>
      <c r="S249"/>
      <c r="T249"/>
      <c r="U249"/>
      <c r="V249"/>
      <c r="W249"/>
      <c r="X249"/>
      <c r="Y249"/>
      <c r="Z249"/>
      <c r="AA249"/>
      <c r="AB249"/>
      <c r="AC249"/>
      <c r="AD249"/>
      <c r="AE249"/>
      <c r="AF249"/>
      <c r="AG249"/>
      <c r="AH249"/>
      <c r="AI249"/>
      <c r="AJ249"/>
      <c r="AK249"/>
      <c r="AL249"/>
      <c r="AM249"/>
      <c r="AN249"/>
      <c r="AO249"/>
      <c r="AP249"/>
      <c r="AQ249"/>
      <c r="AR249"/>
      <c r="AS249"/>
      <c r="AT249"/>
      <c r="AU249"/>
      <c r="AV249"/>
      <c r="AW249"/>
      <c r="AX249"/>
      <c r="AY249"/>
      <c r="AZ249"/>
      <c r="BA249"/>
      <c r="BB249"/>
      <c r="BC249"/>
      <c r="BD249"/>
      <c r="BE249"/>
      <c r="BF249"/>
      <c r="BG249"/>
      <c r="BH249"/>
      <c r="BI249"/>
      <c r="BJ249"/>
      <c r="BK249"/>
      <c r="BL249"/>
      <c r="BM249"/>
      <c r="BN249"/>
      <c r="BO249"/>
      <c r="BP249"/>
      <c r="BQ249"/>
      <c r="BR249"/>
      <c r="BS249"/>
      <c r="BT249"/>
      <c r="BU249"/>
      <c r="BV249"/>
      <c r="BW249"/>
      <c r="BX249"/>
      <c r="BY249"/>
      <c r="BZ249"/>
      <c r="CA249"/>
      <c r="CB249"/>
      <c r="CC249"/>
    </row>
    <row r="250" spans="1:81" x14ac:dyDescent="0.25">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c r="AI250"/>
      <c r="AJ250"/>
      <c r="AK250"/>
      <c r="AL250"/>
      <c r="AM250"/>
      <c r="AN250"/>
      <c r="AO250"/>
      <c r="AP250"/>
      <c r="AQ250"/>
      <c r="AR250"/>
      <c r="AS250"/>
      <c r="AT250"/>
      <c r="AU250"/>
      <c r="AV250"/>
      <c r="AW250"/>
      <c r="AX250"/>
      <c r="AY250"/>
      <c r="AZ250"/>
      <c r="BA250"/>
      <c r="BB250"/>
      <c r="BC250"/>
      <c r="BD250"/>
      <c r="BE250"/>
      <c r="BF250"/>
      <c r="BG250"/>
      <c r="BH250"/>
      <c r="BI250"/>
      <c r="BJ250"/>
      <c r="BK250"/>
      <c r="BL250"/>
      <c r="BM250"/>
      <c r="BN250"/>
      <c r="BO250"/>
      <c r="BP250"/>
      <c r="BQ250"/>
      <c r="BR250"/>
      <c r="BS250"/>
      <c r="BT250"/>
      <c r="BU250"/>
      <c r="BV250"/>
      <c r="BW250"/>
      <c r="BX250"/>
      <c r="BY250"/>
      <c r="BZ250"/>
      <c r="CA250"/>
      <c r="CB250"/>
      <c r="CC250"/>
    </row>
    <row r="251" spans="1:81" x14ac:dyDescent="0.25">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c r="AI251"/>
      <c r="AJ251"/>
      <c r="AK251"/>
      <c r="AL251"/>
      <c r="AM251"/>
      <c r="AN251"/>
      <c r="AO251"/>
      <c r="AP251"/>
      <c r="AQ251"/>
      <c r="AR251"/>
      <c r="AS251"/>
      <c r="AT251"/>
      <c r="AU251"/>
      <c r="AV251"/>
      <c r="AW251"/>
      <c r="AX251"/>
      <c r="AY251"/>
      <c r="AZ251"/>
      <c r="BA251"/>
      <c r="BB251"/>
      <c r="BC251"/>
      <c r="BD251"/>
      <c r="BE251"/>
      <c r="BF251"/>
      <c r="BG251"/>
      <c r="BH251"/>
      <c r="BI251"/>
      <c r="BJ251"/>
      <c r="BK251"/>
      <c r="BL251"/>
      <c r="BM251"/>
      <c r="BN251"/>
      <c r="BO251"/>
      <c r="BP251"/>
      <c r="BQ251"/>
      <c r="BR251"/>
      <c r="BS251"/>
      <c r="BT251"/>
      <c r="BU251"/>
      <c r="BV251"/>
      <c r="BW251"/>
      <c r="BX251"/>
      <c r="BY251"/>
      <c r="BZ251"/>
      <c r="CA251"/>
      <c r="CB251"/>
      <c r="CC251"/>
    </row>
    <row r="252" spans="1:81" x14ac:dyDescent="0.25">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c r="AI252"/>
      <c r="AJ252"/>
      <c r="AK252"/>
      <c r="AL252"/>
      <c r="AM252"/>
      <c r="AN252"/>
      <c r="AO252"/>
      <c r="AP252"/>
      <c r="AQ252"/>
      <c r="AR252"/>
      <c r="AS252"/>
      <c r="AT252"/>
      <c r="AU252"/>
      <c r="AV252"/>
      <c r="AW252"/>
      <c r="AX252"/>
      <c r="AY252"/>
      <c r="AZ252"/>
      <c r="BA252"/>
      <c r="BB252"/>
      <c r="BC252"/>
      <c r="BD252"/>
      <c r="BE252"/>
      <c r="BF252"/>
      <c r="BG252"/>
      <c r="BH252"/>
      <c r="BI252"/>
      <c r="BJ252"/>
      <c r="BK252"/>
      <c r="BL252"/>
      <c r="BM252"/>
      <c r="BN252"/>
      <c r="BO252"/>
      <c r="BP252"/>
      <c r="BQ252"/>
      <c r="BR252"/>
      <c r="BS252"/>
      <c r="BT252"/>
      <c r="BU252"/>
      <c r="BV252"/>
      <c r="BW252"/>
      <c r="BX252"/>
      <c r="BY252"/>
      <c r="BZ252"/>
      <c r="CA252"/>
      <c r="CB252"/>
      <c r="CC252"/>
    </row>
    <row r="253" spans="1:81" x14ac:dyDescent="0.25">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c r="AI253"/>
      <c r="AJ253"/>
      <c r="AK253"/>
      <c r="AL253"/>
      <c r="AM253"/>
      <c r="AN253"/>
      <c r="AO253"/>
      <c r="AP253"/>
      <c r="AQ253"/>
      <c r="AR253"/>
      <c r="AS253"/>
      <c r="AT253"/>
      <c r="AU253"/>
      <c r="AV253"/>
      <c r="AW253"/>
      <c r="AX253"/>
      <c r="AY253"/>
      <c r="AZ253"/>
      <c r="BA253"/>
      <c r="BB253"/>
      <c r="BC253"/>
      <c r="BD253"/>
      <c r="BE253"/>
      <c r="BF253"/>
      <c r="BG253"/>
      <c r="BH253"/>
      <c r="BI253"/>
      <c r="BJ253"/>
      <c r="BK253"/>
      <c r="BL253"/>
      <c r="BM253"/>
      <c r="BN253"/>
      <c r="BO253"/>
      <c r="BP253"/>
      <c r="BQ253"/>
      <c r="BR253"/>
      <c r="BS253"/>
      <c r="BT253"/>
      <c r="BU253"/>
      <c r="BV253"/>
      <c r="BW253"/>
      <c r="BX253"/>
      <c r="BY253"/>
      <c r="BZ253"/>
      <c r="CA253"/>
      <c r="CB253"/>
      <c r="CC253"/>
    </row>
    <row r="254" spans="1:81" x14ac:dyDescent="0.25">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c r="AI254"/>
      <c r="AJ254"/>
      <c r="AK254"/>
      <c r="AL254"/>
      <c r="AM254"/>
      <c r="AN254"/>
      <c r="AO254"/>
      <c r="AP254"/>
      <c r="AQ254"/>
      <c r="AR254"/>
      <c r="AS254"/>
      <c r="AT254"/>
      <c r="AU254"/>
      <c r="AV254"/>
      <c r="AW254"/>
      <c r="AX254"/>
      <c r="AY254"/>
      <c r="AZ254"/>
      <c r="BA254"/>
      <c r="BB254"/>
      <c r="BC254"/>
      <c r="BD254"/>
      <c r="BE254"/>
      <c r="BF254"/>
      <c r="BG254"/>
      <c r="BH254"/>
      <c r="BI254"/>
      <c r="BJ254"/>
      <c r="BK254"/>
      <c r="BL254"/>
      <c r="BM254"/>
      <c r="BN254"/>
      <c r="BO254"/>
      <c r="BP254"/>
      <c r="BQ254"/>
      <c r="BR254"/>
      <c r="BS254"/>
      <c r="BT254"/>
      <c r="BU254"/>
      <c r="BV254"/>
      <c r="BW254"/>
      <c r="BX254"/>
      <c r="BY254"/>
      <c r="BZ254"/>
      <c r="CA254"/>
      <c r="CB254"/>
      <c r="CC254"/>
    </row>
    <row r="255" spans="1:81" x14ac:dyDescent="0.25">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c r="AI255"/>
      <c r="AJ255"/>
      <c r="AK255"/>
      <c r="AL255"/>
      <c r="AM255"/>
      <c r="AN255"/>
      <c r="AO255"/>
      <c r="AP255"/>
      <c r="AQ255"/>
      <c r="AR255"/>
      <c r="AS255"/>
      <c r="AT255"/>
      <c r="AU255"/>
      <c r="AV255"/>
      <c r="AW255"/>
      <c r="AX255"/>
      <c r="AY255"/>
      <c r="AZ255"/>
      <c r="BA255"/>
      <c r="BB255"/>
      <c r="BC255"/>
      <c r="BD255"/>
      <c r="BE255"/>
      <c r="BF255"/>
      <c r="BG255"/>
      <c r="BH255"/>
      <c r="BI255"/>
      <c r="BJ255"/>
      <c r="BK255"/>
      <c r="BL255"/>
      <c r="BM255"/>
      <c r="BN255"/>
      <c r="BO255"/>
      <c r="BP255"/>
      <c r="BQ255"/>
      <c r="BR255"/>
      <c r="BS255"/>
      <c r="BT255"/>
      <c r="BU255"/>
      <c r="BV255"/>
      <c r="BW255"/>
      <c r="BX255"/>
      <c r="BY255"/>
      <c r="BZ255"/>
      <c r="CA255"/>
      <c r="CB255"/>
      <c r="CC255"/>
    </row>
    <row r="256" spans="1:81" x14ac:dyDescent="0.25">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c r="AI256"/>
      <c r="AJ256"/>
      <c r="AK256"/>
      <c r="AL256"/>
      <c r="AM256"/>
      <c r="AN256"/>
      <c r="AO256"/>
      <c r="AP256"/>
      <c r="AQ256"/>
      <c r="AR256"/>
      <c r="AS256"/>
      <c r="AT256"/>
      <c r="AU256"/>
      <c r="AV256"/>
      <c r="AW256"/>
      <c r="AX256"/>
      <c r="AY256"/>
      <c r="AZ256"/>
      <c r="BA256"/>
      <c r="BB256"/>
      <c r="BC256"/>
      <c r="BD256"/>
      <c r="BE256"/>
      <c r="BF256"/>
      <c r="BG256"/>
      <c r="BH256"/>
      <c r="BI256"/>
      <c r="BJ256"/>
      <c r="BK256"/>
      <c r="BL256"/>
      <c r="BM256"/>
      <c r="BN256"/>
      <c r="BO256"/>
      <c r="BP256"/>
      <c r="BQ256"/>
      <c r="BR256"/>
      <c r="BS256"/>
      <c r="BT256"/>
      <c r="BU256"/>
      <c r="BV256"/>
      <c r="BW256"/>
      <c r="BX256"/>
      <c r="BY256"/>
      <c r="BZ256"/>
      <c r="CA256"/>
      <c r="CB256"/>
      <c r="CC256"/>
    </row>
    <row r="257" spans="1:81" x14ac:dyDescent="0.25">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c r="AI257"/>
      <c r="AJ257"/>
      <c r="AK257"/>
      <c r="AL257"/>
      <c r="AM257"/>
      <c r="AN257"/>
      <c r="AO257"/>
      <c r="AP257"/>
      <c r="AQ257"/>
      <c r="AR257"/>
      <c r="AS257"/>
      <c r="AT257"/>
      <c r="AU257"/>
      <c r="AV257"/>
      <c r="AW257"/>
      <c r="AX257"/>
      <c r="AY257"/>
      <c r="AZ257"/>
      <c r="BA257"/>
      <c r="BB257"/>
      <c r="BC257"/>
      <c r="BD257"/>
      <c r="BE257"/>
      <c r="BF257"/>
      <c r="BG257"/>
      <c r="BH257"/>
      <c r="BI257"/>
      <c r="BJ257"/>
      <c r="BK257"/>
      <c r="BL257"/>
      <c r="BM257"/>
      <c r="BN257"/>
      <c r="BO257"/>
      <c r="BP257"/>
      <c r="BQ257"/>
      <c r="BR257"/>
      <c r="BS257"/>
      <c r="BT257"/>
      <c r="BU257"/>
      <c r="BV257"/>
      <c r="BW257"/>
      <c r="BX257"/>
      <c r="BY257"/>
      <c r="BZ257"/>
      <c r="CA257"/>
      <c r="CB257"/>
      <c r="CC257"/>
    </row>
    <row r="258" spans="1:81" x14ac:dyDescent="0.25">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c r="AI258"/>
      <c r="AJ258"/>
      <c r="AK258"/>
      <c r="AL258"/>
      <c r="AM258"/>
      <c r="AN258"/>
      <c r="AO258"/>
      <c r="AP258"/>
      <c r="AQ258"/>
      <c r="AR258"/>
      <c r="AS258"/>
      <c r="AT258"/>
      <c r="AU258"/>
      <c r="AV258"/>
      <c r="AW258"/>
      <c r="AX258"/>
      <c r="AY258"/>
      <c r="AZ258"/>
      <c r="BA258"/>
      <c r="BB258"/>
      <c r="BC258"/>
      <c r="BD258"/>
      <c r="BE258"/>
      <c r="BF258"/>
      <c r="BG258"/>
      <c r="BH258"/>
      <c r="BI258"/>
      <c r="BJ258"/>
      <c r="BK258"/>
      <c r="BL258"/>
      <c r="BM258"/>
      <c r="BN258"/>
      <c r="BO258"/>
      <c r="BP258"/>
      <c r="BQ258"/>
      <c r="BR258"/>
      <c r="BS258"/>
      <c r="BT258"/>
      <c r="BU258"/>
      <c r="BV258"/>
      <c r="BW258"/>
      <c r="BX258"/>
      <c r="BY258"/>
      <c r="BZ258"/>
      <c r="CA258"/>
      <c r="CB258"/>
      <c r="CC258"/>
    </row>
    <row r="259" spans="1:81" x14ac:dyDescent="0.25">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c r="AI259"/>
      <c r="AJ259"/>
      <c r="AK259"/>
      <c r="AL259"/>
      <c r="AM259"/>
      <c r="AN259"/>
      <c r="AO259"/>
      <c r="AP259"/>
      <c r="AQ259"/>
      <c r="AR259"/>
      <c r="AS259"/>
      <c r="AT259"/>
      <c r="AU259"/>
      <c r="AV259"/>
      <c r="AW259"/>
      <c r="AX259"/>
      <c r="AY259"/>
      <c r="AZ259"/>
      <c r="BA259"/>
      <c r="BB259"/>
      <c r="BC259"/>
      <c r="BD259"/>
      <c r="BE259"/>
      <c r="BF259"/>
      <c r="BG259"/>
      <c r="BH259"/>
      <c r="BI259"/>
      <c r="BJ259"/>
      <c r="BK259"/>
      <c r="BL259"/>
      <c r="BM259"/>
      <c r="BN259"/>
      <c r="BO259"/>
      <c r="BP259"/>
      <c r="BQ259"/>
      <c r="BR259"/>
      <c r="BS259"/>
      <c r="BT259"/>
      <c r="BU259"/>
      <c r="BV259"/>
      <c r="BW259"/>
      <c r="BX259"/>
      <c r="BY259"/>
      <c r="BZ259"/>
      <c r="CA259"/>
      <c r="CB259"/>
      <c r="CC259"/>
    </row>
    <row r="260" spans="1:81" x14ac:dyDescent="0.25">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c r="AI260"/>
      <c r="AJ260"/>
      <c r="AK260"/>
      <c r="AL260"/>
      <c r="AM260"/>
      <c r="AN260"/>
      <c r="AO260"/>
      <c r="AP260"/>
      <c r="AQ260"/>
      <c r="AR260"/>
      <c r="AS260"/>
      <c r="AT260"/>
      <c r="AU260"/>
      <c r="AV260"/>
      <c r="AW260"/>
      <c r="AX260"/>
      <c r="AY260"/>
      <c r="AZ260"/>
      <c r="BA260"/>
      <c r="BB260"/>
      <c r="BC260"/>
      <c r="BD260"/>
      <c r="BE260"/>
      <c r="BF260"/>
      <c r="BG260"/>
      <c r="BH260"/>
      <c r="BI260"/>
      <c r="BJ260"/>
      <c r="BK260"/>
      <c r="BL260"/>
      <c r="BM260"/>
      <c r="BN260"/>
      <c r="BO260"/>
      <c r="BP260"/>
      <c r="BQ260"/>
      <c r="BR260"/>
      <c r="BS260"/>
      <c r="BT260"/>
      <c r="BU260"/>
      <c r="BV260"/>
      <c r="BW260"/>
      <c r="BX260"/>
      <c r="BY260"/>
      <c r="BZ260"/>
      <c r="CA260"/>
      <c r="CB260"/>
      <c r="CC260"/>
    </row>
    <row r="261" spans="1:81" x14ac:dyDescent="0.25">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c r="AI261"/>
      <c r="AJ261"/>
      <c r="AK261"/>
      <c r="AL261"/>
      <c r="AM261"/>
      <c r="AN261"/>
      <c r="AO261"/>
      <c r="AP261"/>
      <c r="AQ261"/>
      <c r="AR261"/>
      <c r="AS261"/>
      <c r="AT261"/>
      <c r="AU261"/>
      <c r="AV261"/>
      <c r="AW261"/>
      <c r="AX261"/>
      <c r="AY261"/>
      <c r="AZ261"/>
      <c r="BA261"/>
      <c r="BB261"/>
      <c r="BC261"/>
      <c r="BD261"/>
      <c r="BE261"/>
      <c r="BF261"/>
      <c r="BG261"/>
      <c r="BH261"/>
      <c r="BI261"/>
      <c r="BJ261"/>
      <c r="BK261"/>
      <c r="BL261"/>
      <c r="BM261"/>
      <c r="BN261"/>
      <c r="BO261"/>
      <c r="BP261"/>
      <c r="BQ261"/>
      <c r="BR261"/>
      <c r="BS261"/>
      <c r="BT261"/>
      <c r="BU261"/>
      <c r="BV261"/>
      <c r="BW261"/>
      <c r="BX261"/>
      <c r="BY261"/>
      <c r="BZ261"/>
      <c r="CA261"/>
      <c r="CB261"/>
      <c r="CC261"/>
    </row>
    <row r="262" spans="1:81" x14ac:dyDescent="0.25">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c r="AI262"/>
      <c r="AJ262"/>
      <c r="AK262"/>
      <c r="AL262"/>
      <c r="AM262"/>
      <c r="AN262"/>
      <c r="AO262"/>
      <c r="AP262"/>
      <c r="AQ262"/>
      <c r="AR262"/>
      <c r="AS262"/>
      <c r="AT262"/>
      <c r="AU262"/>
      <c r="AV262"/>
      <c r="AW262"/>
      <c r="AX262"/>
      <c r="AY262"/>
      <c r="AZ262"/>
      <c r="BA262"/>
      <c r="BB262"/>
      <c r="BC262"/>
      <c r="BD262"/>
      <c r="BE262"/>
      <c r="BF262"/>
      <c r="BG262"/>
      <c r="BH262"/>
      <c r="BI262"/>
      <c r="BJ262"/>
      <c r="BK262"/>
      <c r="BL262"/>
      <c r="BM262"/>
      <c r="BN262"/>
      <c r="BO262"/>
      <c r="BP262"/>
      <c r="BQ262"/>
      <c r="BR262"/>
      <c r="BS262"/>
      <c r="BT262"/>
      <c r="BU262"/>
      <c r="BV262"/>
      <c r="BW262"/>
      <c r="BX262"/>
      <c r="BY262"/>
      <c r="BZ262"/>
      <c r="CA262"/>
      <c r="CB262"/>
      <c r="CC262"/>
    </row>
    <row r="263" spans="1:81" x14ac:dyDescent="0.25">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c r="AI263"/>
      <c r="AJ263"/>
      <c r="AK263"/>
      <c r="AL263"/>
      <c r="AM263"/>
      <c r="AN263"/>
      <c r="AO263"/>
      <c r="AP263"/>
      <c r="AQ263"/>
      <c r="AR263"/>
      <c r="AS263"/>
      <c r="AT263"/>
      <c r="AU263"/>
      <c r="AV263"/>
      <c r="AW263"/>
      <c r="AX263"/>
      <c r="AY263"/>
      <c r="AZ263"/>
      <c r="BA263"/>
      <c r="BB263"/>
      <c r="BC263"/>
      <c r="BD263"/>
      <c r="BE263"/>
      <c r="BF263"/>
      <c r="BG263"/>
      <c r="BH263"/>
      <c r="BI263"/>
      <c r="BJ263"/>
      <c r="BK263"/>
      <c r="BL263"/>
      <c r="BM263"/>
      <c r="BN263"/>
      <c r="BO263"/>
      <c r="BP263"/>
      <c r="BQ263"/>
      <c r="BR263"/>
      <c r="BS263"/>
      <c r="BT263"/>
      <c r="BU263"/>
      <c r="BV263"/>
      <c r="BW263"/>
      <c r="BX263"/>
      <c r="BY263"/>
      <c r="BZ263"/>
      <c r="CA263"/>
      <c r="CB263"/>
      <c r="CC263"/>
    </row>
    <row r="264" spans="1:81" x14ac:dyDescent="0.25">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c r="AI264"/>
      <c r="AJ264"/>
      <c r="AK264"/>
      <c r="AL264"/>
      <c r="AM264"/>
      <c r="AN264"/>
      <c r="AO264"/>
      <c r="AP264"/>
      <c r="AQ264"/>
      <c r="AR264"/>
      <c r="AS264"/>
      <c r="AT264"/>
      <c r="AU264"/>
      <c r="AV264"/>
      <c r="AW264"/>
      <c r="AX264"/>
      <c r="AY264"/>
      <c r="AZ264"/>
      <c r="BA264"/>
      <c r="BB264"/>
      <c r="BC264"/>
      <c r="BD264"/>
      <c r="BE264"/>
      <c r="BF264"/>
      <c r="BG264"/>
      <c r="BH264"/>
      <c r="BI264"/>
      <c r="BJ264"/>
      <c r="BK264"/>
      <c r="BL264"/>
      <c r="BM264"/>
      <c r="BN264"/>
      <c r="BO264"/>
      <c r="BP264"/>
      <c r="BQ264"/>
      <c r="BR264"/>
      <c r="BS264"/>
      <c r="BT264"/>
      <c r="BU264"/>
      <c r="BV264"/>
      <c r="BW264"/>
      <c r="BX264"/>
      <c r="BY264"/>
      <c r="BZ264"/>
      <c r="CA264"/>
      <c r="CB264"/>
      <c r="CC264"/>
    </row>
    <row r="265" spans="1:81" x14ac:dyDescent="0.25">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c r="AI265"/>
      <c r="AJ265"/>
      <c r="AK265"/>
      <c r="AL265"/>
      <c r="AM265"/>
      <c r="AN265"/>
      <c r="AO265"/>
      <c r="AP265"/>
      <c r="AQ265"/>
      <c r="AR265"/>
      <c r="AS265"/>
      <c r="AT265"/>
      <c r="AU265"/>
      <c r="AV265"/>
      <c r="AW265"/>
      <c r="AX265"/>
      <c r="AY265"/>
      <c r="AZ265"/>
      <c r="BA265"/>
      <c r="BB265"/>
      <c r="BC265"/>
      <c r="BD265"/>
      <c r="BE265"/>
      <c r="BF265"/>
      <c r="BG265"/>
      <c r="BH265"/>
      <c r="BI265"/>
      <c r="BJ265"/>
      <c r="BK265"/>
      <c r="BL265"/>
      <c r="BM265"/>
      <c r="BN265"/>
      <c r="BO265"/>
      <c r="BP265"/>
      <c r="BQ265"/>
      <c r="BR265"/>
      <c r="BS265"/>
      <c r="BT265"/>
      <c r="BU265"/>
      <c r="BV265"/>
      <c r="BW265"/>
      <c r="BX265"/>
      <c r="BY265"/>
      <c r="BZ265"/>
      <c r="CA265"/>
      <c r="CB265"/>
      <c r="CC265"/>
    </row>
    <row r="266" spans="1:81" x14ac:dyDescent="0.25">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c r="AI266"/>
      <c r="AJ266"/>
      <c r="AK266"/>
      <c r="AL266"/>
      <c r="AM266"/>
      <c r="AN266"/>
      <c r="AO266"/>
      <c r="AP266"/>
      <c r="AQ266"/>
      <c r="AR266"/>
      <c r="AS266"/>
      <c r="AT266"/>
      <c r="AU266"/>
      <c r="AV266"/>
      <c r="AW266"/>
      <c r="AX266"/>
      <c r="AY266"/>
      <c r="AZ266"/>
      <c r="BA266"/>
      <c r="BB266"/>
      <c r="BC266"/>
      <c r="BD266"/>
      <c r="BE266"/>
      <c r="BF266"/>
      <c r="BG266"/>
      <c r="BH266"/>
      <c r="BI266"/>
      <c r="BJ266"/>
      <c r="BK266"/>
      <c r="BL266"/>
      <c r="BM266"/>
      <c r="BN266"/>
      <c r="BO266"/>
      <c r="BP266"/>
      <c r="BQ266"/>
      <c r="BR266"/>
      <c r="BS266"/>
      <c r="BT266"/>
      <c r="BU266"/>
      <c r="BV266"/>
      <c r="BW266"/>
      <c r="BX266"/>
      <c r="BY266"/>
      <c r="BZ266"/>
      <c r="CA266"/>
      <c r="CB266"/>
      <c r="CC266"/>
    </row>
    <row r="267" spans="1:81" x14ac:dyDescent="0.25">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c r="AI267"/>
      <c r="AJ267"/>
      <c r="AK267"/>
      <c r="AL267"/>
      <c r="AM267"/>
      <c r="AN267"/>
      <c r="AO267"/>
      <c r="AP267"/>
      <c r="AQ267"/>
      <c r="AR267"/>
      <c r="AS267"/>
      <c r="AT267"/>
      <c r="AU267"/>
      <c r="AV267"/>
      <c r="AW267"/>
      <c r="AX267"/>
      <c r="AY267"/>
      <c r="AZ267"/>
      <c r="BA267"/>
      <c r="BB267"/>
      <c r="BC267"/>
      <c r="BD267"/>
      <c r="BE267"/>
      <c r="BF267"/>
      <c r="BG267"/>
      <c r="BH267"/>
      <c r="BI267"/>
      <c r="BJ267"/>
      <c r="BK267"/>
      <c r="BL267"/>
      <c r="BM267"/>
      <c r="BN267"/>
      <c r="BO267"/>
      <c r="BP267"/>
      <c r="BQ267"/>
      <c r="BR267"/>
      <c r="BS267"/>
      <c r="BT267"/>
      <c r="BU267"/>
      <c r="BV267"/>
      <c r="BW267"/>
      <c r="BX267"/>
      <c r="BY267"/>
      <c r="BZ267"/>
      <c r="CA267"/>
      <c r="CB267"/>
      <c r="CC267"/>
    </row>
    <row r="268" spans="1:81" x14ac:dyDescent="0.25">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c r="AI268"/>
      <c r="AJ268"/>
      <c r="AK268"/>
      <c r="AL268"/>
      <c r="AM268"/>
      <c r="AN268"/>
      <c r="AO268"/>
      <c r="AP268"/>
      <c r="AQ268"/>
      <c r="AR268"/>
      <c r="AS268"/>
      <c r="AT268"/>
      <c r="AU268"/>
      <c r="AV268"/>
      <c r="AW268"/>
      <c r="AX268"/>
      <c r="AY268"/>
      <c r="AZ268"/>
      <c r="BA268"/>
      <c r="BB268"/>
      <c r="BC268"/>
      <c r="BD268"/>
      <c r="BE268"/>
      <c r="BF268"/>
      <c r="BG268"/>
      <c r="BH268"/>
      <c r="BI268"/>
      <c r="BJ268"/>
      <c r="BK268"/>
      <c r="BL268"/>
      <c r="BM268"/>
      <c r="BN268"/>
      <c r="BO268"/>
      <c r="BP268"/>
      <c r="BQ268"/>
      <c r="BR268"/>
      <c r="BS268"/>
      <c r="BT268"/>
      <c r="BU268"/>
      <c r="BV268"/>
      <c r="BW268"/>
      <c r="BX268"/>
      <c r="BY268"/>
      <c r="BZ268"/>
      <c r="CA268"/>
      <c r="CB268"/>
      <c r="CC268"/>
    </row>
    <row r="269" spans="1:81" x14ac:dyDescent="0.25">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c r="AI269"/>
      <c r="AJ269"/>
      <c r="AK269"/>
      <c r="AL269"/>
      <c r="AM269"/>
      <c r="AN269"/>
      <c r="AO269"/>
      <c r="AP269"/>
      <c r="AQ269"/>
      <c r="AR269"/>
      <c r="AS269"/>
      <c r="AT269"/>
      <c r="AU269"/>
      <c r="AV269"/>
      <c r="AW269"/>
      <c r="AX269"/>
      <c r="AY269"/>
      <c r="AZ269"/>
      <c r="BA269"/>
      <c r="BB269"/>
      <c r="BC269"/>
      <c r="BD269"/>
      <c r="BE269"/>
      <c r="BF269"/>
      <c r="BG269"/>
      <c r="BH269"/>
      <c r="BI269"/>
      <c r="BJ269"/>
      <c r="BK269"/>
      <c r="BL269"/>
      <c r="BM269"/>
      <c r="BN269"/>
      <c r="BO269"/>
      <c r="BP269"/>
      <c r="BQ269"/>
      <c r="BR269"/>
      <c r="BS269"/>
      <c r="BT269"/>
      <c r="BU269"/>
      <c r="BV269"/>
      <c r="BW269"/>
      <c r="BX269"/>
      <c r="BY269"/>
      <c r="BZ269"/>
      <c r="CA269"/>
      <c r="CB269"/>
      <c r="CC269"/>
    </row>
    <row r="270" spans="1:81" x14ac:dyDescent="0.25">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c r="AI270"/>
      <c r="AJ270"/>
      <c r="AK270"/>
      <c r="AL270"/>
      <c r="AM270"/>
      <c r="AN270"/>
      <c r="AO270"/>
      <c r="AP270"/>
      <c r="AQ270"/>
      <c r="AR270"/>
      <c r="AS270"/>
      <c r="AT270"/>
      <c r="AU270"/>
      <c r="AV270"/>
      <c r="AW270"/>
      <c r="AX270"/>
      <c r="AY270"/>
      <c r="AZ270"/>
      <c r="BA270"/>
      <c r="BB270"/>
      <c r="BC270"/>
      <c r="BD270"/>
      <c r="BE270"/>
      <c r="BF270"/>
      <c r="BG270"/>
      <c r="BH270"/>
      <c r="BI270"/>
      <c r="BJ270"/>
      <c r="BK270"/>
      <c r="BL270"/>
      <c r="BM270"/>
      <c r="BN270"/>
      <c r="BO270"/>
      <c r="BP270"/>
      <c r="BQ270"/>
      <c r="BR270"/>
      <c r="BS270"/>
      <c r="BT270"/>
      <c r="BU270"/>
      <c r="BV270"/>
      <c r="BW270"/>
      <c r="BX270"/>
      <c r="BY270"/>
      <c r="BZ270"/>
      <c r="CA270"/>
      <c r="CB270"/>
      <c r="CC270"/>
    </row>
    <row r="271" spans="1:81" x14ac:dyDescent="0.25">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c r="AI271"/>
      <c r="AJ271"/>
      <c r="AK271"/>
      <c r="AL271"/>
      <c r="AM271"/>
      <c r="AN271"/>
      <c r="AO271"/>
      <c r="AP271"/>
      <c r="AQ271"/>
      <c r="AR271"/>
      <c r="AS271"/>
      <c r="AT271"/>
      <c r="AU271"/>
      <c r="AV271"/>
      <c r="AW271"/>
      <c r="AX271"/>
      <c r="AY271"/>
      <c r="AZ271"/>
      <c r="BA271"/>
      <c r="BB271"/>
      <c r="BC271"/>
      <c r="BD271"/>
      <c r="BE271"/>
      <c r="BF271"/>
      <c r="BG271"/>
      <c r="BH271"/>
      <c r="BI271"/>
      <c r="BJ271"/>
      <c r="BK271"/>
      <c r="BL271"/>
      <c r="BM271"/>
      <c r="BN271"/>
      <c r="BO271"/>
      <c r="BP271"/>
      <c r="BQ271"/>
      <c r="BR271"/>
      <c r="BS271"/>
      <c r="BT271"/>
      <c r="BU271"/>
      <c r="BV271"/>
      <c r="BW271"/>
      <c r="BX271"/>
      <c r="BY271"/>
      <c r="BZ271"/>
      <c r="CA271"/>
      <c r="CB271"/>
      <c r="CC271"/>
    </row>
    <row r="272" spans="1:81" x14ac:dyDescent="0.25">
      <c r="A272"/>
      <c r="B272"/>
      <c r="C272"/>
      <c r="D272"/>
      <c r="E272"/>
      <c r="F272"/>
      <c r="G272"/>
      <c r="H272"/>
      <c r="I272"/>
      <c r="J272"/>
      <c r="K272"/>
      <c r="L272"/>
      <c r="M272"/>
      <c r="N272"/>
      <c r="O272"/>
      <c r="P272"/>
      <c r="Q272"/>
      <c r="R272"/>
      <c r="S272"/>
      <c r="T272"/>
      <c r="U272"/>
      <c r="V272"/>
      <c r="W272"/>
      <c r="X272"/>
      <c r="Y272"/>
      <c r="Z272"/>
      <c r="AA272"/>
      <c r="AB272"/>
      <c r="AC272"/>
      <c r="AD272"/>
      <c r="AE272"/>
      <c r="AF272"/>
      <c r="AG272"/>
      <c r="AH272"/>
      <c r="AI272"/>
      <c r="AJ272"/>
      <c r="AK272"/>
      <c r="AL272"/>
      <c r="AM272"/>
      <c r="AN272"/>
      <c r="AO272"/>
      <c r="AP272"/>
      <c r="AQ272"/>
      <c r="AR272"/>
      <c r="AS272"/>
      <c r="AT272"/>
      <c r="AU272"/>
      <c r="AV272"/>
      <c r="AW272"/>
      <c r="AX272"/>
      <c r="AY272"/>
      <c r="AZ272"/>
      <c r="BA272"/>
      <c r="BB272"/>
      <c r="BC272"/>
      <c r="BD272"/>
      <c r="BE272"/>
      <c r="BF272"/>
      <c r="BG272"/>
      <c r="BH272"/>
      <c r="BI272"/>
      <c r="BJ272"/>
      <c r="BK272"/>
      <c r="BL272"/>
      <c r="BM272"/>
      <c r="BN272"/>
      <c r="BO272"/>
      <c r="BP272"/>
      <c r="BQ272"/>
      <c r="BR272"/>
      <c r="BS272"/>
      <c r="BT272"/>
      <c r="BU272"/>
      <c r="BV272"/>
      <c r="BW272"/>
      <c r="BX272"/>
      <c r="BY272"/>
      <c r="BZ272"/>
      <c r="CA272"/>
      <c r="CB272"/>
      <c r="CC272"/>
    </row>
    <row r="273" spans="1:81" x14ac:dyDescent="0.25">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c r="AI273"/>
      <c r="AJ273"/>
      <c r="AK273"/>
      <c r="AL273"/>
      <c r="AM273"/>
      <c r="AN273"/>
      <c r="AO273"/>
      <c r="AP273"/>
      <c r="AQ273"/>
      <c r="AR273"/>
      <c r="AS273"/>
      <c r="AT273"/>
      <c r="AU273"/>
      <c r="AV273"/>
      <c r="AW273"/>
      <c r="AX273"/>
      <c r="AY273"/>
      <c r="AZ273"/>
      <c r="BA273"/>
      <c r="BB273"/>
      <c r="BC273"/>
      <c r="BD273"/>
      <c r="BE273"/>
      <c r="BF273"/>
      <c r="BG273"/>
      <c r="BH273"/>
      <c r="BI273"/>
      <c r="BJ273"/>
      <c r="BK273"/>
      <c r="BL273"/>
      <c r="BM273"/>
      <c r="BN273"/>
      <c r="BO273"/>
      <c r="BP273"/>
      <c r="BQ273"/>
      <c r="BR273"/>
      <c r="BS273"/>
      <c r="BT273"/>
      <c r="BU273"/>
      <c r="BV273"/>
      <c r="BW273"/>
      <c r="BX273"/>
      <c r="BY273"/>
      <c r="BZ273"/>
      <c r="CA273"/>
      <c r="CB273"/>
      <c r="CC273"/>
    </row>
    <row r="274" spans="1:81" x14ac:dyDescent="0.25">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c r="AI274"/>
      <c r="AJ274"/>
      <c r="AK274"/>
      <c r="AL274"/>
      <c r="AM274"/>
      <c r="AN274"/>
      <c r="AO274"/>
      <c r="AP274"/>
      <c r="AQ274"/>
      <c r="AR274"/>
      <c r="AS274"/>
      <c r="AT274"/>
      <c r="AU274"/>
      <c r="AV274"/>
      <c r="AW274"/>
      <c r="AX274"/>
      <c r="AY274"/>
      <c r="AZ274"/>
      <c r="BA274"/>
      <c r="BB274"/>
      <c r="BC274"/>
      <c r="BD274"/>
      <c r="BE274"/>
      <c r="BF274"/>
      <c r="BG274"/>
      <c r="BH274"/>
      <c r="BI274"/>
      <c r="BJ274"/>
      <c r="BK274"/>
      <c r="BL274"/>
      <c r="BM274"/>
      <c r="BN274"/>
      <c r="BO274"/>
      <c r="BP274"/>
      <c r="BQ274"/>
      <c r="BR274"/>
      <c r="BS274"/>
      <c r="BT274"/>
      <c r="BU274"/>
      <c r="BV274"/>
      <c r="BW274"/>
      <c r="BX274"/>
      <c r="BY274"/>
      <c r="BZ274"/>
      <c r="CA274"/>
      <c r="CB274"/>
      <c r="CC274"/>
    </row>
    <row r="275" spans="1:81" x14ac:dyDescent="0.25">
      <c r="A275"/>
      <c r="B275"/>
      <c r="C275"/>
      <c r="D275"/>
      <c r="E275"/>
      <c r="F275"/>
      <c r="G275"/>
      <c r="H275"/>
      <c r="I275"/>
      <c r="J275"/>
      <c r="K275"/>
      <c r="L275"/>
      <c r="M275"/>
      <c r="N275"/>
      <c r="O275"/>
      <c r="P275"/>
      <c r="Q275"/>
      <c r="R275"/>
      <c r="S275"/>
      <c r="T275"/>
      <c r="U275"/>
      <c r="V275"/>
      <c r="W275"/>
      <c r="X275"/>
      <c r="Y275"/>
      <c r="Z275"/>
      <c r="AA275"/>
      <c r="AB275"/>
      <c r="AC275"/>
      <c r="AD275"/>
      <c r="AE275"/>
      <c r="AF275"/>
      <c r="AG275"/>
      <c r="AH275"/>
      <c r="AI275"/>
      <c r="AJ275"/>
      <c r="AK275"/>
      <c r="AL275"/>
      <c r="AM275"/>
      <c r="AN275"/>
      <c r="AO275"/>
      <c r="AP275"/>
      <c r="AQ275"/>
      <c r="AR275"/>
      <c r="AS275"/>
      <c r="AT275"/>
      <c r="AU275"/>
      <c r="AV275"/>
      <c r="AW275"/>
      <c r="AX275"/>
      <c r="AY275"/>
      <c r="AZ275"/>
      <c r="BA275"/>
      <c r="BB275"/>
      <c r="BC275"/>
      <c r="BD275"/>
      <c r="BE275"/>
      <c r="BF275"/>
      <c r="BG275"/>
      <c r="BH275"/>
      <c r="BI275"/>
      <c r="BJ275"/>
      <c r="BK275"/>
      <c r="BL275"/>
      <c r="BM275"/>
      <c r="BN275"/>
      <c r="BO275"/>
      <c r="BP275"/>
      <c r="BQ275"/>
      <c r="BR275"/>
      <c r="BS275"/>
      <c r="BT275"/>
      <c r="BU275"/>
      <c r="BV275"/>
      <c r="BW275"/>
      <c r="BX275"/>
      <c r="BY275"/>
      <c r="BZ275"/>
      <c r="CA275"/>
      <c r="CB275"/>
      <c r="CC275"/>
    </row>
    <row r="276" spans="1:81" x14ac:dyDescent="0.25">
      <c r="A276"/>
      <c r="B276"/>
      <c r="C276"/>
      <c r="D276"/>
      <c r="E276"/>
      <c r="F276"/>
      <c r="G276"/>
      <c r="H276"/>
      <c r="I276"/>
      <c r="J276"/>
      <c r="K276"/>
      <c r="L276"/>
      <c r="M276"/>
      <c r="N276"/>
      <c r="O276"/>
      <c r="P276"/>
      <c r="Q276"/>
      <c r="R276"/>
      <c r="S276"/>
      <c r="T276"/>
      <c r="U276"/>
      <c r="V276"/>
      <c r="W276"/>
      <c r="X276"/>
      <c r="Y276"/>
      <c r="Z276"/>
      <c r="AA276"/>
      <c r="AB276"/>
      <c r="AC276"/>
      <c r="AD276"/>
      <c r="AE276"/>
      <c r="AF276"/>
      <c r="AG276"/>
      <c r="AH276"/>
      <c r="AI276"/>
      <c r="AJ276"/>
      <c r="AK276"/>
      <c r="AL276"/>
      <c r="AM276"/>
      <c r="AN276"/>
      <c r="AO276"/>
      <c r="AP276"/>
      <c r="AQ276"/>
      <c r="AR276"/>
      <c r="AS276"/>
      <c r="AT276"/>
      <c r="AU276"/>
      <c r="AV276"/>
      <c r="AW276"/>
      <c r="AX276"/>
      <c r="AY276"/>
      <c r="AZ276"/>
      <c r="BA276"/>
      <c r="BB276"/>
      <c r="BC276"/>
      <c r="BD276"/>
      <c r="BE276"/>
      <c r="BF276"/>
      <c r="BG276"/>
      <c r="BH276"/>
      <c r="BI276"/>
      <c r="BJ276"/>
      <c r="BK276"/>
      <c r="BL276"/>
      <c r="BM276"/>
      <c r="BN276"/>
      <c r="BO276"/>
      <c r="BP276"/>
      <c r="BQ276"/>
      <c r="BR276"/>
      <c r="BS276"/>
      <c r="BT276"/>
      <c r="BU276"/>
      <c r="BV276"/>
      <c r="BW276"/>
      <c r="BX276"/>
      <c r="BY276"/>
      <c r="BZ276"/>
      <c r="CA276"/>
      <c r="CB276"/>
      <c r="CC276"/>
    </row>
    <row r="277" spans="1:81" x14ac:dyDescent="0.25">
      <c r="A277"/>
      <c r="B277"/>
      <c r="C277"/>
      <c r="D277"/>
      <c r="E277"/>
      <c r="F277"/>
      <c r="G277"/>
      <c r="H277"/>
      <c r="I277"/>
      <c r="J277"/>
      <c r="K277"/>
      <c r="L277"/>
      <c r="M277"/>
      <c r="N277"/>
      <c r="O277"/>
      <c r="P277"/>
      <c r="Q277"/>
      <c r="R277"/>
      <c r="S277"/>
      <c r="T277"/>
      <c r="U277"/>
      <c r="V277"/>
      <c r="W277"/>
      <c r="X277"/>
      <c r="Y277"/>
      <c r="Z277"/>
      <c r="AA277"/>
      <c r="AB277"/>
      <c r="AC277"/>
      <c r="AD277"/>
      <c r="AE277"/>
      <c r="AF277"/>
      <c r="AG277"/>
      <c r="AH277"/>
      <c r="AI277"/>
      <c r="AJ277"/>
      <c r="AK277"/>
      <c r="AL277"/>
      <c r="AM277"/>
      <c r="AN277"/>
      <c r="AO277"/>
      <c r="AP277"/>
      <c r="AQ277"/>
      <c r="AR277"/>
      <c r="AS277"/>
      <c r="AT277"/>
      <c r="AU277"/>
      <c r="AV277"/>
      <c r="AW277"/>
      <c r="AX277"/>
      <c r="AY277"/>
      <c r="AZ277"/>
      <c r="BA277"/>
      <c r="BB277"/>
      <c r="BC277"/>
      <c r="BD277"/>
      <c r="BE277"/>
      <c r="BF277"/>
      <c r="BG277"/>
      <c r="BH277"/>
      <c r="BI277"/>
      <c r="BJ277"/>
      <c r="BK277"/>
      <c r="BL277"/>
      <c r="BM277"/>
      <c r="BN277"/>
      <c r="BO277"/>
      <c r="BP277"/>
      <c r="BQ277"/>
      <c r="BR277"/>
      <c r="BS277"/>
      <c r="BT277"/>
      <c r="BU277"/>
      <c r="BV277"/>
      <c r="BW277"/>
      <c r="BX277"/>
      <c r="BY277"/>
      <c r="BZ277"/>
      <c r="CA277"/>
      <c r="CB277"/>
      <c r="CC277"/>
    </row>
    <row r="278" spans="1:81" x14ac:dyDescent="0.25">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c r="AI278"/>
      <c r="AJ278"/>
      <c r="AK278"/>
      <c r="AL278"/>
      <c r="AM278"/>
      <c r="AN278"/>
      <c r="AO278"/>
      <c r="AP278"/>
      <c r="AQ278"/>
      <c r="AR278"/>
      <c r="AS278"/>
      <c r="AT278"/>
      <c r="AU278"/>
      <c r="AV278"/>
      <c r="AW278"/>
      <c r="AX278"/>
      <c r="AY278"/>
      <c r="AZ278"/>
      <c r="BA278"/>
      <c r="BB278"/>
      <c r="BC278"/>
      <c r="BD278"/>
      <c r="BE278"/>
      <c r="BF278"/>
      <c r="BG278"/>
      <c r="BH278"/>
      <c r="BI278"/>
      <c r="BJ278"/>
      <c r="BK278"/>
      <c r="BL278"/>
      <c r="BM278"/>
      <c r="BN278"/>
      <c r="BO278"/>
      <c r="BP278"/>
      <c r="BQ278"/>
      <c r="BR278"/>
      <c r="BS278"/>
      <c r="BT278"/>
      <c r="BU278"/>
      <c r="BV278"/>
      <c r="BW278"/>
      <c r="BX278"/>
      <c r="BY278"/>
      <c r="BZ278"/>
      <c r="CA278"/>
      <c r="CB278"/>
      <c r="CC278"/>
    </row>
    <row r="279" spans="1:81" x14ac:dyDescent="0.25">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c r="AI279"/>
      <c r="AJ279"/>
      <c r="AK279"/>
      <c r="AL279"/>
      <c r="AM279"/>
      <c r="AN279"/>
      <c r="AO279"/>
      <c r="AP279"/>
      <c r="AQ279"/>
      <c r="AR279"/>
      <c r="AS279"/>
      <c r="AT279"/>
      <c r="AU279"/>
      <c r="AV279"/>
      <c r="AW279"/>
      <c r="AX279"/>
      <c r="AY279"/>
      <c r="AZ279"/>
      <c r="BA279"/>
      <c r="BB279"/>
      <c r="BC279"/>
      <c r="BD279"/>
      <c r="BE279"/>
      <c r="BF279"/>
      <c r="BG279"/>
      <c r="BH279"/>
      <c r="BI279"/>
      <c r="BJ279"/>
      <c r="BK279"/>
      <c r="BL279"/>
      <c r="BM279"/>
      <c r="BN279"/>
      <c r="BO279"/>
      <c r="BP279"/>
      <c r="BQ279"/>
      <c r="BR279"/>
      <c r="BS279"/>
      <c r="BT279"/>
      <c r="BU279"/>
      <c r="BV279"/>
      <c r="BW279"/>
      <c r="BX279"/>
      <c r="BY279"/>
      <c r="BZ279"/>
      <c r="CA279"/>
      <c r="CB279"/>
      <c r="CC279"/>
    </row>
    <row r="280" spans="1:81" x14ac:dyDescent="0.25">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c r="AI280"/>
      <c r="AJ280"/>
      <c r="AK280"/>
      <c r="AL280"/>
      <c r="AM280"/>
      <c r="AN280"/>
      <c r="AO280"/>
      <c r="AP280"/>
      <c r="AQ280"/>
      <c r="AR280"/>
      <c r="AS280"/>
      <c r="AT280"/>
      <c r="AU280"/>
      <c r="AV280"/>
      <c r="AW280"/>
      <c r="AX280"/>
      <c r="AY280"/>
      <c r="AZ280"/>
      <c r="BA280"/>
      <c r="BB280"/>
      <c r="BC280"/>
      <c r="BD280"/>
      <c r="BE280"/>
      <c r="BF280"/>
      <c r="BG280"/>
      <c r="BH280"/>
      <c r="BI280"/>
      <c r="BJ280"/>
      <c r="BK280"/>
      <c r="BL280"/>
      <c r="BM280"/>
      <c r="BN280"/>
      <c r="BO280"/>
      <c r="BP280"/>
      <c r="BQ280"/>
      <c r="BR280"/>
      <c r="BS280"/>
      <c r="BT280"/>
      <c r="BU280"/>
      <c r="BV280"/>
      <c r="BW280"/>
      <c r="BX280"/>
      <c r="BY280"/>
      <c r="BZ280"/>
      <c r="CA280"/>
      <c r="CB280"/>
      <c r="CC280"/>
    </row>
    <row r="281" spans="1:81" x14ac:dyDescent="0.25">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c r="AI281"/>
      <c r="AJ281"/>
      <c r="AK281"/>
      <c r="AL281"/>
      <c r="AM281"/>
      <c r="AN281"/>
      <c r="AO281"/>
      <c r="AP281"/>
      <c r="AQ281"/>
      <c r="AR281"/>
      <c r="AS281"/>
      <c r="AT281"/>
      <c r="AU281"/>
      <c r="AV281"/>
      <c r="AW281"/>
      <c r="AX281"/>
      <c r="AY281"/>
      <c r="AZ281"/>
      <c r="BA281"/>
      <c r="BB281"/>
      <c r="BC281"/>
      <c r="BD281"/>
      <c r="BE281"/>
      <c r="BF281"/>
      <c r="BG281"/>
      <c r="BH281"/>
      <c r="BI281"/>
      <c r="BJ281"/>
      <c r="BK281"/>
      <c r="BL281"/>
      <c r="BM281"/>
      <c r="BN281"/>
      <c r="BO281"/>
      <c r="BP281"/>
      <c r="BQ281"/>
      <c r="BR281"/>
      <c r="BS281"/>
      <c r="BT281"/>
      <c r="BU281"/>
      <c r="BV281"/>
      <c r="BW281"/>
      <c r="BX281"/>
      <c r="BY281"/>
      <c r="BZ281"/>
      <c r="CA281"/>
      <c r="CB281"/>
      <c r="CC281"/>
    </row>
    <row r="282" spans="1:81" x14ac:dyDescent="0.25">
      <c r="A282"/>
      <c r="B282"/>
      <c r="C282"/>
      <c r="D282"/>
      <c r="E282"/>
      <c r="F282"/>
      <c r="G282"/>
      <c r="H282"/>
      <c r="I282"/>
      <c r="J282"/>
      <c r="K282"/>
      <c r="L282"/>
      <c r="M282"/>
      <c r="N282"/>
      <c r="O282"/>
      <c r="P282"/>
      <c r="Q282"/>
      <c r="R282"/>
      <c r="S282"/>
      <c r="T282"/>
      <c r="U282"/>
      <c r="V282"/>
      <c r="W282"/>
      <c r="X282"/>
      <c r="Y282"/>
      <c r="Z282"/>
      <c r="AA282"/>
      <c r="AB282"/>
      <c r="AC282"/>
      <c r="AD282"/>
      <c r="AE282"/>
      <c r="AF282"/>
      <c r="AG282"/>
      <c r="AH282"/>
      <c r="AI282"/>
      <c r="AJ282"/>
      <c r="AK282"/>
      <c r="AL282"/>
      <c r="AM282"/>
      <c r="AN282"/>
      <c r="AO282"/>
      <c r="AP282"/>
      <c r="AQ282"/>
      <c r="AR282"/>
      <c r="AS282"/>
      <c r="AT282"/>
      <c r="AU282"/>
      <c r="AV282"/>
      <c r="AW282"/>
      <c r="AX282"/>
      <c r="AY282"/>
      <c r="AZ282"/>
      <c r="BA282"/>
      <c r="BB282"/>
      <c r="BC282"/>
      <c r="BD282"/>
      <c r="BE282"/>
      <c r="BF282"/>
      <c r="BG282"/>
      <c r="BH282"/>
      <c r="BI282"/>
      <c r="BJ282"/>
      <c r="BK282"/>
      <c r="BL282"/>
      <c r="BM282"/>
      <c r="BN282"/>
      <c r="BO282"/>
      <c r="BP282"/>
      <c r="BQ282"/>
      <c r="BR282"/>
      <c r="BS282"/>
      <c r="BT282"/>
      <c r="BU282"/>
      <c r="BV282"/>
      <c r="BW282"/>
      <c r="BX282"/>
      <c r="BY282"/>
      <c r="BZ282"/>
      <c r="CA282"/>
      <c r="CB282"/>
      <c r="CC282"/>
    </row>
    <row r="283" spans="1:81" x14ac:dyDescent="0.25">
      <c r="A283"/>
      <c r="B283"/>
      <c r="C283"/>
      <c r="D283"/>
      <c r="E283"/>
      <c r="F283"/>
      <c r="G283"/>
      <c r="H283"/>
      <c r="I283"/>
      <c r="J283"/>
      <c r="K283"/>
      <c r="L283"/>
      <c r="M283"/>
      <c r="N283"/>
      <c r="O283"/>
      <c r="P283"/>
      <c r="Q283"/>
      <c r="R283"/>
      <c r="S283"/>
      <c r="T283"/>
      <c r="U283"/>
      <c r="V283"/>
      <c r="W283"/>
      <c r="X283"/>
      <c r="Y283"/>
      <c r="Z283"/>
      <c r="AA283"/>
      <c r="AB283"/>
      <c r="AC283"/>
      <c r="AD283"/>
      <c r="AE283"/>
      <c r="AF283"/>
      <c r="AG283"/>
      <c r="AH283"/>
      <c r="AI283"/>
      <c r="AJ283"/>
      <c r="AK283"/>
      <c r="AL283"/>
      <c r="AM283"/>
      <c r="AN283"/>
      <c r="AO283"/>
      <c r="AP283"/>
      <c r="AQ283"/>
      <c r="AR283"/>
      <c r="AS283"/>
      <c r="AT283"/>
      <c r="AU283"/>
      <c r="AV283"/>
      <c r="AW283"/>
      <c r="AX283"/>
      <c r="AY283"/>
      <c r="AZ283"/>
      <c r="BA283"/>
      <c r="BB283"/>
      <c r="BC283"/>
      <c r="BD283"/>
      <c r="BE283"/>
      <c r="BF283"/>
      <c r="BG283"/>
      <c r="BH283"/>
      <c r="BI283"/>
      <c r="BJ283"/>
      <c r="BK283"/>
      <c r="BL283"/>
      <c r="BM283"/>
      <c r="BN283"/>
      <c r="BO283"/>
      <c r="BP283"/>
      <c r="BQ283"/>
      <c r="BR283"/>
      <c r="BS283"/>
      <c r="BT283"/>
      <c r="BU283"/>
      <c r="BV283"/>
      <c r="BW283"/>
      <c r="BX283"/>
      <c r="BY283"/>
      <c r="BZ283"/>
      <c r="CA283"/>
      <c r="CB283"/>
      <c r="CC283"/>
    </row>
    <row r="284" spans="1:81" x14ac:dyDescent="0.25">
      <c r="A284"/>
      <c r="B284"/>
      <c r="C284"/>
      <c r="D284"/>
      <c r="E284"/>
      <c r="F284"/>
      <c r="G284"/>
      <c r="H284"/>
      <c r="I284"/>
      <c r="J284"/>
      <c r="K284"/>
      <c r="L284"/>
      <c r="M284"/>
      <c r="N284"/>
      <c r="O284"/>
      <c r="P284"/>
      <c r="Q284"/>
      <c r="R284"/>
      <c r="S284"/>
      <c r="T284"/>
      <c r="U284"/>
      <c r="V284"/>
      <c r="W284"/>
      <c r="X284"/>
      <c r="Y284"/>
      <c r="Z284"/>
      <c r="AA284"/>
      <c r="AB284"/>
      <c r="AC284"/>
      <c r="AD284"/>
      <c r="AE284"/>
      <c r="AF284"/>
      <c r="AG284"/>
      <c r="AH284"/>
      <c r="AI284"/>
      <c r="AJ284"/>
      <c r="AK284"/>
      <c r="AL284"/>
      <c r="AM284"/>
      <c r="AN284"/>
      <c r="AO284"/>
      <c r="AP284"/>
      <c r="AQ284"/>
      <c r="AR284"/>
      <c r="AS284"/>
      <c r="AT284"/>
      <c r="AU284"/>
      <c r="AV284"/>
      <c r="AW284"/>
      <c r="AX284"/>
      <c r="AY284"/>
      <c r="AZ284"/>
      <c r="BA284"/>
      <c r="BB284"/>
      <c r="BC284"/>
      <c r="BD284"/>
      <c r="BE284"/>
      <c r="BF284"/>
      <c r="BG284"/>
      <c r="BH284"/>
      <c r="BI284"/>
      <c r="BJ284"/>
      <c r="BK284"/>
      <c r="BL284"/>
      <c r="BM284"/>
      <c r="BN284"/>
      <c r="BO284"/>
      <c r="BP284"/>
      <c r="BQ284"/>
      <c r="BR284"/>
      <c r="BS284"/>
      <c r="BT284"/>
      <c r="BU284"/>
      <c r="BV284"/>
      <c r="BW284"/>
      <c r="BX284"/>
      <c r="BY284"/>
      <c r="BZ284"/>
      <c r="CA284"/>
      <c r="CB284"/>
      <c r="CC284"/>
    </row>
    <row r="285" spans="1:81" x14ac:dyDescent="0.25">
      <c r="A285"/>
      <c r="B285"/>
      <c r="C285"/>
      <c r="D285"/>
      <c r="E285"/>
      <c r="F285"/>
      <c r="G285"/>
      <c r="H285"/>
      <c r="I285"/>
      <c r="J285"/>
      <c r="K285"/>
      <c r="L285"/>
      <c r="M285"/>
      <c r="N285"/>
      <c r="O285"/>
      <c r="P285"/>
      <c r="Q285"/>
      <c r="R285"/>
      <c r="S285"/>
      <c r="T285"/>
      <c r="U285"/>
      <c r="V285"/>
      <c r="W285"/>
      <c r="X285"/>
      <c r="Y285"/>
      <c r="Z285"/>
      <c r="AA285"/>
      <c r="AB285"/>
      <c r="AC285"/>
      <c r="AD285"/>
      <c r="AE285"/>
      <c r="AF285"/>
      <c r="AG285"/>
      <c r="AH285"/>
      <c r="AI285"/>
      <c r="AJ285"/>
      <c r="AK285"/>
      <c r="AL285"/>
      <c r="AM285"/>
      <c r="AN285"/>
      <c r="AO285"/>
      <c r="AP285"/>
      <c r="AQ285"/>
      <c r="AR285"/>
      <c r="AS285"/>
      <c r="AT285"/>
      <c r="AU285"/>
      <c r="AV285"/>
      <c r="AW285"/>
      <c r="AX285"/>
      <c r="AY285"/>
      <c r="AZ285"/>
      <c r="BA285"/>
      <c r="BB285"/>
      <c r="BC285"/>
      <c r="BD285"/>
      <c r="BE285"/>
      <c r="BF285"/>
      <c r="BG285"/>
      <c r="BH285"/>
      <c r="BI285"/>
      <c r="BJ285"/>
      <c r="BK285"/>
      <c r="BL285"/>
      <c r="BM285"/>
      <c r="BN285"/>
      <c r="BO285"/>
      <c r="BP285"/>
      <c r="BQ285"/>
      <c r="BR285"/>
      <c r="BS285"/>
      <c r="BT285"/>
      <c r="BU285"/>
      <c r="BV285"/>
      <c r="BW285"/>
      <c r="BX285"/>
      <c r="BY285"/>
      <c r="BZ285"/>
      <c r="CA285"/>
      <c r="CB285"/>
      <c r="CC285"/>
    </row>
    <row r="286" spans="1:81" x14ac:dyDescent="0.25">
      <c r="A286"/>
      <c r="B286"/>
      <c r="C286"/>
      <c r="D286"/>
      <c r="E286"/>
      <c r="F286"/>
      <c r="G286"/>
      <c r="H286"/>
      <c r="I286"/>
      <c r="J286"/>
      <c r="K286"/>
      <c r="L286"/>
      <c r="M286"/>
      <c r="N286"/>
      <c r="O286"/>
      <c r="P286"/>
      <c r="Q286"/>
      <c r="R286"/>
      <c r="S286"/>
      <c r="T286"/>
      <c r="U286"/>
      <c r="V286"/>
      <c r="W286"/>
      <c r="X286"/>
      <c r="Y286"/>
      <c r="Z286"/>
      <c r="AA286"/>
      <c r="AB286"/>
      <c r="AC286"/>
      <c r="AD286"/>
      <c r="AE286"/>
      <c r="AF286"/>
      <c r="AG286"/>
      <c r="AH286"/>
      <c r="AI286"/>
      <c r="AJ286"/>
      <c r="AK286"/>
      <c r="AL286"/>
      <c r="AM286"/>
      <c r="AN286"/>
      <c r="AO286"/>
      <c r="AP286"/>
      <c r="AQ286"/>
      <c r="AR286"/>
      <c r="AS286"/>
      <c r="AT286"/>
      <c r="AU286"/>
      <c r="AV286"/>
      <c r="AW286"/>
      <c r="AX286"/>
      <c r="AY286"/>
      <c r="AZ286"/>
      <c r="BA286"/>
      <c r="BB286"/>
      <c r="BC286"/>
      <c r="BD286"/>
      <c r="BE286"/>
      <c r="BF286"/>
      <c r="BG286"/>
      <c r="BH286"/>
      <c r="BI286"/>
      <c r="BJ286"/>
      <c r="BK286"/>
      <c r="BL286"/>
      <c r="BM286"/>
      <c r="BN286"/>
      <c r="BO286"/>
      <c r="BP286"/>
      <c r="BQ286"/>
      <c r="BR286"/>
      <c r="BS286"/>
      <c r="BT286"/>
      <c r="BU286"/>
      <c r="BV286"/>
      <c r="BW286"/>
      <c r="BX286"/>
      <c r="BY286"/>
      <c r="BZ286"/>
      <c r="CA286"/>
      <c r="CB286"/>
      <c r="CC286"/>
    </row>
    <row r="287" spans="1:81" x14ac:dyDescent="0.25">
      <c r="A287"/>
      <c r="B287"/>
      <c r="C287"/>
      <c r="D287"/>
      <c r="E287"/>
      <c r="F287"/>
      <c r="G287"/>
      <c r="H287"/>
      <c r="I287"/>
      <c r="J287"/>
      <c r="K287"/>
      <c r="L287"/>
      <c r="M287"/>
      <c r="N287"/>
      <c r="O287"/>
      <c r="P287"/>
      <c r="Q287"/>
      <c r="R287"/>
      <c r="S287"/>
      <c r="T287"/>
      <c r="U287"/>
      <c r="V287"/>
      <c r="W287"/>
      <c r="X287"/>
      <c r="Y287"/>
      <c r="Z287"/>
      <c r="AA287"/>
      <c r="AB287"/>
      <c r="AC287"/>
      <c r="AD287"/>
      <c r="AE287"/>
      <c r="AF287"/>
      <c r="AG287"/>
      <c r="AH287"/>
      <c r="AI287"/>
      <c r="AJ287"/>
      <c r="AK287"/>
      <c r="AL287"/>
      <c r="AM287"/>
      <c r="AN287"/>
      <c r="AO287"/>
      <c r="AP287"/>
      <c r="AQ287"/>
      <c r="AR287"/>
      <c r="AS287"/>
      <c r="AT287"/>
      <c r="AU287"/>
      <c r="AV287"/>
      <c r="AW287"/>
      <c r="AX287"/>
      <c r="AY287"/>
      <c r="AZ287"/>
      <c r="BA287"/>
      <c r="BB287"/>
      <c r="BC287"/>
      <c r="BD287"/>
      <c r="BE287"/>
      <c r="BF287"/>
      <c r="BG287"/>
      <c r="BH287"/>
      <c r="BI287"/>
      <c r="BJ287"/>
      <c r="BK287"/>
      <c r="BL287"/>
      <c r="BM287"/>
      <c r="BN287"/>
      <c r="BO287"/>
      <c r="BP287"/>
      <c r="BQ287"/>
      <c r="BR287"/>
      <c r="BS287"/>
      <c r="BT287"/>
      <c r="BU287"/>
      <c r="BV287"/>
      <c r="BW287"/>
      <c r="BX287"/>
      <c r="BY287"/>
      <c r="BZ287"/>
      <c r="CA287"/>
      <c r="CB287"/>
      <c r="CC287"/>
    </row>
    <row r="288" spans="1:81" x14ac:dyDescent="0.25">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c r="AI288"/>
      <c r="AJ288"/>
      <c r="AK288"/>
      <c r="AL288"/>
      <c r="AM288"/>
      <c r="AN288"/>
      <c r="AO288"/>
      <c r="AP288"/>
      <c r="AQ288"/>
      <c r="AR288"/>
      <c r="AS288"/>
      <c r="AT288"/>
      <c r="AU288"/>
      <c r="AV288"/>
      <c r="AW288"/>
      <c r="AX288"/>
      <c r="AY288"/>
      <c r="AZ288"/>
      <c r="BA288"/>
      <c r="BB288"/>
      <c r="BC288"/>
      <c r="BD288"/>
      <c r="BE288"/>
      <c r="BF288"/>
      <c r="BG288"/>
      <c r="BH288"/>
      <c r="BI288"/>
      <c r="BJ288"/>
      <c r="BK288"/>
      <c r="BL288"/>
      <c r="BM288"/>
      <c r="BN288"/>
      <c r="BO288"/>
      <c r="BP288"/>
      <c r="BQ288"/>
      <c r="BR288"/>
      <c r="BS288"/>
      <c r="BT288"/>
      <c r="BU288"/>
      <c r="BV288"/>
      <c r="BW288"/>
      <c r="BX288"/>
      <c r="BY288"/>
      <c r="BZ288"/>
      <c r="CA288"/>
      <c r="CB288"/>
      <c r="CC288"/>
    </row>
    <row r="289" spans="1:81" x14ac:dyDescent="0.25">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c r="AI289"/>
      <c r="AJ289"/>
      <c r="AK289"/>
      <c r="AL289"/>
      <c r="AM289"/>
      <c r="AN289"/>
      <c r="AO289"/>
      <c r="AP289"/>
      <c r="AQ289"/>
      <c r="AR289"/>
      <c r="AS289"/>
      <c r="AT289"/>
      <c r="AU289"/>
      <c r="AV289"/>
      <c r="AW289"/>
      <c r="AX289"/>
      <c r="AY289"/>
      <c r="AZ289"/>
      <c r="BA289"/>
      <c r="BB289"/>
      <c r="BC289"/>
      <c r="BD289"/>
      <c r="BE289"/>
      <c r="BF289"/>
      <c r="BG289"/>
      <c r="BH289"/>
      <c r="BI289"/>
      <c r="BJ289"/>
      <c r="BK289"/>
      <c r="BL289"/>
      <c r="BM289"/>
      <c r="BN289"/>
      <c r="BO289"/>
      <c r="BP289"/>
      <c r="BQ289"/>
      <c r="BR289"/>
      <c r="BS289"/>
      <c r="BT289"/>
      <c r="BU289"/>
      <c r="BV289"/>
      <c r="BW289"/>
      <c r="BX289"/>
      <c r="BY289"/>
      <c r="BZ289"/>
      <c r="CA289"/>
      <c r="CB289"/>
      <c r="CC289"/>
    </row>
    <row r="290" spans="1:81" x14ac:dyDescent="0.25">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c r="AI290"/>
      <c r="AJ290"/>
      <c r="AK290"/>
      <c r="AL290"/>
      <c r="AM290"/>
      <c r="AN290"/>
      <c r="AO290"/>
      <c r="AP290"/>
      <c r="AQ290"/>
      <c r="AR290"/>
      <c r="AS290"/>
      <c r="AT290"/>
      <c r="AU290"/>
      <c r="AV290"/>
      <c r="AW290"/>
      <c r="AX290"/>
      <c r="AY290"/>
      <c r="AZ290"/>
      <c r="BA290"/>
      <c r="BB290"/>
      <c r="BC290"/>
      <c r="BD290"/>
      <c r="BE290"/>
      <c r="BF290"/>
      <c r="BG290"/>
      <c r="BH290"/>
      <c r="BI290"/>
      <c r="BJ290"/>
      <c r="BK290"/>
      <c r="BL290"/>
      <c r="BM290"/>
      <c r="BN290"/>
      <c r="BO290"/>
      <c r="BP290"/>
      <c r="BQ290"/>
      <c r="BR290"/>
      <c r="BS290"/>
      <c r="BT290"/>
      <c r="BU290"/>
      <c r="BV290"/>
      <c r="BW290"/>
      <c r="BX290"/>
      <c r="BY290"/>
      <c r="BZ290"/>
      <c r="CA290"/>
      <c r="CB290"/>
      <c r="CC290"/>
    </row>
    <row r="291" spans="1:81" x14ac:dyDescent="0.25">
      <c r="A291"/>
      <c r="B291"/>
      <c r="C291"/>
      <c r="D291"/>
      <c r="E291"/>
      <c r="F291"/>
      <c r="G291"/>
      <c r="H291"/>
      <c r="I291"/>
      <c r="J291"/>
      <c r="K291"/>
      <c r="L291"/>
      <c r="M291"/>
      <c r="N291"/>
      <c r="O291"/>
      <c r="P291"/>
      <c r="Q291"/>
      <c r="R291"/>
      <c r="S291"/>
      <c r="T291"/>
      <c r="U291"/>
      <c r="V291"/>
      <c r="W291"/>
      <c r="X291"/>
      <c r="Y291"/>
      <c r="Z291"/>
      <c r="AA291"/>
      <c r="AB291"/>
      <c r="AC291"/>
      <c r="AD291"/>
      <c r="AE291"/>
      <c r="AF291"/>
      <c r="AG291"/>
      <c r="AH291"/>
      <c r="AI291"/>
      <c r="AJ291"/>
      <c r="AK291"/>
      <c r="AL291"/>
      <c r="AM291"/>
      <c r="AN291"/>
      <c r="AO291"/>
      <c r="AP291"/>
      <c r="AQ291"/>
      <c r="AR291"/>
      <c r="AS291"/>
      <c r="AT291"/>
      <c r="AU291"/>
      <c r="AV291"/>
      <c r="AW291"/>
      <c r="AX291"/>
      <c r="AY291"/>
      <c r="AZ291"/>
      <c r="BA291"/>
      <c r="BB291"/>
      <c r="BC291"/>
      <c r="BD291"/>
      <c r="BE291"/>
      <c r="BF291"/>
      <c r="BG291"/>
      <c r="BH291"/>
      <c r="BI291"/>
      <c r="BJ291"/>
      <c r="BK291"/>
      <c r="BL291"/>
      <c r="BM291"/>
      <c r="BN291"/>
      <c r="BO291"/>
      <c r="BP291"/>
      <c r="BQ291"/>
      <c r="BR291"/>
      <c r="BS291"/>
      <c r="BT291"/>
      <c r="BU291"/>
      <c r="BV291"/>
      <c r="BW291"/>
      <c r="BX291"/>
      <c r="BY291"/>
      <c r="BZ291"/>
      <c r="CA291"/>
      <c r="CB291"/>
      <c r="CC291"/>
    </row>
    <row r="292" spans="1:81" x14ac:dyDescent="0.25">
      <c r="A292"/>
      <c r="B292"/>
      <c r="C292"/>
      <c r="D292"/>
      <c r="E292"/>
      <c r="F292"/>
      <c r="G292"/>
      <c r="H292"/>
      <c r="I292"/>
      <c r="J292"/>
      <c r="K292"/>
      <c r="L292"/>
      <c r="M292"/>
      <c r="N292"/>
      <c r="O292"/>
      <c r="P292"/>
      <c r="Q292"/>
      <c r="R292"/>
      <c r="S292"/>
      <c r="T292"/>
      <c r="U292"/>
      <c r="V292"/>
      <c r="W292"/>
      <c r="X292"/>
      <c r="Y292"/>
      <c r="Z292"/>
      <c r="AA292"/>
      <c r="AB292"/>
      <c r="AC292"/>
      <c r="AD292"/>
      <c r="AE292"/>
      <c r="AF292"/>
      <c r="AG292"/>
      <c r="AH292"/>
      <c r="AI292"/>
      <c r="AJ292"/>
      <c r="AK292"/>
      <c r="AL292"/>
      <c r="AM292"/>
      <c r="AN292"/>
      <c r="AO292"/>
      <c r="AP292"/>
      <c r="AQ292"/>
      <c r="AR292"/>
      <c r="AS292"/>
      <c r="AT292"/>
      <c r="AU292"/>
      <c r="AV292"/>
      <c r="AW292"/>
      <c r="AX292"/>
      <c r="AY292"/>
      <c r="AZ292"/>
      <c r="BA292"/>
      <c r="BB292"/>
      <c r="BC292"/>
      <c r="BD292"/>
      <c r="BE292"/>
      <c r="BF292"/>
      <c r="BG292"/>
      <c r="BH292"/>
      <c r="BI292"/>
      <c r="BJ292"/>
      <c r="BK292"/>
      <c r="BL292"/>
      <c r="BM292"/>
      <c r="BN292"/>
      <c r="BO292"/>
      <c r="BP292"/>
      <c r="BQ292"/>
      <c r="BR292"/>
      <c r="BS292"/>
      <c r="BT292"/>
      <c r="BU292"/>
      <c r="BV292"/>
      <c r="BW292"/>
      <c r="BX292"/>
      <c r="BY292"/>
      <c r="BZ292"/>
      <c r="CA292"/>
      <c r="CB292"/>
      <c r="CC292"/>
    </row>
    <row r="293" spans="1:81" x14ac:dyDescent="0.25">
      <c r="A293"/>
      <c r="B293"/>
      <c r="C293"/>
      <c r="D293"/>
      <c r="E293"/>
      <c r="F293"/>
      <c r="G293"/>
      <c r="H293"/>
      <c r="I293"/>
      <c r="J293"/>
      <c r="K293"/>
      <c r="L293"/>
      <c r="M293"/>
      <c r="N293"/>
      <c r="O293"/>
      <c r="P293"/>
      <c r="Q293"/>
      <c r="R293"/>
      <c r="S293"/>
      <c r="T293"/>
      <c r="U293"/>
      <c r="V293"/>
      <c r="W293"/>
      <c r="X293"/>
      <c r="Y293"/>
      <c r="Z293"/>
      <c r="AA293"/>
      <c r="AB293"/>
      <c r="AC293"/>
      <c r="AD293"/>
      <c r="AE293"/>
      <c r="AF293"/>
      <c r="AG293"/>
      <c r="AH293"/>
      <c r="AI293"/>
      <c r="AJ293"/>
      <c r="AK293"/>
      <c r="AL293"/>
      <c r="AM293"/>
      <c r="AN293"/>
      <c r="AO293"/>
      <c r="AP293"/>
      <c r="AQ293"/>
      <c r="AR293"/>
      <c r="AS293"/>
      <c r="AT293"/>
      <c r="AU293"/>
      <c r="AV293"/>
      <c r="AW293"/>
      <c r="AX293"/>
      <c r="AY293"/>
      <c r="AZ293"/>
      <c r="BA293"/>
      <c r="BB293"/>
      <c r="BC293"/>
      <c r="BD293"/>
      <c r="BE293"/>
      <c r="BF293"/>
      <c r="BG293"/>
      <c r="BH293"/>
      <c r="BI293"/>
      <c r="BJ293"/>
      <c r="BK293"/>
      <c r="BL293"/>
      <c r="BM293"/>
      <c r="BN293"/>
      <c r="BO293"/>
      <c r="BP293"/>
      <c r="BQ293"/>
      <c r="BR293"/>
      <c r="BS293"/>
      <c r="BT293"/>
      <c r="BU293"/>
      <c r="BV293"/>
      <c r="BW293"/>
      <c r="BX293"/>
      <c r="BY293"/>
      <c r="BZ293"/>
      <c r="CA293"/>
      <c r="CB293"/>
      <c r="CC293"/>
    </row>
    <row r="294" spans="1:81" x14ac:dyDescent="0.25">
      <c r="A294"/>
      <c r="B294"/>
      <c r="C294"/>
      <c r="D294"/>
      <c r="E294"/>
      <c r="F294"/>
      <c r="G294"/>
      <c r="H294"/>
      <c r="I294"/>
      <c r="J294"/>
      <c r="K294"/>
      <c r="L294"/>
      <c r="M294"/>
      <c r="N294"/>
      <c r="O294"/>
      <c r="P294"/>
      <c r="Q294"/>
      <c r="R294"/>
      <c r="S294"/>
      <c r="T294"/>
      <c r="U294"/>
      <c r="V294"/>
      <c r="W294"/>
      <c r="X294"/>
      <c r="Y294"/>
      <c r="Z294"/>
      <c r="AA294"/>
      <c r="AB294"/>
      <c r="AC294"/>
      <c r="AD294"/>
      <c r="AE294"/>
      <c r="AF294"/>
      <c r="AG294"/>
      <c r="AH294"/>
      <c r="AI294"/>
      <c r="AJ294"/>
      <c r="AK294"/>
      <c r="AL294"/>
      <c r="AM294"/>
      <c r="AN294"/>
      <c r="AO294"/>
      <c r="AP294"/>
      <c r="AQ294"/>
      <c r="AR294"/>
      <c r="AS294"/>
      <c r="AT294"/>
      <c r="AU294"/>
      <c r="AV294"/>
      <c r="AW294"/>
      <c r="AX294"/>
      <c r="AY294"/>
      <c r="AZ294"/>
      <c r="BA294"/>
      <c r="BB294"/>
      <c r="BC294"/>
      <c r="BD294"/>
      <c r="BE294"/>
      <c r="BF294"/>
      <c r="BG294"/>
      <c r="BH294"/>
      <c r="BI294"/>
      <c r="BJ294"/>
      <c r="BK294"/>
      <c r="BL294"/>
      <c r="BM294"/>
      <c r="BN294"/>
      <c r="BO294"/>
      <c r="BP294"/>
      <c r="BQ294"/>
      <c r="BR294"/>
      <c r="BS294"/>
      <c r="BT294"/>
      <c r="BU294"/>
      <c r="BV294"/>
      <c r="BW294"/>
      <c r="BX294"/>
      <c r="BY294"/>
      <c r="BZ294"/>
      <c r="CA294"/>
      <c r="CB294"/>
      <c r="CC294"/>
    </row>
    <row r="295" spans="1:81" x14ac:dyDescent="0.25">
      <c r="A295"/>
      <c r="B295"/>
      <c r="C295"/>
      <c r="D295"/>
      <c r="E295"/>
      <c r="F295"/>
      <c r="G295"/>
      <c r="H295"/>
      <c r="I295"/>
      <c r="J295"/>
      <c r="K295"/>
      <c r="L295"/>
      <c r="M295"/>
      <c r="N295"/>
      <c r="O295"/>
      <c r="P295"/>
      <c r="Q295"/>
      <c r="R295"/>
      <c r="S295"/>
      <c r="T295"/>
      <c r="U295"/>
      <c r="V295"/>
      <c r="W295"/>
      <c r="X295"/>
      <c r="Y295"/>
      <c r="Z295"/>
      <c r="AA295"/>
      <c r="AB295"/>
      <c r="AC295"/>
      <c r="AD295"/>
      <c r="AE295"/>
      <c r="AF295"/>
      <c r="AG295"/>
      <c r="AH295"/>
      <c r="AI295"/>
      <c r="AJ295"/>
      <c r="AK295"/>
      <c r="AL295"/>
      <c r="AM295"/>
      <c r="AN295"/>
      <c r="AO295"/>
      <c r="AP295"/>
      <c r="AQ295"/>
      <c r="AR295"/>
      <c r="AS295"/>
      <c r="AT295"/>
      <c r="AU295"/>
      <c r="AV295"/>
      <c r="AW295"/>
      <c r="AX295"/>
      <c r="AY295"/>
      <c r="AZ295"/>
      <c r="BA295"/>
      <c r="BB295"/>
      <c r="BC295"/>
      <c r="BD295"/>
      <c r="BE295"/>
      <c r="BF295"/>
      <c r="BG295"/>
      <c r="BH295"/>
      <c r="BI295"/>
      <c r="BJ295"/>
      <c r="BK295"/>
      <c r="BL295"/>
      <c r="BM295"/>
      <c r="BN295"/>
      <c r="BO295"/>
      <c r="BP295"/>
      <c r="BQ295"/>
      <c r="BR295"/>
      <c r="BS295"/>
      <c r="BT295"/>
      <c r="BU295"/>
      <c r="BV295"/>
      <c r="BW295"/>
      <c r="BX295"/>
      <c r="BY295"/>
      <c r="BZ295"/>
      <c r="CA295"/>
      <c r="CB295"/>
      <c r="CC295"/>
    </row>
    <row r="296" spans="1:81" x14ac:dyDescent="0.25">
      <c r="A296"/>
      <c r="B296"/>
      <c r="C296"/>
      <c r="D296"/>
      <c r="E296"/>
      <c r="F296"/>
      <c r="G296"/>
      <c r="H296"/>
      <c r="I296"/>
      <c r="J296"/>
      <c r="K296"/>
      <c r="L296"/>
      <c r="M296"/>
      <c r="N296"/>
      <c r="O296"/>
      <c r="P296"/>
      <c r="Q296"/>
      <c r="R296"/>
      <c r="S296"/>
      <c r="T296"/>
      <c r="U296"/>
      <c r="V296"/>
      <c r="W296"/>
      <c r="X296"/>
      <c r="Y296"/>
      <c r="Z296"/>
      <c r="AA296"/>
      <c r="AB296"/>
      <c r="AC296"/>
      <c r="AD296"/>
      <c r="AE296"/>
      <c r="AF296"/>
      <c r="AG296"/>
      <c r="AH296"/>
      <c r="AI296"/>
      <c r="AJ296"/>
      <c r="AK296"/>
      <c r="AL296"/>
      <c r="AM296"/>
      <c r="AN296"/>
      <c r="AO296"/>
      <c r="AP296"/>
      <c r="AQ296"/>
      <c r="AR296"/>
      <c r="AS296"/>
      <c r="AT296"/>
      <c r="AU296"/>
      <c r="AV296"/>
      <c r="AW296"/>
      <c r="AX296"/>
      <c r="AY296"/>
      <c r="AZ296"/>
      <c r="BA296"/>
      <c r="BB296"/>
      <c r="BC296"/>
      <c r="BD296"/>
      <c r="BE296"/>
      <c r="BF296"/>
      <c r="BG296"/>
      <c r="BH296"/>
      <c r="BI296"/>
      <c r="BJ296"/>
      <c r="BK296"/>
      <c r="BL296"/>
      <c r="BM296"/>
      <c r="BN296"/>
      <c r="BO296"/>
      <c r="BP296"/>
      <c r="BQ296"/>
      <c r="BR296"/>
      <c r="BS296"/>
      <c r="BT296"/>
      <c r="BU296"/>
      <c r="BV296"/>
      <c r="BW296"/>
      <c r="BX296"/>
      <c r="BY296"/>
      <c r="BZ296"/>
      <c r="CA296"/>
      <c r="CB296"/>
      <c r="CC296"/>
    </row>
    <row r="297" spans="1:81" x14ac:dyDescent="0.25">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c r="AI297"/>
      <c r="AJ297"/>
      <c r="AK297"/>
      <c r="AL297"/>
      <c r="AM297"/>
      <c r="AN297"/>
      <c r="AO297"/>
      <c r="AP297"/>
      <c r="AQ297"/>
      <c r="AR297"/>
      <c r="AS297"/>
      <c r="AT297"/>
      <c r="AU297"/>
      <c r="AV297"/>
      <c r="AW297"/>
      <c r="AX297"/>
      <c r="AY297"/>
      <c r="AZ297"/>
      <c r="BA297"/>
      <c r="BB297"/>
      <c r="BC297"/>
      <c r="BD297"/>
      <c r="BE297"/>
      <c r="BF297"/>
      <c r="BG297"/>
      <c r="BH297"/>
      <c r="BI297"/>
      <c r="BJ297"/>
      <c r="BK297"/>
      <c r="BL297"/>
      <c r="BM297"/>
      <c r="BN297"/>
      <c r="BO297"/>
      <c r="BP297"/>
      <c r="BQ297"/>
      <c r="BR297"/>
      <c r="BS297"/>
      <c r="BT297"/>
      <c r="BU297"/>
      <c r="BV297"/>
      <c r="BW297"/>
      <c r="BX297"/>
      <c r="BY297"/>
      <c r="BZ297"/>
      <c r="CA297"/>
      <c r="CB297"/>
      <c r="CC297"/>
    </row>
    <row r="298" spans="1:81" x14ac:dyDescent="0.25">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c r="AI298"/>
      <c r="AJ298"/>
      <c r="AK298"/>
      <c r="AL298"/>
      <c r="AM298"/>
      <c r="AN298"/>
      <c r="AO298"/>
      <c r="AP298"/>
      <c r="AQ298"/>
      <c r="AR298"/>
      <c r="AS298"/>
      <c r="AT298"/>
      <c r="AU298"/>
      <c r="AV298"/>
      <c r="AW298"/>
      <c r="AX298"/>
      <c r="AY298"/>
      <c r="AZ298"/>
      <c r="BA298"/>
      <c r="BB298"/>
      <c r="BC298"/>
      <c r="BD298"/>
      <c r="BE298"/>
      <c r="BF298"/>
      <c r="BG298"/>
      <c r="BH298"/>
      <c r="BI298"/>
      <c r="BJ298"/>
      <c r="BK298"/>
      <c r="BL298"/>
      <c r="BM298"/>
      <c r="BN298"/>
      <c r="BO298"/>
      <c r="BP298"/>
      <c r="BQ298"/>
      <c r="BR298"/>
      <c r="BS298"/>
      <c r="BT298"/>
      <c r="BU298"/>
      <c r="BV298"/>
      <c r="BW298"/>
      <c r="BX298"/>
      <c r="BY298"/>
      <c r="BZ298"/>
      <c r="CA298"/>
      <c r="CB298"/>
      <c r="CC298"/>
    </row>
    <row r="299" spans="1:81" x14ac:dyDescent="0.25">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c r="AI299"/>
      <c r="AJ299"/>
      <c r="AK299"/>
      <c r="AL299"/>
      <c r="AM299"/>
      <c r="AN299"/>
      <c r="AO299"/>
      <c r="AP299"/>
      <c r="AQ299"/>
      <c r="AR299"/>
      <c r="AS299"/>
      <c r="AT299"/>
      <c r="AU299"/>
      <c r="AV299"/>
      <c r="AW299"/>
      <c r="AX299"/>
      <c r="AY299"/>
      <c r="AZ299"/>
      <c r="BA299"/>
      <c r="BB299"/>
      <c r="BC299"/>
      <c r="BD299"/>
      <c r="BE299"/>
      <c r="BF299"/>
      <c r="BG299"/>
      <c r="BH299"/>
      <c r="BI299"/>
      <c r="BJ299"/>
      <c r="BK299"/>
      <c r="BL299"/>
      <c r="BM299"/>
      <c r="BN299"/>
      <c r="BO299"/>
      <c r="BP299"/>
      <c r="BQ299"/>
      <c r="BR299"/>
      <c r="BS299"/>
      <c r="BT299"/>
      <c r="BU299"/>
      <c r="BV299"/>
      <c r="BW299"/>
      <c r="BX299"/>
      <c r="BY299"/>
      <c r="BZ299"/>
      <c r="CA299"/>
      <c r="CB299"/>
      <c r="CC299"/>
    </row>
    <row r="300" spans="1:81" x14ac:dyDescent="0.25">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c r="AI300"/>
      <c r="AJ300"/>
      <c r="AK300"/>
      <c r="AL300"/>
      <c r="AM300"/>
      <c r="AN300"/>
      <c r="AO300"/>
      <c r="AP300"/>
      <c r="AQ300"/>
      <c r="AR300"/>
      <c r="AS300"/>
      <c r="AT300"/>
      <c r="AU300"/>
      <c r="AV300"/>
      <c r="AW300"/>
      <c r="AX300"/>
      <c r="AY300"/>
      <c r="AZ300"/>
      <c r="BA300"/>
      <c r="BB300"/>
      <c r="BC300"/>
      <c r="BD300"/>
      <c r="BE300"/>
      <c r="BF300"/>
      <c r="BG300"/>
      <c r="BH300"/>
      <c r="BI300"/>
      <c r="BJ300"/>
      <c r="BK300"/>
      <c r="BL300"/>
      <c r="BM300"/>
      <c r="BN300"/>
      <c r="BO300"/>
      <c r="BP300"/>
      <c r="BQ300"/>
      <c r="BR300"/>
      <c r="BS300"/>
      <c r="BT300"/>
      <c r="BU300"/>
      <c r="BV300"/>
      <c r="BW300"/>
      <c r="BX300"/>
      <c r="BY300"/>
      <c r="BZ300"/>
      <c r="CA300"/>
      <c r="CB300"/>
      <c r="CC300"/>
    </row>
    <row r="301" spans="1:81" x14ac:dyDescent="0.25">
      <c r="A301"/>
      <c r="B301"/>
      <c r="C301"/>
      <c r="D301"/>
      <c r="E301"/>
      <c r="F301"/>
      <c r="G301"/>
      <c r="H301"/>
      <c r="I301"/>
      <c r="J301"/>
      <c r="K301"/>
      <c r="L301"/>
      <c r="M301"/>
      <c r="N301"/>
      <c r="O301"/>
      <c r="P301"/>
      <c r="Q301"/>
      <c r="R301"/>
      <c r="S301"/>
      <c r="T301"/>
      <c r="U301"/>
      <c r="V301"/>
      <c r="W301"/>
      <c r="X301"/>
      <c r="Y301"/>
      <c r="Z301"/>
      <c r="AA301"/>
      <c r="AB301"/>
      <c r="AC301"/>
      <c r="AD301"/>
      <c r="AE301"/>
      <c r="AF301"/>
      <c r="AG301"/>
      <c r="AH301"/>
      <c r="AI301"/>
      <c r="AJ301"/>
      <c r="AK301"/>
      <c r="AL301"/>
      <c r="AM301"/>
      <c r="AN301"/>
      <c r="AO301"/>
      <c r="AP301"/>
      <c r="AQ301"/>
      <c r="AR301"/>
      <c r="AS301"/>
      <c r="AT301"/>
      <c r="AU301"/>
      <c r="AV301"/>
      <c r="AW301"/>
      <c r="AX301"/>
      <c r="AY301"/>
      <c r="AZ301"/>
      <c r="BA301"/>
      <c r="BB301"/>
      <c r="BC301"/>
      <c r="BD301"/>
      <c r="BE301"/>
      <c r="BF301"/>
      <c r="BG301"/>
      <c r="BH301"/>
      <c r="BI301"/>
      <c r="BJ301"/>
      <c r="BK301"/>
      <c r="BL301"/>
      <c r="BM301"/>
      <c r="BN301"/>
      <c r="BO301"/>
      <c r="BP301"/>
      <c r="BQ301"/>
      <c r="BR301"/>
      <c r="BS301"/>
      <c r="BT301"/>
      <c r="BU301"/>
      <c r="BV301"/>
      <c r="BW301"/>
      <c r="BX301"/>
      <c r="BY301"/>
      <c r="BZ301"/>
      <c r="CA301"/>
      <c r="CB301"/>
      <c r="CC301"/>
    </row>
    <row r="302" spans="1:81" x14ac:dyDescent="0.25">
      <c r="A302"/>
      <c r="B302"/>
      <c r="C302"/>
      <c r="D302"/>
      <c r="E302"/>
      <c r="F302"/>
      <c r="G302"/>
      <c r="H302"/>
      <c r="I302"/>
      <c r="J302"/>
      <c r="K302"/>
      <c r="L302"/>
      <c r="M302"/>
      <c r="N302"/>
      <c r="O302"/>
      <c r="P302"/>
      <c r="Q302"/>
      <c r="R302"/>
      <c r="S302"/>
      <c r="T302"/>
      <c r="U302"/>
      <c r="V302"/>
      <c r="W302"/>
      <c r="X302"/>
      <c r="Y302"/>
      <c r="Z302"/>
      <c r="AA302"/>
      <c r="AB302"/>
      <c r="AC302"/>
      <c r="AD302"/>
      <c r="AE302"/>
      <c r="AF302"/>
      <c r="AG302"/>
      <c r="AH302"/>
      <c r="AI302"/>
      <c r="AJ302"/>
      <c r="AK302"/>
      <c r="AL302"/>
      <c r="AM302"/>
      <c r="AN302"/>
      <c r="AO302"/>
      <c r="AP302"/>
      <c r="AQ302"/>
      <c r="AR302"/>
      <c r="AS302"/>
      <c r="AT302"/>
      <c r="AU302"/>
      <c r="AV302"/>
      <c r="AW302"/>
      <c r="AX302"/>
      <c r="AY302"/>
      <c r="AZ302"/>
      <c r="BA302"/>
      <c r="BB302"/>
      <c r="BC302"/>
      <c r="BD302"/>
      <c r="BE302"/>
      <c r="BF302"/>
      <c r="BG302"/>
      <c r="BH302"/>
      <c r="BI302"/>
      <c r="BJ302"/>
      <c r="BK302"/>
      <c r="BL302"/>
      <c r="BM302"/>
      <c r="BN302"/>
      <c r="BO302"/>
      <c r="BP302"/>
      <c r="BQ302"/>
      <c r="BR302"/>
      <c r="BS302"/>
      <c r="BT302"/>
      <c r="BU302"/>
      <c r="BV302"/>
      <c r="BW302"/>
      <c r="BX302"/>
      <c r="BY302"/>
      <c r="BZ302"/>
      <c r="CA302"/>
      <c r="CB302"/>
      <c r="CC302"/>
    </row>
    <row r="303" spans="1:81" x14ac:dyDescent="0.25">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c r="AI303"/>
      <c r="AJ303"/>
      <c r="AK303"/>
      <c r="AL303"/>
      <c r="AM303"/>
      <c r="AN303"/>
      <c r="AO303"/>
      <c r="AP303"/>
      <c r="AQ303"/>
      <c r="AR303"/>
      <c r="AS303"/>
      <c r="AT303"/>
      <c r="AU303"/>
      <c r="AV303"/>
      <c r="AW303"/>
      <c r="AX303"/>
      <c r="AY303"/>
      <c r="AZ303"/>
      <c r="BA303"/>
      <c r="BB303"/>
      <c r="BC303"/>
      <c r="BD303"/>
      <c r="BE303"/>
      <c r="BF303"/>
      <c r="BG303"/>
      <c r="BH303"/>
      <c r="BI303"/>
      <c r="BJ303"/>
      <c r="BK303"/>
      <c r="BL303"/>
      <c r="BM303"/>
      <c r="BN303"/>
      <c r="BO303"/>
      <c r="BP303"/>
      <c r="BQ303"/>
      <c r="BR303"/>
      <c r="BS303"/>
      <c r="BT303"/>
      <c r="BU303"/>
      <c r="BV303"/>
      <c r="BW303"/>
      <c r="BX303"/>
      <c r="BY303"/>
      <c r="BZ303"/>
      <c r="CA303"/>
      <c r="CB303"/>
      <c r="CC303"/>
    </row>
    <row r="304" spans="1:81" x14ac:dyDescent="0.25">
      <c r="A304"/>
      <c r="B304"/>
      <c r="C304"/>
      <c r="D304"/>
      <c r="E304"/>
      <c r="F304"/>
      <c r="G304"/>
      <c r="H304"/>
      <c r="I304"/>
      <c r="J304"/>
      <c r="K304"/>
      <c r="L304"/>
      <c r="M304"/>
      <c r="N304"/>
      <c r="O304"/>
      <c r="P304"/>
      <c r="Q304"/>
      <c r="R304"/>
      <c r="S304"/>
      <c r="T304"/>
      <c r="U304"/>
      <c r="V304"/>
      <c r="W304"/>
      <c r="X304"/>
      <c r="Y304"/>
      <c r="Z304"/>
      <c r="AA304"/>
      <c r="AB304"/>
      <c r="AC304"/>
      <c r="AD304"/>
      <c r="AE304"/>
      <c r="AF304"/>
      <c r="AG304"/>
      <c r="AH304"/>
      <c r="AI304"/>
      <c r="AJ304"/>
      <c r="AK304"/>
      <c r="AL304"/>
      <c r="AM304"/>
      <c r="AN304"/>
      <c r="AO304"/>
      <c r="AP304"/>
      <c r="AQ304"/>
      <c r="AR304"/>
      <c r="AS304"/>
      <c r="AT304"/>
      <c r="AU304"/>
      <c r="AV304"/>
      <c r="AW304"/>
      <c r="AX304"/>
      <c r="AY304"/>
      <c r="AZ304"/>
      <c r="BA304"/>
      <c r="BB304"/>
      <c r="BC304"/>
      <c r="BD304"/>
      <c r="BE304"/>
      <c r="BF304"/>
      <c r="BG304"/>
      <c r="BH304"/>
      <c r="BI304"/>
      <c r="BJ304"/>
      <c r="BK304"/>
      <c r="BL304"/>
      <c r="BM304"/>
      <c r="BN304"/>
      <c r="BO304"/>
      <c r="BP304"/>
      <c r="BQ304"/>
      <c r="BR304"/>
      <c r="BS304"/>
      <c r="BT304"/>
      <c r="BU304"/>
      <c r="BV304"/>
      <c r="BW304"/>
      <c r="BX304"/>
      <c r="BY304"/>
      <c r="BZ304"/>
      <c r="CA304"/>
      <c r="CB304"/>
      <c r="CC304"/>
    </row>
    <row r="305" spans="1:81" x14ac:dyDescent="0.25">
      <c r="A305"/>
      <c r="B305"/>
      <c r="C305"/>
      <c r="D305"/>
      <c r="E305"/>
      <c r="F305"/>
      <c r="G305"/>
      <c r="H305"/>
      <c r="I305"/>
      <c r="J305"/>
      <c r="K305"/>
      <c r="L305"/>
      <c r="M305"/>
      <c r="N305"/>
      <c r="O305"/>
      <c r="P305"/>
      <c r="Q305"/>
      <c r="R305"/>
      <c r="S305"/>
      <c r="T305"/>
      <c r="U305"/>
      <c r="V305"/>
      <c r="W305"/>
      <c r="X305"/>
      <c r="Y305"/>
      <c r="Z305"/>
      <c r="AA305"/>
      <c r="AB305"/>
      <c r="AC305"/>
      <c r="AD305"/>
      <c r="AE305"/>
      <c r="AF305"/>
      <c r="AG305"/>
      <c r="AH305"/>
      <c r="AI305"/>
      <c r="AJ305"/>
      <c r="AK305"/>
      <c r="AL305"/>
      <c r="AM305"/>
      <c r="AN305"/>
      <c r="AO305"/>
      <c r="AP305"/>
      <c r="AQ305"/>
      <c r="AR305"/>
      <c r="AS305"/>
      <c r="AT305"/>
      <c r="AU305"/>
      <c r="AV305"/>
      <c r="AW305"/>
      <c r="AX305"/>
      <c r="AY305"/>
      <c r="AZ305"/>
      <c r="BA305"/>
      <c r="BB305"/>
      <c r="BC305"/>
      <c r="BD305"/>
      <c r="BE305"/>
      <c r="BF305"/>
      <c r="BG305"/>
      <c r="BH305"/>
      <c r="BI305"/>
      <c r="BJ305"/>
      <c r="BK305"/>
      <c r="BL305"/>
      <c r="BM305"/>
      <c r="BN305"/>
      <c r="BO305"/>
      <c r="BP305"/>
      <c r="BQ305"/>
      <c r="BR305"/>
      <c r="BS305"/>
      <c r="BT305"/>
      <c r="BU305"/>
      <c r="BV305"/>
      <c r="BW305"/>
      <c r="BX305"/>
      <c r="BY305"/>
      <c r="BZ305"/>
      <c r="CA305"/>
      <c r="CB305"/>
      <c r="CC305"/>
    </row>
    <row r="306" spans="1:81" x14ac:dyDescent="0.25">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c r="AI306"/>
      <c r="AJ306"/>
      <c r="AK306"/>
      <c r="AL306"/>
      <c r="AM306"/>
      <c r="AN306"/>
      <c r="AO306"/>
      <c r="AP306"/>
      <c r="AQ306"/>
      <c r="AR306"/>
      <c r="AS306"/>
      <c r="AT306"/>
      <c r="AU306"/>
      <c r="AV306"/>
      <c r="AW306"/>
      <c r="AX306"/>
      <c r="AY306"/>
      <c r="AZ306"/>
      <c r="BA306"/>
      <c r="BB306"/>
      <c r="BC306"/>
      <c r="BD306"/>
      <c r="BE306"/>
      <c r="BF306"/>
      <c r="BG306"/>
      <c r="BH306"/>
      <c r="BI306"/>
      <c r="BJ306"/>
      <c r="BK306"/>
      <c r="BL306"/>
      <c r="BM306"/>
      <c r="BN306"/>
      <c r="BO306"/>
      <c r="BP306"/>
      <c r="BQ306"/>
      <c r="BR306"/>
      <c r="BS306"/>
      <c r="BT306"/>
      <c r="BU306"/>
      <c r="BV306"/>
      <c r="BW306"/>
      <c r="BX306"/>
      <c r="BY306"/>
      <c r="BZ306"/>
      <c r="CA306"/>
      <c r="CB306"/>
      <c r="CC306"/>
    </row>
    <row r="307" spans="1:81" x14ac:dyDescent="0.25">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c r="AI307"/>
      <c r="AJ307"/>
      <c r="AK307"/>
      <c r="AL307"/>
      <c r="AM307"/>
      <c r="AN307"/>
      <c r="AO307"/>
      <c r="AP307"/>
      <c r="AQ307"/>
      <c r="AR307"/>
      <c r="AS307"/>
      <c r="AT307"/>
      <c r="AU307"/>
      <c r="AV307"/>
      <c r="AW307"/>
      <c r="AX307"/>
      <c r="AY307"/>
      <c r="AZ307"/>
      <c r="BA307"/>
      <c r="BB307"/>
      <c r="BC307"/>
      <c r="BD307"/>
      <c r="BE307"/>
      <c r="BF307"/>
      <c r="BG307"/>
      <c r="BH307"/>
      <c r="BI307"/>
      <c r="BJ307"/>
      <c r="BK307"/>
      <c r="BL307"/>
      <c r="BM307"/>
      <c r="BN307"/>
      <c r="BO307"/>
      <c r="BP307"/>
      <c r="BQ307"/>
      <c r="BR307"/>
      <c r="BS307"/>
      <c r="BT307"/>
      <c r="BU307"/>
      <c r="BV307"/>
      <c r="BW307"/>
      <c r="BX307"/>
      <c r="BY307"/>
      <c r="BZ307"/>
      <c r="CA307"/>
      <c r="CB307"/>
      <c r="CC307"/>
    </row>
    <row r="308" spans="1:81" x14ac:dyDescent="0.25">
      <c r="A308"/>
      <c r="B308"/>
      <c r="C308"/>
      <c r="D308"/>
      <c r="E308"/>
      <c r="F308"/>
      <c r="G308"/>
      <c r="H308"/>
      <c r="I308"/>
      <c r="J308"/>
      <c r="K308"/>
      <c r="L308"/>
      <c r="M308"/>
      <c r="N308"/>
      <c r="O308"/>
      <c r="P308"/>
      <c r="Q308"/>
      <c r="R308"/>
      <c r="S308"/>
      <c r="T308"/>
      <c r="U308"/>
      <c r="V308"/>
      <c r="W308"/>
      <c r="X308"/>
      <c r="Y308"/>
      <c r="Z308"/>
      <c r="AA308"/>
      <c r="AB308"/>
      <c r="AC308"/>
      <c r="AD308"/>
      <c r="AE308"/>
      <c r="AF308"/>
      <c r="AG308"/>
      <c r="AH308"/>
      <c r="AI308"/>
      <c r="AJ308"/>
      <c r="AK308"/>
      <c r="AL308"/>
      <c r="AM308"/>
      <c r="AN308"/>
      <c r="AO308"/>
      <c r="AP308"/>
      <c r="AQ308"/>
      <c r="AR308"/>
      <c r="AS308"/>
      <c r="AT308"/>
      <c r="AU308"/>
      <c r="AV308"/>
      <c r="AW308"/>
      <c r="AX308"/>
      <c r="AY308"/>
      <c r="AZ308"/>
      <c r="BA308"/>
      <c r="BB308"/>
      <c r="BC308"/>
      <c r="BD308"/>
      <c r="BE308"/>
      <c r="BF308"/>
      <c r="BG308"/>
      <c r="BH308"/>
      <c r="BI308"/>
      <c r="BJ308"/>
      <c r="BK308"/>
      <c r="BL308"/>
      <c r="BM308"/>
      <c r="BN308"/>
      <c r="BO308"/>
      <c r="BP308"/>
      <c r="BQ308"/>
      <c r="BR308"/>
      <c r="BS308"/>
      <c r="BT308"/>
      <c r="BU308"/>
      <c r="BV308"/>
      <c r="BW308"/>
      <c r="BX308"/>
      <c r="BY308"/>
      <c r="BZ308"/>
      <c r="CA308"/>
      <c r="CB308"/>
      <c r="CC308"/>
    </row>
    <row r="309" spans="1:81" x14ac:dyDescent="0.25">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c r="AI309"/>
      <c r="AJ309"/>
      <c r="AK309"/>
      <c r="AL309"/>
      <c r="AM309"/>
      <c r="AN309"/>
      <c r="AO309"/>
      <c r="AP309"/>
      <c r="AQ309"/>
      <c r="AR309"/>
      <c r="AS309"/>
      <c r="AT309"/>
      <c r="AU309"/>
      <c r="AV309"/>
      <c r="AW309"/>
      <c r="AX309"/>
      <c r="AY309"/>
      <c r="AZ309"/>
      <c r="BA309"/>
      <c r="BB309"/>
      <c r="BC309"/>
      <c r="BD309"/>
      <c r="BE309"/>
      <c r="BF309"/>
      <c r="BG309"/>
      <c r="BH309"/>
      <c r="BI309"/>
      <c r="BJ309"/>
      <c r="BK309"/>
      <c r="BL309"/>
      <c r="BM309"/>
      <c r="BN309"/>
      <c r="BO309"/>
      <c r="BP309"/>
      <c r="BQ309"/>
      <c r="BR309"/>
      <c r="BS309"/>
      <c r="BT309"/>
      <c r="BU309"/>
      <c r="BV309"/>
      <c r="BW309"/>
      <c r="BX309"/>
      <c r="BY309"/>
      <c r="BZ309"/>
      <c r="CA309"/>
      <c r="CB309"/>
      <c r="CC309"/>
    </row>
    <row r="310" spans="1:81" x14ac:dyDescent="0.25">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c r="AI310"/>
      <c r="AJ310"/>
      <c r="AK310"/>
      <c r="AL310"/>
      <c r="AM310"/>
      <c r="AN310"/>
      <c r="AO310"/>
      <c r="AP310"/>
      <c r="AQ310"/>
      <c r="AR310"/>
      <c r="AS310"/>
      <c r="AT310"/>
      <c r="AU310"/>
      <c r="AV310"/>
      <c r="AW310"/>
      <c r="AX310"/>
      <c r="AY310"/>
      <c r="AZ310"/>
      <c r="BA310"/>
      <c r="BB310"/>
      <c r="BC310"/>
      <c r="BD310"/>
      <c r="BE310"/>
      <c r="BF310"/>
      <c r="BG310"/>
      <c r="BH310"/>
      <c r="BI310"/>
      <c r="BJ310"/>
      <c r="BK310"/>
      <c r="BL310"/>
      <c r="BM310"/>
      <c r="BN310"/>
      <c r="BO310"/>
      <c r="BP310"/>
      <c r="BQ310"/>
      <c r="BR310"/>
      <c r="BS310"/>
      <c r="BT310"/>
      <c r="BU310"/>
      <c r="BV310"/>
      <c r="BW310"/>
      <c r="BX310"/>
      <c r="BY310"/>
      <c r="BZ310"/>
      <c r="CA310"/>
      <c r="CB310"/>
      <c r="CC310"/>
    </row>
    <row r="311" spans="1:81" x14ac:dyDescent="0.25">
      <c r="A311"/>
      <c r="B311"/>
      <c r="C311"/>
      <c r="D311"/>
      <c r="E311"/>
      <c r="F311"/>
      <c r="G311"/>
      <c r="H311"/>
      <c r="I311"/>
      <c r="J311"/>
      <c r="K311"/>
      <c r="L311"/>
      <c r="M311"/>
      <c r="N311"/>
      <c r="O311"/>
      <c r="P311"/>
      <c r="Q311"/>
      <c r="R311"/>
      <c r="S311"/>
      <c r="T311"/>
      <c r="U311"/>
      <c r="V311"/>
      <c r="W311"/>
      <c r="X311"/>
      <c r="Y311"/>
      <c r="Z311"/>
      <c r="AA311"/>
      <c r="AB311"/>
      <c r="AC311"/>
      <c r="AD311"/>
      <c r="AE311"/>
      <c r="AF311"/>
      <c r="AG311"/>
      <c r="AH311"/>
      <c r="AI311"/>
      <c r="AJ311"/>
      <c r="AK311"/>
      <c r="AL311"/>
      <c r="AM311"/>
      <c r="AN311"/>
      <c r="AO311"/>
      <c r="AP311"/>
      <c r="AQ311"/>
      <c r="AR311"/>
      <c r="AS311"/>
      <c r="AT311"/>
      <c r="AU311"/>
      <c r="AV311"/>
      <c r="AW311"/>
      <c r="AX311"/>
      <c r="AY311"/>
      <c r="AZ311"/>
      <c r="BA311"/>
      <c r="BB311"/>
      <c r="BC311"/>
      <c r="BD311"/>
      <c r="BE311"/>
      <c r="BF311"/>
      <c r="BG311"/>
      <c r="BH311"/>
      <c r="BI311"/>
      <c r="BJ311"/>
      <c r="BK311"/>
      <c r="BL311"/>
      <c r="BM311"/>
      <c r="BN311"/>
      <c r="BO311"/>
      <c r="BP311"/>
      <c r="BQ311"/>
      <c r="BR311"/>
      <c r="BS311"/>
      <c r="BT311"/>
      <c r="BU311"/>
      <c r="BV311"/>
      <c r="BW311"/>
      <c r="BX311"/>
      <c r="BY311"/>
      <c r="BZ311"/>
      <c r="CA311"/>
      <c r="CB311"/>
      <c r="CC311"/>
    </row>
    <row r="312" spans="1:81" x14ac:dyDescent="0.25">
      <c r="A312"/>
      <c r="B312"/>
      <c r="C312"/>
      <c r="D312"/>
      <c r="E312"/>
      <c r="F312"/>
      <c r="G312"/>
      <c r="H312"/>
      <c r="I312"/>
      <c r="J312"/>
      <c r="K312"/>
      <c r="L312"/>
      <c r="M312"/>
      <c r="N312"/>
      <c r="O312"/>
      <c r="P312"/>
      <c r="Q312"/>
      <c r="R312"/>
      <c r="S312"/>
      <c r="T312"/>
      <c r="U312"/>
      <c r="V312"/>
      <c r="W312"/>
      <c r="X312"/>
      <c r="Y312"/>
      <c r="Z312"/>
      <c r="AA312"/>
      <c r="AB312"/>
      <c r="AC312"/>
      <c r="AD312"/>
      <c r="AE312"/>
      <c r="AF312"/>
      <c r="AG312"/>
      <c r="AH312"/>
      <c r="AI312"/>
      <c r="AJ312"/>
      <c r="AK312"/>
      <c r="AL312"/>
      <c r="AM312"/>
      <c r="AN312"/>
      <c r="AO312"/>
      <c r="AP312"/>
      <c r="AQ312"/>
      <c r="AR312"/>
      <c r="AS312"/>
      <c r="AT312"/>
      <c r="AU312"/>
      <c r="AV312"/>
      <c r="AW312"/>
      <c r="AX312"/>
      <c r="AY312"/>
      <c r="AZ312"/>
      <c r="BA312"/>
      <c r="BB312"/>
      <c r="BC312"/>
      <c r="BD312"/>
      <c r="BE312"/>
      <c r="BF312"/>
      <c r="BG312"/>
      <c r="BH312"/>
      <c r="BI312"/>
      <c r="BJ312"/>
      <c r="BK312"/>
      <c r="BL312"/>
      <c r="BM312"/>
      <c r="BN312"/>
      <c r="BO312"/>
      <c r="BP312"/>
      <c r="BQ312"/>
      <c r="BR312"/>
      <c r="BS312"/>
      <c r="BT312"/>
      <c r="BU312"/>
      <c r="BV312"/>
      <c r="BW312"/>
      <c r="BX312"/>
      <c r="BY312"/>
      <c r="BZ312"/>
      <c r="CA312"/>
      <c r="CB312"/>
      <c r="CC312"/>
    </row>
    <row r="313" spans="1:81" x14ac:dyDescent="0.25">
      <c r="A313"/>
      <c r="B313"/>
      <c r="C313"/>
      <c r="D313"/>
      <c r="E313"/>
      <c r="F313"/>
      <c r="G313"/>
      <c r="H313"/>
      <c r="I313"/>
      <c r="J313"/>
      <c r="K313"/>
      <c r="L313"/>
      <c r="M313"/>
      <c r="N313"/>
      <c r="O313"/>
      <c r="P313"/>
      <c r="Q313"/>
      <c r="R313"/>
      <c r="S313"/>
      <c r="T313"/>
      <c r="U313"/>
      <c r="V313"/>
      <c r="W313"/>
      <c r="X313"/>
      <c r="Y313"/>
      <c r="Z313"/>
      <c r="AA313"/>
      <c r="AB313"/>
      <c r="AC313"/>
      <c r="AD313"/>
      <c r="AE313"/>
      <c r="AF313"/>
      <c r="AG313"/>
      <c r="AH313"/>
      <c r="AI313"/>
      <c r="AJ313"/>
      <c r="AK313"/>
      <c r="AL313"/>
      <c r="AM313"/>
      <c r="AN313"/>
      <c r="AO313"/>
      <c r="AP313"/>
      <c r="AQ313"/>
      <c r="AR313"/>
      <c r="AS313"/>
      <c r="AT313"/>
      <c r="AU313"/>
      <c r="AV313"/>
      <c r="AW313"/>
      <c r="AX313"/>
      <c r="AY313"/>
      <c r="AZ313"/>
      <c r="BA313"/>
      <c r="BB313"/>
      <c r="BC313"/>
      <c r="BD313"/>
      <c r="BE313"/>
      <c r="BF313"/>
      <c r="BG313"/>
      <c r="BH313"/>
      <c r="BI313"/>
      <c r="BJ313"/>
      <c r="BK313"/>
      <c r="BL313"/>
      <c r="BM313"/>
      <c r="BN313"/>
      <c r="BO313"/>
      <c r="BP313"/>
      <c r="BQ313"/>
      <c r="BR313"/>
      <c r="BS313"/>
      <c r="BT313"/>
      <c r="BU313"/>
      <c r="BV313"/>
      <c r="BW313"/>
      <c r="BX313"/>
      <c r="BY313"/>
      <c r="BZ313"/>
      <c r="CA313"/>
      <c r="CB313"/>
      <c r="CC313"/>
    </row>
    <row r="314" spans="1:81" x14ac:dyDescent="0.25">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c r="AI314"/>
      <c r="AJ314"/>
      <c r="AK314"/>
      <c r="AL314"/>
      <c r="AM314"/>
      <c r="AN314"/>
      <c r="AO314"/>
      <c r="AP314"/>
      <c r="AQ314"/>
      <c r="AR314"/>
      <c r="AS314"/>
      <c r="AT314"/>
      <c r="AU314"/>
      <c r="AV314"/>
      <c r="AW314"/>
      <c r="AX314"/>
      <c r="AY314"/>
      <c r="AZ314"/>
      <c r="BA314"/>
      <c r="BB314"/>
      <c r="BC314"/>
      <c r="BD314"/>
      <c r="BE314"/>
      <c r="BF314"/>
      <c r="BG314"/>
      <c r="BH314"/>
      <c r="BI314"/>
      <c r="BJ314"/>
      <c r="BK314"/>
      <c r="BL314"/>
      <c r="BM314"/>
      <c r="BN314"/>
      <c r="BO314"/>
      <c r="BP314"/>
      <c r="BQ314"/>
      <c r="BR314"/>
      <c r="BS314"/>
      <c r="BT314"/>
      <c r="BU314"/>
      <c r="BV314"/>
      <c r="BW314"/>
      <c r="BX314"/>
      <c r="BY314"/>
      <c r="BZ314"/>
      <c r="CA314"/>
      <c r="CB314"/>
      <c r="CC314"/>
    </row>
    <row r="315" spans="1:81" x14ac:dyDescent="0.25">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c r="AI315"/>
      <c r="AJ315"/>
      <c r="AK315"/>
      <c r="AL315"/>
      <c r="AM315"/>
      <c r="AN315"/>
      <c r="AO315"/>
      <c r="AP315"/>
      <c r="AQ315"/>
      <c r="AR315"/>
      <c r="AS315"/>
      <c r="AT315"/>
      <c r="AU315"/>
      <c r="AV315"/>
      <c r="AW315"/>
      <c r="AX315"/>
      <c r="AY315"/>
      <c r="AZ315"/>
      <c r="BA315"/>
      <c r="BB315"/>
      <c r="BC315"/>
      <c r="BD315"/>
      <c r="BE315"/>
      <c r="BF315"/>
      <c r="BG315"/>
      <c r="BH315"/>
      <c r="BI315"/>
      <c r="BJ315"/>
      <c r="BK315"/>
      <c r="BL315"/>
      <c r="BM315"/>
      <c r="BN315"/>
      <c r="BO315"/>
      <c r="BP315"/>
      <c r="BQ315"/>
      <c r="BR315"/>
      <c r="BS315"/>
      <c r="BT315"/>
      <c r="BU315"/>
      <c r="BV315"/>
      <c r="BW315"/>
      <c r="BX315"/>
      <c r="BY315"/>
      <c r="BZ315"/>
      <c r="CA315"/>
      <c r="CB315"/>
      <c r="CC315"/>
    </row>
    <row r="316" spans="1:81" x14ac:dyDescent="0.25">
      <c r="A316"/>
      <c r="B316"/>
      <c r="C316"/>
      <c r="D316"/>
      <c r="E316"/>
      <c r="F316"/>
      <c r="G316"/>
      <c r="H316"/>
      <c r="I316"/>
      <c r="J316"/>
      <c r="K316"/>
      <c r="L316"/>
      <c r="M316"/>
      <c r="N316"/>
      <c r="O316"/>
      <c r="P316"/>
      <c r="Q316"/>
      <c r="R316"/>
      <c r="S316"/>
      <c r="T316"/>
      <c r="U316"/>
      <c r="V316"/>
      <c r="W316"/>
      <c r="X316"/>
      <c r="Y316"/>
      <c r="Z316"/>
      <c r="AA316"/>
      <c r="AB316"/>
      <c r="AC316"/>
      <c r="AD316"/>
      <c r="AE316"/>
      <c r="AF316"/>
      <c r="AG316"/>
      <c r="AH316"/>
      <c r="AI316"/>
      <c r="AJ316"/>
      <c r="AK316"/>
      <c r="AL316"/>
      <c r="AM316"/>
      <c r="AN316"/>
      <c r="AO316"/>
      <c r="AP316"/>
      <c r="AQ316"/>
      <c r="AR316"/>
      <c r="AS316"/>
      <c r="AT316"/>
      <c r="AU316"/>
      <c r="AV316"/>
      <c r="AW316"/>
      <c r="AX316"/>
      <c r="AY316"/>
      <c r="AZ316"/>
      <c r="BA316"/>
      <c r="BB316"/>
      <c r="BC316"/>
      <c r="BD316"/>
      <c r="BE316"/>
      <c r="BF316"/>
      <c r="BG316"/>
      <c r="BH316"/>
      <c r="BI316"/>
      <c r="BJ316"/>
      <c r="BK316"/>
      <c r="BL316"/>
      <c r="BM316"/>
      <c r="BN316"/>
      <c r="BO316"/>
      <c r="BP316"/>
      <c r="BQ316"/>
      <c r="BR316"/>
      <c r="BS316"/>
      <c r="BT316"/>
      <c r="BU316"/>
      <c r="BV316"/>
      <c r="BW316"/>
      <c r="BX316"/>
      <c r="BY316"/>
      <c r="BZ316"/>
      <c r="CA316"/>
      <c r="CB316"/>
      <c r="CC316"/>
    </row>
    <row r="317" spans="1:81" x14ac:dyDescent="0.25">
      <c r="A317"/>
      <c r="B317"/>
      <c r="C317"/>
      <c r="D317"/>
      <c r="E317"/>
      <c r="F317"/>
      <c r="G317"/>
      <c r="H317"/>
      <c r="I317"/>
      <c r="J317"/>
      <c r="K317"/>
      <c r="L317"/>
      <c r="M317"/>
      <c r="N317"/>
      <c r="O317"/>
      <c r="P317"/>
      <c r="Q317"/>
      <c r="R317"/>
      <c r="S317"/>
      <c r="T317"/>
      <c r="U317"/>
      <c r="V317"/>
      <c r="W317"/>
      <c r="X317"/>
      <c r="Y317"/>
      <c r="Z317"/>
      <c r="AA317"/>
      <c r="AB317"/>
      <c r="AC317"/>
      <c r="AD317"/>
      <c r="AE317"/>
      <c r="AF317"/>
      <c r="AG317"/>
      <c r="AH317"/>
      <c r="AI317"/>
      <c r="AJ317"/>
      <c r="AK317"/>
      <c r="AL317"/>
      <c r="AM317"/>
      <c r="AN317"/>
      <c r="AO317"/>
      <c r="AP317"/>
      <c r="AQ317"/>
      <c r="AR317"/>
      <c r="AS317"/>
      <c r="AT317"/>
      <c r="AU317"/>
      <c r="AV317"/>
      <c r="AW317"/>
      <c r="AX317"/>
      <c r="AY317"/>
      <c r="AZ317"/>
      <c r="BA317"/>
      <c r="BB317"/>
      <c r="BC317"/>
      <c r="BD317"/>
      <c r="BE317"/>
      <c r="BF317"/>
      <c r="BG317"/>
      <c r="BH317"/>
      <c r="BI317"/>
      <c r="BJ317"/>
      <c r="BK317"/>
      <c r="BL317"/>
      <c r="BM317"/>
      <c r="BN317"/>
      <c r="BO317"/>
      <c r="BP317"/>
      <c r="BQ317"/>
      <c r="BR317"/>
      <c r="BS317"/>
      <c r="BT317"/>
      <c r="BU317"/>
      <c r="BV317"/>
      <c r="BW317"/>
      <c r="BX317"/>
      <c r="BY317"/>
      <c r="BZ317"/>
      <c r="CA317"/>
      <c r="CB317"/>
      <c r="CC317"/>
    </row>
    <row r="318" spans="1:81" x14ac:dyDescent="0.25">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c r="AI318"/>
      <c r="AJ318"/>
      <c r="AK318"/>
      <c r="AL318"/>
      <c r="AM318"/>
      <c r="AN318"/>
      <c r="AO318"/>
      <c r="AP318"/>
      <c r="AQ318"/>
      <c r="AR318"/>
      <c r="AS318"/>
      <c r="AT318"/>
      <c r="AU318"/>
      <c r="AV318"/>
      <c r="AW318"/>
      <c r="AX318"/>
      <c r="AY318"/>
      <c r="AZ318"/>
      <c r="BA318"/>
      <c r="BB318"/>
      <c r="BC318"/>
      <c r="BD318"/>
      <c r="BE318"/>
      <c r="BF318"/>
      <c r="BG318"/>
      <c r="BH318"/>
      <c r="BI318"/>
      <c r="BJ318"/>
      <c r="BK318"/>
      <c r="BL318"/>
      <c r="BM318"/>
      <c r="BN318"/>
      <c r="BO318"/>
      <c r="BP318"/>
      <c r="BQ318"/>
      <c r="BR318"/>
      <c r="BS318"/>
      <c r="BT318"/>
      <c r="BU318"/>
      <c r="BV318"/>
      <c r="BW318"/>
      <c r="BX318"/>
      <c r="BY318"/>
      <c r="BZ318"/>
      <c r="CA318"/>
      <c r="CB318"/>
      <c r="CC318"/>
    </row>
    <row r="319" spans="1:81" x14ac:dyDescent="0.25">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c r="AI319"/>
      <c r="AJ319"/>
      <c r="AK319"/>
      <c r="AL319"/>
      <c r="AM319"/>
      <c r="AN319"/>
      <c r="AO319"/>
      <c r="AP319"/>
      <c r="AQ319"/>
      <c r="AR319"/>
      <c r="AS319"/>
      <c r="AT319"/>
      <c r="AU319"/>
      <c r="AV319"/>
      <c r="AW319"/>
      <c r="AX319"/>
      <c r="AY319"/>
      <c r="AZ319"/>
      <c r="BA319"/>
      <c r="BB319"/>
      <c r="BC319"/>
      <c r="BD319"/>
      <c r="BE319"/>
      <c r="BF319"/>
      <c r="BG319"/>
      <c r="BH319"/>
      <c r="BI319"/>
      <c r="BJ319"/>
      <c r="BK319"/>
      <c r="BL319"/>
      <c r="BM319"/>
      <c r="BN319"/>
      <c r="BO319"/>
      <c r="BP319"/>
      <c r="BQ319"/>
      <c r="BR319"/>
      <c r="BS319"/>
      <c r="BT319"/>
      <c r="BU319"/>
      <c r="BV319"/>
      <c r="BW319"/>
      <c r="BX319"/>
      <c r="BY319"/>
      <c r="BZ319"/>
      <c r="CA319"/>
      <c r="CB319"/>
      <c r="CC319"/>
    </row>
    <row r="320" spans="1:81" x14ac:dyDescent="0.25">
      <c r="A320"/>
      <c r="B320"/>
      <c r="C320"/>
      <c r="D320"/>
      <c r="E320"/>
      <c r="F320"/>
      <c r="G320"/>
      <c r="H320"/>
      <c r="I320"/>
      <c r="J320"/>
      <c r="K320"/>
      <c r="L320"/>
      <c r="M320"/>
      <c r="N320"/>
      <c r="O320"/>
      <c r="P320"/>
      <c r="Q320"/>
      <c r="R320"/>
      <c r="S320"/>
      <c r="T320"/>
      <c r="U320"/>
      <c r="V320"/>
      <c r="W320"/>
      <c r="X320"/>
      <c r="Y320"/>
      <c r="Z320"/>
      <c r="AA320"/>
      <c r="AB320"/>
      <c r="AC320"/>
      <c r="AD320"/>
      <c r="AE320"/>
      <c r="AF320"/>
      <c r="AG320"/>
      <c r="AH320"/>
      <c r="AI320"/>
      <c r="AJ320"/>
      <c r="AK320"/>
      <c r="AL320"/>
      <c r="AM320"/>
      <c r="AN320"/>
      <c r="AO320"/>
      <c r="AP320"/>
      <c r="AQ320"/>
      <c r="AR320"/>
      <c r="AS320"/>
      <c r="AT320"/>
      <c r="AU320"/>
      <c r="AV320"/>
      <c r="AW320"/>
      <c r="AX320"/>
      <c r="AY320"/>
      <c r="AZ320"/>
      <c r="BA320"/>
      <c r="BB320"/>
      <c r="BC320"/>
      <c r="BD320"/>
      <c r="BE320"/>
      <c r="BF320"/>
      <c r="BG320"/>
      <c r="BH320"/>
      <c r="BI320"/>
      <c r="BJ320"/>
      <c r="BK320"/>
      <c r="BL320"/>
      <c r="BM320"/>
      <c r="BN320"/>
      <c r="BO320"/>
      <c r="BP320"/>
      <c r="BQ320"/>
      <c r="BR320"/>
      <c r="BS320"/>
      <c r="BT320"/>
      <c r="BU320"/>
      <c r="BV320"/>
      <c r="BW320"/>
      <c r="BX320"/>
      <c r="BY320"/>
      <c r="BZ320"/>
      <c r="CA320"/>
      <c r="CB320"/>
      <c r="CC320"/>
    </row>
    <row r="321" spans="1:81" x14ac:dyDescent="0.25">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c r="AI321"/>
      <c r="AJ321"/>
      <c r="AK321"/>
      <c r="AL321"/>
      <c r="AM321"/>
      <c r="AN321"/>
      <c r="AO321"/>
      <c r="AP321"/>
      <c r="AQ321"/>
      <c r="AR321"/>
      <c r="AS321"/>
      <c r="AT321"/>
      <c r="AU321"/>
      <c r="AV321"/>
      <c r="AW321"/>
      <c r="AX321"/>
      <c r="AY321"/>
      <c r="AZ321"/>
      <c r="BA321"/>
      <c r="BB321"/>
      <c r="BC321"/>
      <c r="BD321"/>
      <c r="BE321"/>
      <c r="BF321"/>
      <c r="BG321"/>
      <c r="BH321"/>
      <c r="BI321"/>
      <c r="BJ321"/>
      <c r="BK321"/>
      <c r="BL321"/>
      <c r="BM321"/>
      <c r="BN321"/>
      <c r="BO321"/>
      <c r="BP321"/>
      <c r="BQ321"/>
      <c r="BR321"/>
      <c r="BS321"/>
      <c r="BT321"/>
      <c r="BU321"/>
      <c r="BV321"/>
      <c r="BW321"/>
      <c r="BX321"/>
      <c r="BY321"/>
      <c r="BZ321"/>
      <c r="CA321"/>
      <c r="CB321"/>
      <c r="CC321"/>
    </row>
    <row r="322" spans="1:81" x14ac:dyDescent="0.25">
      <c r="A322"/>
      <c r="B322"/>
      <c r="C322"/>
      <c r="D322"/>
      <c r="E322"/>
      <c r="F322"/>
      <c r="G322"/>
      <c r="H322"/>
      <c r="I322"/>
      <c r="J322"/>
      <c r="K322"/>
      <c r="L322"/>
      <c r="M322"/>
      <c r="N322"/>
      <c r="O322"/>
      <c r="P322"/>
      <c r="Q322"/>
      <c r="R322"/>
      <c r="S322"/>
      <c r="T322"/>
      <c r="U322"/>
      <c r="V322"/>
      <c r="W322"/>
      <c r="X322"/>
      <c r="Y322"/>
      <c r="Z322"/>
      <c r="AA322"/>
      <c r="AB322"/>
      <c r="AC322"/>
      <c r="AD322"/>
      <c r="AE322"/>
      <c r="AF322"/>
      <c r="AG322"/>
      <c r="AH322"/>
      <c r="AI322"/>
      <c r="AJ322"/>
      <c r="AK322"/>
      <c r="AL322"/>
      <c r="AM322"/>
      <c r="AN322"/>
      <c r="AO322"/>
      <c r="AP322"/>
      <c r="AQ322"/>
      <c r="AR322"/>
      <c r="AS322"/>
      <c r="AT322"/>
      <c r="AU322"/>
      <c r="AV322"/>
      <c r="AW322"/>
      <c r="AX322"/>
      <c r="AY322"/>
      <c r="AZ322"/>
      <c r="BA322"/>
      <c r="BB322"/>
      <c r="BC322"/>
      <c r="BD322"/>
      <c r="BE322"/>
      <c r="BF322"/>
      <c r="BG322"/>
      <c r="BH322"/>
      <c r="BI322"/>
      <c r="BJ322"/>
      <c r="BK322"/>
      <c r="BL322"/>
      <c r="BM322"/>
      <c r="BN322"/>
      <c r="BO322"/>
      <c r="BP322"/>
      <c r="BQ322"/>
      <c r="BR322"/>
      <c r="BS322"/>
      <c r="BT322"/>
      <c r="BU322"/>
      <c r="BV322"/>
      <c r="BW322"/>
      <c r="BX322"/>
      <c r="BY322"/>
      <c r="BZ322"/>
      <c r="CA322"/>
      <c r="CB322"/>
      <c r="CC322"/>
    </row>
    <row r="323" spans="1:81" x14ac:dyDescent="0.25">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c r="AI323"/>
      <c r="AJ323"/>
      <c r="AK323"/>
      <c r="AL323"/>
      <c r="AM323"/>
      <c r="AN323"/>
      <c r="AO323"/>
      <c r="AP323"/>
      <c r="AQ323"/>
      <c r="AR323"/>
      <c r="AS323"/>
      <c r="AT323"/>
      <c r="AU323"/>
      <c r="AV323"/>
      <c r="AW323"/>
      <c r="AX323"/>
      <c r="AY323"/>
      <c r="AZ323"/>
      <c r="BA323"/>
      <c r="BB323"/>
      <c r="BC323"/>
      <c r="BD323"/>
      <c r="BE323"/>
      <c r="BF323"/>
      <c r="BG323"/>
      <c r="BH323"/>
      <c r="BI323"/>
      <c r="BJ323"/>
      <c r="BK323"/>
      <c r="BL323"/>
      <c r="BM323"/>
      <c r="BN323"/>
      <c r="BO323"/>
      <c r="BP323"/>
      <c r="BQ323"/>
      <c r="BR323"/>
      <c r="BS323"/>
      <c r="BT323"/>
      <c r="BU323"/>
      <c r="BV323"/>
      <c r="BW323"/>
      <c r="BX323"/>
      <c r="BY323"/>
      <c r="BZ323"/>
      <c r="CA323"/>
      <c r="CB323"/>
      <c r="CC323"/>
    </row>
    <row r="324" spans="1:81" x14ac:dyDescent="0.25">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c r="AI324"/>
      <c r="AJ324"/>
      <c r="AK324"/>
      <c r="AL324"/>
      <c r="AM324"/>
      <c r="AN324"/>
      <c r="AO324"/>
      <c r="AP324"/>
      <c r="AQ324"/>
      <c r="AR324"/>
      <c r="AS324"/>
      <c r="AT324"/>
      <c r="AU324"/>
      <c r="AV324"/>
      <c r="AW324"/>
      <c r="AX324"/>
      <c r="AY324"/>
      <c r="AZ324"/>
      <c r="BA324"/>
      <c r="BB324"/>
      <c r="BC324"/>
      <c r="BD324"/>
      <c r="BE324"/>
      <c r="BF324"/>
      <c r="BG324"/>
      <c r="BH324"/>
      <c r="BI324"/>
      <c r="BJ324"/>
      <c r="BK324"/>
      <c r="BL324"/>
      <c r="BM324"/>
      <c r="BN324"/>
      <c r="BO324"/>
      <c r="BP324"/>
      <c r="BQ324"/>
      <c r="BR324"/>
      <c r="BS324"/>
      <c r="BT324"/>
      <c r="BU324"/>
      <c r="BV324"/>
      <c r="BW324"/>
      <c r="BX324"/>
      <c r="BY324"/>
      <c r="BZ324"/>
      <c r="CA324"/>
      <c r="CB324"/>
      <c r="CC324"/>
    </row>
    <row r="325" spans="1:81" x14ac:dyDescent="0.25">
      <c r="A325"/>
      <c r="B325"/>
      <c r="C325"/>
      <c r="D325"/>
      <c r="E325"/>
      <c r="F325"/>
      <c r="G325"/>
      <c r="H325"/>
      <c r="I325"/>
      <c r="J325"/>
      <c r="K325"/>
      <c r="L325"/>
      <c r="M325"/>
      <c r="N325"/>
      <c r="O325"/>
      <c r="P325"/>
      <c r="Q325"/>
      <c r="R325"/>
      <c r="S325"/>
      <c r="T325"/>
      <c r="U325"/>
      <c r="V325"/>
      <c r="W325"/>
      <c r="X325"/>
      <c r="Y325"/>
      <c r="Z325"/>
      <c r="AA325"/>
      <c r="AB325"/>
      <c r="AC325"/>
      <c r="AD325"/>
      <c r="AE325"/>
      <c r="AF325"/>
      <c r="AG325"/>
      <c r="AH325"/>
      <c r="AI325"/>
      <c r="AJ325"/>
      <c r="AK325"/>
      <c r="AL325"/>
      <c r="AM325"/>
      <c r="AN325"/>
      <c r="AO325"/>
      <c r="AP325"/>
      <c r="AQ325"/>
      <c r="AR325"/>
      <c r="AS325"/>
      <c r="AT325"/>
      <c r="AU325"/>
      <c r="AV325"/>
      <c r="AW325"/>
      <c r="AX325"/>
      <c r="AY325"/>
      <c r="AZ325"/>
      <c r="BA325"/>
      <c r="BB325"/>
      <c r="BC325"/>
      <c r="BD325"/>
      <c r="BE325"/>
      <c r="BF325"/>
      <c r="BG325"/>
      <c r="BH325"/>
      <c r="BI325"/>
      <c r="BJ325"/>
      <c r="BK325"/>
      <c r="BL325"/>
      <c r="BM325"/>
      <c r="BN325"/>
      <c r="BO325"/>
      <c r="BP325"/>
      <c r="BQ325"/>
      <c r="BR325"/>
      <c r="BS325"/>
      <c r="BT325"/>
      <c r="BU325"/>
      <c r="BV325"/>
      <c r="BW325"/>
      <c r="BX325"/>
      <c r="BY325"/>
      <c r="BZ325"/>
      <c r="CA325"/>
      <c r="CB325"/>
      <c r="CC325"/>
    </row>
    <row r="326" spans="1:81" x14ac:dyDescent="0.25">
      <c r="A326"/>
      <c r="B326"/>
      <c r="C326"/>
      <c r="D326"/>
      <c r="E326"/>
      <c r="F326"/>
      <c r="G326"/>
      <c r="H326"/>
      <c r="I326"/>
      <c r="J326"/>
      <c r="K326"/>
      <c r="L326"/>
      <c r="M326"/>
      <c r="N326"/>
      <c r="O326"/>
      <c r="P326"/>
      <c r="Q326"/>
      <c r="R326"/>
      <c r="S326"/>
      <c r="T326"/>
      <c r="U326"/>
      <c r="V326"/>
      <c r="W326"/>
      <c r="X326"/>
      <c r="Y326"/>
      <c r="Z326"/>
      <c r="AA326"/>
      <c r="AB326"/>
      <c r="AC326"/>
      <c r="AD326"/>
      <c r="AE326"/>
      <c r="AF326"/>
      <c r="AG326"/>
      <c r="AH326"/>
      <c r="AI326"/>
      <c r="AJ326"/>
      <c r="AK326"/>
      <c r="AL326"/>
      <c r="AM326"/>
      <c r="AN326"/>
      <c r="AO326"/>
      <c r="AP326"/>
      <c r="AQ326"/>
      <c r="AR326"/>
      <c r="AS326"/>
      <c r="AT326"/>
      <c r="AU326"/>
      <c r="AV326"/>
      <c r="AW326"/>
      <c r="AX326"/>
      <c r="AY326"/>
      <c r="AZ326"/>
      <c r="BA326"/>
      <c r="BB326"/>
      <c r="BC326"/>
      <c r="BD326"/>
      <c r="BE326"/>
      <c r="BF326"/>
      <c r="BG326"/>
      <c r="BH326"/>
      <c r="BI326"/>
      <c r="BJ326"/>
      <c r="BK326"/>
      <c r="BL326"/>
      <c r="BM326"/>
      <c r="BN326"/>
      <c r="BO326"/>
      <c r="BP326"/>
      <c r="BQ326"/>
      <c r="BR326"/>
      <c r="BS326"/>
      <c r="BT326"/>
      <c r="BU326"/>
      <c r="BV326"/>
      <c r="BW326"/>
      <c r="BX326"/>
      <c r="BY326"/>
      <c r="BZ326"/>
      <c r="CA326"/>
      <c r="CB326"/>
      <c r="CC326"/>
    </row>
    <row r="327" spans="1:81" x14ac:dyDescent="0.25">
      <c r="A327"/>
      <c r="B327"/>
      <c r="C327"/>
      <c r="D327"/>
      <c r="E327"/>
      <c r="F327"/>
      <c r="G327"/>
      <c r="H327"/>
      <c r="I327"/>
      <c r="J327"/>
      <c r="K327"/>
      <c r="L327"/>
      <c r="M327"/>
      <c r="N327"/>
      <c r="O327"/>
      <c r="P327"/>
      <c r="Q327"/>
      <c r="R327"/>
      <c r="S327"/>
      <c r="T327"/>
      <c r="U327"/>
      <c r="V327"/>
      <c r="W327"/>
      <c r="X327"/>
      <c r="Y327"/>
      <c r="Z327"/>
      <c r="AA327"/>
      <c r="AB327"/>
      <c r="AC327"/>
      <c r="AD327"/>
      <c r="AE327"/>
      <c r="AF327"/>
      <c r="AG327"/>
      <c r="AH327"/>
      <c r="AI327"/>
      <c r="AJ327"/>
      <c r="AK327"/>
      <c r="AL327"/>
      <c r="AM327"/>
      <c r="AN327"/>
      <c r="AO327"/>
      <c r="AP327"/>
      <c r="AQ327"/>
      <c r="AR327"/>
      <c r="AS327"/>
      <c r="AT327"/>
      <c r="AU327"/>
      <c r="AV327"/>
      <c r="AW327"/>
      <c r="AX327"/>
      <c r="AY327"/>
      <c r="AZ327"/>
      <c r="BA327"/>
      <c r="BB327"/>
      <c r="BC327"/>
      <c r="BD327"/>
      <c r="BE327"/>
      <c r="BF327"/>
      <c r="BG327"/>
      <c r="BH327"/>
      <c r="BI327"/>
      <c r="BJ327"/>
      <c r="BK327"/>
      <c r="BL327"/>
      <c r="BM327"/>
      <c r="BN327"/>
      <c r="BO327"/>
      <c r="BP327"/>
      <c r="BQ327"/>
      <c r="BR327"/>
      <c r="BS327"/>
      <c r="BT327"/>
      <c r="BU327"/>
      <c r="BV327"/>
      <c r="BW327"/>
      <c r="BX327"/>
      <c r="BY327"/>
      <c r="BZ327"/>
      <c r="CA327"/>
      <c r="CB327"/>
      <c r="CC327"/>
    </row>
    <row r="328" spans="1:81" x14ac:dyDescent="0.25">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c r="AI328"/>
      <c r="AJ328"/>
      <c r="AK328"/>
      <c r="AL328"/>
      <c r="AM328"/>
      <c r="AN328"/>
      <c r="AO328"/>
      <c r="AP328"/>
      <c r="AQ328"/>
      <c r="AR328"/>
      <c r="AS328"/>
      <c r="AT328"/>
      <c r="AU328"/>
      <c r="AV328"/>
      <c r="AW328"/>
      <c r="AX328"/>
      <c r="AY328"/>
      <c r="AZ328"/>
      <c r="BA328"/>
      <c r="BB328"/>
      <c r="BC328"/>
      <c r="BD328"/>
      <c r="BE328"/>
      <c r="BF328"/>
      <c r="BG328"/>
      <c r="BH328"/>
      <c r="BI328"/>
      <c r="BJ328"/>
      <c r="BK328"/>
      <c r="BL328"/>
      <c r="BM328"/>
      <c r="BN328"/>
      <c r="BO328"/>
      <c r="BP328"/>
      <c r="BQ328"/>
      <c r="BR328"/>
      <c r="BS328"/>
      <c r="BT328"/>
      <c r="BU328"/>
      <c r="BV328"/>
      <c r="BW328"/>
      <c r="BX328"/>
      <c r="BY328"/>
      <c r="BZ328"/>
      <c r="CA328"/>
      <c r="CB328"/>
      <c r="CC328"/>
    </row>
    <row r="329" spans="1:81" x14ac:dyDescent="0.25">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c r="AI329"/>
      <c r="AJ329"/>
      <c r="AK329"/>
      <c r="AL329"/>
      <c r="AM329"/>
      <c r="AN329"/>
      <c r="AO329"/>
      <c r="AP329"/>
      <c r="AQ329"/>
      <c r="AR329"/>
      <c r="AS329"/>
      <c r="AT329"/>
      <c r="AU329"/>
      <c r="AV329"/>
      <c r="AW329"/>
      <c r="AX329"/>
      <c r="AY329"/>
      <c r="AZ329"/>
      <c r="BA329"/>
      <c r="BB329"/>
      <c r="BC329"/>
      <c r="BD329"/>
      <c r="BE329"/>
      <c r="BF329"/>
      <c r="BG329"/>
      <c r="BH329"/>
      <c r="BI329"/>
      <c r="BJ329"/>
      <c r="BK329"/>
      <c r="BL329"/>
      <c r="BM329"/>
      <c r="BN329"/>
      <c r="BO329"/>
      <c r="BP329"/>
      <c r="BQ329"/>
      <c r="BR329"/>
      <c r="BS329"/>
      <c r="BT329"/>
      <c r="BU329"/>
      <c r="BV329"/>
      <c r="BW329"/>
      <c r="BX329"/>
      <c r="BY329"/>
      <c r="BZ329"/>
      <c r="CA329"/>
      <c r="CB329"/>
      <c r="CC329"/>
    </row>
    <row r="330" spans="1:81" x14ac:dyDescent="0.25">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c r="AI330"/>
      <c r="AJ330"/>
      <c r="AK330"/>
      <c r="AL330"/>
      <c r="AM330"/>
      <c r="AN330"/>
      <c r="AO330"/>
      <c r="AP330"/>
      <c r="AQ330"/>
      <c r="AR330"/>
      <c r="AS330"/>
      <c r="AT330"/>
      <c r="AU330"/>
      <c r="AV330"/>
      <c r="AW330"/>
      <c r="AX330"/>
      <c r="AY330"/>
      <c r="AZ330"/>
      <c r="BA330"/>
      <c r="BB330"/>
      <c r="BC330"/>
      <c r="BD330"/>
      <c r="BE330"/>
      <c r="BF330"/>
      <c r="BG330"/>
      <c r="BH330"/>
      <c r="BI330"/>
      <c r="BJ330"/>
      <c r="BK330"/>
      <c r="BL330"/>
      <c r="BM330"/>
      <c r="BN330"/>
      <c r="BO330"/>
      <c r="BP330"/>
      <c r="BQ330"/>
      <c r="BR330"/>
      <c r="BS330"/>
      <c r="BT330"/>
      <c r="BU330"/>
      <c r="BV330"/>
      <c r="BW330"/>
      <c r="BX330"/>
      <c r="BY330"/>
      <c r="BZ330"/>
      <c r="CA330"/>
      <c r="CB330"/>
      <c r="CC330"/>
    </row>
    <row r="331" spans="1:81" x14ac:dyDescent="0.25">
      <c r="A331"/>
      <c r="B331"/>
      <c r="C331"/>
      <c r="D331"/>
      <c r="E331"/>
      <c r="F331"/>
      <c r="G331"/>
      <c r="H331"/>
      <c r="I331"/>
      <c r="J331"/>
      <c r="K331"/>
      <c r="L331"/>
      <c r="M331"/>
      <c r="N331"/>
      <c r="O331"/>
      <c r="P331"/>
      <c r="Q331"/>
      <c r="R331"/>
      <c r="S331"/>
      <c r="T331"/>
      <c r="U331"/>
      <c r="V331"/>
      <c r="W331"/>
      <c r="X331"/>
      <c r="Y331"/>
      <c r="Z331"/>
      <c r="AA331"/>
      <c r="AB331"/>
      <c r="AC331"/>
      <c r="AD331"/>
      <c r="AE331"/>
      <c r="AF331"/>
      <c r="AG331"/>
      <c r="AH331"/>
      <c r="AI331"/>
      <c r="AJ331"/>
      <c r="AK331"/>
      <c r="AL331"/>
      <c r="AM331"/>
      <c r="AN331"/>
      <c r="AO331"/>
      <c r="AP331"/>
      <c r="AQ331"/>
      <c r="AR331"/>
      <c r="AS331"/>
      <c r="AT331"/>
      <c r="AU331"/>
      <c r="AV331"/>
      <c r="AW331"/>
      <c r="AX331"/>
      <c r="AY331"/>
      <c r="AZ331"/>
      <c r="BA331"/>
      <c r="BB331"/>
      <c r="BC331"/>
      <c r="BD331"/>
      <c r="BE331"/>
      <c r="BF331"/>
      <c r="BG331"/>
      <c r="BH331"/>
      <c r="BI331"/>
      <c r="BJ331"/>
      <c r="BK331"/>
      <c r="BL331"/>
      <c r="BM331"/>
      <c r="BN331"/>
      <c r="BO331"/>
      <c r="BP331"/>
      <c r="BQ331"/>
      <c r="BR331"/>
      <c r="BS331"/>
      <c r="BT331"/>
      <c r="BU331"/>
      <c r="BV331"/>
      <c r="BW331"/>
      <c r="BX331"/>
      <c r="BY331"/>
      <c r="BZ331"/>
      <c r="CA331"/>
      <c r="CB331"/>
      <c r="CC331"/>
    </row>
    <row r="332" spans="1:81" x14ac:dyDescent="0.25">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c r="AI332"/>
      <c r="AJ332"/>
      <c r="AK332"/>
      <c r="AL332"/>
      <c r="AM332"/>
      <c r="AN332"/>
      <c r="AO332"/>
      <c r="AP332"/>
      <c r="AQ332"/>
      <c r="AR332"/>
      <c r="AS332"/>
      <c r="AT332"/>
      <c r="AU332"/>
      <c r="AV332"/>
      <c r="AW332"/>
      <c r="AX332"/>
      <c r="AY332"/>
      <c r="AZ332"/>
      <c r="BA332"/>
      <c r="BB332"/>
      <c r="BC332"/>
      <c r="BD332"/>
      <c r="BE332"/>
      <c r="BF332"/>
      <c r="BG332"/>
      <c r="BH332"/>
      <c r="BI332"/>
      <c r="BJ332"/>
      <c r="BK332"/>
      <c r="BL332"/>
      <c r="BM332"/>
      <c r="BN332"/>
      <c r="BO332"/>
      <c r="BP332"/>
      <c r="BQ332"/>
      <c r="BR332"/>
      <c r="BS332"/>
      <c r="BT332"/>
      <c r="BU332"/>
      <c r="BV332"/>
      <c r="BW332"/>
      <c r="BX332"/>
      <c r="BY332"/>
      <c r="BZ332"/>
      <c r="CA332"/>
      <c r="CB332"/>
      <c r="CC332"/>
    </row>
    <row r="333" spans="1:81" x14ac:dyDescent="0.25">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c r="AI333"/>
      <c r="AJ333"/>
      <c r="AK333"/>
      <c r="AL333"/>
      <c r="AM333"/>
      <c r="AN333"/>
      <c r="AO333"/>
      <c r="AP333"/>
      <c r="AQ333"/>
      <c r="AR333"/>
      <c r="AS333"/>
      <c r="AT333"/>
      <c r="AU333"/>
      <c r="AV333"/>
      <c r="AW333"/>
      <c r="AX333"/>
      <c r="AY333"/>
      <c r="AZ333"/>
      <c r="BA333"/>
      <c r="BB333"/>
      <c r="BC333"/>
      <c r="BD333"/>
      <c r="BE333"/>
      <c r="BF333"/>
      <c r="BG333"/>
      <c r="BH333"/>
      <c r="BI333"/>
      <c r="BJ333"/>
      <c r="BK333"/>
      <c r="BL333"/>
      <c r="BM333"/>
      <c r="BN333"/>
      <c r="BO333"/>
      <c r="BP333"/>
      <c r="BQ333"/>
      <c r="BR333"/>
      <c r="BS333"/>
      <c r="BT333"/>
      <c r="BU333"/>
      <c r="BV333"/>
      <c r="BW333"/>
      <c r="BX333"/>
      <c r="BY333"/>
      <c r="BZ333"/>
      <c r="CA333"/>
      <c r="CB333"/>
      <c r="CC333"/>
    </row>
    <row r="334" spans="1:81" x14ac:dyDescent="0.25">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c r="AI334"/>
      <c r="AJ334"/>
      <c r="AK334"/>
      <c r="AL334"/>
      <c r="AM334"/>
      <c r="AN334"/>
      <c r="AO334"/>
      <c r="AP334"/>
      <c r="AQ334"/>
      <c r="AR334"/>
      <c r="AS334"/>
      <c r="AT334"/>
      <c r="AU334"/>
      <c r="AV334"/>
      <c r="AW334"/>
      <c r="AX334"/>
      <c r="AY334"/>
      <c r="AZ334"/>
      <c r="BA334"/>
      <c r="BB334"/>
      <c r="BC334"/>
      <c r="BD334"/>
      <c r="BE334"/>
      <c r="BF334"/>
      <c r="BG334"/>
      <c r="BH334"/>
      <c r="BI334"/>
      <c r="BJ334"/>
      <c r="BK334"/>
      <c r="BL334"/>
      <c r="BM334"/>
      <c r="BN334"/>
      <c r="BO334"/>
      <c r="BP334"/>
      <c r="BQ334"/>
      <c r="BR334"/>
      <c r="BS334"/>
      <c r="BT334"/>
      <c r="BU334"/>
      <c r="BV334"/>
      <c r="BW334"/>
      <c r="BX334"/>
      <c r="BY334"/>
      <c r="BZ334"/>
      <c r="CA334"/>
      <c r="CB334"/>
      <c r="CC334"/>
    </row>
    <row r="335" spans="1:81" x14ac:dyDescent="0.25">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c r="AI335"/>
      <c r="AJ335"/>
      <c r="AK335"/>
      <c r="AL335"/>
      <c r="AM335"/>
      <c r="AN335"/>
      <c r="AO335"/>
      <c r="AP335"/>
      <c r="AQ335"/>
      <c r="AR335"/>
      <c r="AS335"/>
      <c r="AT335"/>
      <c r="AU335"/>
      <c r="AV335"/>
      <c r="AW335"/>
      <c r="AX335"/>
      <c r="AY335"/>
      <c r="AZ335"/>
      <c r="BA335"/>
      <c r="BB335"/>
      <c r="BC335"/>
      <c r="BD335"/>
      <c r="BE335"/>
      <c r="BF335"/>
      <c r="BG335"/>
      <c r="BH335"/>
      <c r="BI335"/>
      <c r="BJ335"/>
      <c r="BK335"/>
      <c r="BL335"/>
      <c r="BM335"/>
      <c r="BN335"/>
      <c r="BO335"/>
      <c r="BP335"/>
      <c r="BQ335"/>
      <c r="BR335"/>
      <c r="BS335"/>
      <c r="BT335"/>
      <c r="BU335"/>
      <c r="BV335"/>
      <c r="BW335"/>
      <c r="BX335"/>
      <c r="BY335"/>
      <c r="BZ335"/>
      <c r="CA335"/>
      <c r="CB335"/>
      <c r="CC335"/>
    </row>
    <row r="336" spans="1:81" x14ac:dyDescent="0.25">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c r="AJ336"/>
      <c r="AK336"/>
      <c r="AL336"/>
      <c r="AM336"/>
      <c r="AN336"/>
      <c r="AO336"/>
      <c r="AP336"/>
      <c r="AQ336"/>
      <c r="AR336"/>
      <c r="AS336"/>
      <c r="AT336"/>
      <c r="AU336"/>
      <c r="AV336"/>
      <c r="AW336"/>
      <c r="AX336"/>
      <c r="AY336"/>
      <c r="AZ336"/>
      <c r="BA336"/>
      <c r="BB336"/>
      <c r="BC336"/>
      <c r="BD336"/>
      <c r="BE336"/>
      <c r="BF336"/>
      <c r="BG336"/>
      <c r="BH336"/>
      <c r="BI336"/>
      <c r="BJ336"/>
      <c r="BK336"/>
      <c r="BL336"/>
      <c r="BM336"/>
      <c r="BN336"/>
      <c r="BO336"/>
      <c r="BP336"/>
      <c r="BQ336"/>
      <c r="BR336"/>
      <c r="BS336"/>
      <c r="BT336"/>
      <c r="BU336"/>
      <c r="BV336"/>
      <c r="BW336"/>
      <c r="BX336"/>
      <c r="BY336"/>
      <c r="BZ336"/>
      <c r="CA336"/>
      <c r="CB336"/>
      <c r="CC336"/>
    </row>
    <row r="337" spans="1:81" x14ac:dyDescent="0.25">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c r="AJ337"/>
      <c r="AK337"/>
      <c r="AL337"/>
      <c r="AM337"/>
      <c r="AN337"/>
      <c r="AO337"/>
      <c r="AP337"/>
      <c r="AQ337"/>
      <c r="AR337"/>
      <c r="AS337"/>
      <c r="AT337"/>
      <c r="AU337"/>
      <c r="AV337"/>
      <c r="AW337"/>
      <c r="AX337"/>
      <c r="AY337"/>
      <c r="AZ337"/>
      <c r="BA337"/>
      <c r="BB337"/>
      <c r="BC337"/>
      <c r="BD337"/>
      <c r="BE337"/>
      <c r="BF337"/>
      <c r="BG337"/>
      <c r="BH337"/>
      <c r="BI337"/>
      <c r="BJ337"/>
      <c r="BK337"/>
      <c r="BL337"/>
      <c r="BM337"/>
      <c r="BN337"/>
      <c r="BO337"/>
      <c r="BP337"/>
      <c r="BQ337"/>
      <c r="BR337"/>
      <c r="BS337"/>
      <c r="BT337"/>
      <c r="BU337"/>
      <c r="BV337"/>
      <c r="BW337"/>
      <c r="BX337"/>
      <c r="BY337"/>
      <c r="BZ337"/>
      <c r="CA337"/>
      <c r="CB337"/>
      <c r="CC337"/>
    </row>
    <row r="338" spans="1:81" x14ac:dyDescent="0.25">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c r="AI338"/>
      <c r="AJ338"/>
      <c r="AK338"/>
      <c r="AL338"/>
      <c r="AM338"/>
      <c r="AN338"/>
      <c r="AO338"/>
      <c r="AP338"/>
      <c r="AQ338"/>
      <c r="AR338"/>
      <c r="AS338"/>
      <c r="AT338"/>
      <c r="AU338"/>
      <c r="AV338"/>
      <c r="AW338"/>
      <c r="AX338"/>
      <c r="AY338"/>
      <c r="AZ338"/>
      <c r="BA338"/>
      <c r="BB338"/>
      <c r="BC338"/>
      <c r="BD338"/>
      <c r="BE338"/>
      <c r="BF338"/>
      <c r="BG338"/>
      <c r="BH338"/>
      <c r="BI338"/>
      <c r="BJ338"/>
      <c r="BK338"/>
      <c r="BL338"/>
      <c r="BM338"/>
      <c r="BN338"/>
      <c r="BO338"/>
      <c r="BP338"/>
      <c r="BQ338"/>
      <c r="BR338"/>
      <c r="BS338"/>
      <c r="BT338"/>
      <c r="BU338"/>
      <c r="BV338"/>
      <c r="BW338"/>
      <c r="BX338"/>
      <c r="BY338"/>
      <c r="BZ338"/>
      <c r="CA338"/>
      <c r="CB338"/>
      <c r="CC338"/>
    </row>
    <row r="339" spans="1:81" x14ac:dyDescent="0.25">
      <c r="A339"/>
      <c r="B339"/>
      <c r="C339"/>
      <c r="D339"/>
      <c r="E339"/>
      <c r="F339"/>
      <c r="G339"/>
      <c r="H339"/>
      <c r="I339"/>
      <c r="J339"/>
      <c r="K339"/>
      <c r="L339"/>
      <c r="M339"/>
      <c r="N339"/>
      <c r="O339"/>
      <c r="P339"/>
      <c r="Q339"/>
      <c r="R339"/>
      <c r="S339"/>
      <c r="T339"/>
      <c r="U339"/>
      <c r="V339"/>
      <c r="W339"/>
      <c r="X339"/>
      <c r="Y339"/>
      <c r="Z339"/>
      <c r="AA339"/>
      <c r="AB339"/>
      <c r="AC339"/>
      <c r="AD339"/>
      <c r="AE339"/>
      <c r="AF339"/>
      <c r="AG339"/>
      <c r="AH339"/>
      <c r="AI339"/>
      <c r="AJ339"/>
      <c r="AK339"/>
      <c r="AL339"/>
      <c r="AM339"/>
      <c r="AN339"/>
      <c r="AO339"/>
      <c r="AP339"/>
      <c r="AQ339"/>
      <c r="AR339"/>
      <c r="AS339"/>
      <c r="AT339"/>
      <c r="AU339"/>
      <c r="AV339"/>
      <c r="AW339"/>
      <c r="AX339"/>
      <c r="AY339"/>
      <c r="AZ339"/>
      <c r="BA339"/>
      <c r="BB339"/>
      <c r="BC339"/>
      <c r="BD339"/>
      <c r="BE339"/>
      <c r="BF339"/>
      <c r="BG339"/>
      <c r="BH339"/>
      <c r="BI339"/>
      <c r="BJ339"/>
      <c r="BK339"/>
      <c r="BL339"/>
      <c r="BM339"/>
      <c r="BN339"/>
      <c r="BO339"/>
      <c r="BP339"/>
      <c r="BQ339"/>
      <c r="BR339"/>
      <c r="BS339"/>
      <c r="BT339"/>
      <c r="BU339"/>
      <c r="BV339"/>
      <c r="BW339"/>
      <c r="BX339"/>
      <c r="BY339"/>
      <c r="BZ339"/>
      <c r="CA339"/>
      <c r="CB339"/>
      <c r="CC339"/>
    </row>
    <row r="340" spans="1:81" x14ac:dyDescent="0.25">
      <c r="A340"/>
      <c r="B340"/>
      <c r="C340"/>
      <c r="D340"/>
      <c r="E340"/>
      <c r="F340"/>
      <c r="G340"/>
      <c r="H340"/>
      <c r="I340"/>
      <c r="J340"/>
      <c r="K340"/>
      <c r="L340"/>
      <c r="M340"/>
      <c r="N340"/>
      <c r="O340"/>
      <c r="P340"/>
      <c r="Q340"/>
      <c r="R340"/>
      <c r="S340"/>
      <c r="T340"/>
      <c r="U340"/>
      <c r="V340"/>
      <c r="W340"/>
      <c r="X340"/>
      <c r="Y340"/>
      <c r="Z340"/>
      <c r="AA340"/>
      <c r="AB340"/>
      <c r="AC340"/>
      <c r="AD340"/>
      <c r="AE340"/>
      <c r="AF340"/>
      <c r="AG340"/>
      <c r="AH340"/>
      <c r="AI340"/>
      <c r="AJ340"/>
      <c r="AK340"/>
      <c r="AL340"/>
      <c r="AM340"/>
      <c r="AN340"/>
      <c r="AO340"/>
      <c r="AP340"/>
      <c r="AQ340"/>
      <c r="AR340"/>
      <c r="AS340"/>
      <c r="AT340"/>
      <c r="AU340"/>
      <c r="AV340"/>
      <c r="AW340"/>
      <c r="AX340"/>
      <c r="AY340"/>
      <c r="AZ340"/>
      <c r="BA340"/>
      <c r="BB340"/>
      <c r="BC340"/>
      <c r="BD340"/>
      <c r="BE340"/>
      <c r="BF340"/>
      <c r="BG340"/>
      <c r="BH340"/>
      <c r="BI340"/>
      <c r="BJ340"/>
      <c r="BK340"/>
      <c r="BL340"/>
      <c r="BM340"/>
      <c r="BN340"/>
      <c r="BO340"/>
      <c r="BP340"/>
      <c r="BQ340"/>
      <c r="BR340"/>
      <c r="BS340"/>
      <c r="BT340"/>
      <c r="BU340"/>
      <c r="BV340"/>
      <c r="BW340"/>
      <c r="BX340"/>
      <c r="BY340"/>
      <c r="BZ340"/>
      <c r="CA340"/>
      <c r="CB340"/>
      <c r="CC340"/>
    </row>
    <row r="341" spans="1:81" x14ac:dyDescent="0.25">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c r="AI341"/>
      <c r="AJ341"/>
      <c r="AK341"/>
      <c r="AL341"/>
      <c r="AM341"/>
      <c r="AN341"/>
      <c r="AO341"/>
      <c r="AP341"/>
      <c r="AQ341"/>
      <c r="AR341"/>
      <c r="AS341"/>
      <c r="AT341"/>
      <c r="AU341"/>
      <c r="AV341"/>
      <c r="AW341"/>
      <c r="AX341"/>
      <c r="AY341"/>
      <c r="AZ341"/>
      <c r="BA341"/>
      <c r="BB341"/>
      <c r="BC341"/>
      <c r="BD341"/>
      <c r="BE341"/>
      <c r="BF341"/>
      <c r="BG341"/>
      <c r="BH341"/>
      <c r="BI341"/>
      <c r="BJ341"/>
      <c r="BK341"/>
      <c r="BL341"/>
      <c r="BM341"/>
      <c r="BN341"/>
      <c r="BO341"/>
      <c r="BP341"/>
      <c r="BQ341"/>
      <c r="BR341"/>
      <c r="BS341"/>
      <c r="BT341"/>
      <c r="BU341"/>
      <c r="BV341"/>
      <c r="BW341"/>
      <c r="BX341"/>
      <c r="BY341"/>
      <c r="BZ341"/>
      <c r="CA341"/>
      <c r="CB341"/>
      <c r="CC341"/>
    </row>
    <row r="342" spans="1:81" x14ac:dyDescent="0.25">
      <c r="A342"/>
      <c r="B342"/>
      <c r="C342"/>
      <c r="D342"/>
      <c r="E342"/>
      <c r="F342"/>
      <c r="G342"/>
      <c r="H342"/>
      <c r="I342"/>
      <c r="J342"/>
      <c r="K342"/>
      <c r="L342"/>
      <c r="M342"/>
      <c r="N342"/>
      <c r="O342"/>
      <c r="P342"/>
      <c r="Q342"/>
      <c r="R342"/>
      <c r="S342"/>
      <c r="T342"/>
      <c r="U342"/>
      <c r="V342"/>
      <c r="W342"/>
      <c r="X342"/>
      <c r="Y342"/>
      <c r="Z342"/>
      <c r="AA342"/>
      <c r="AB342"/>
      <c r="AC342"/>
      <c r="AD342"/>
      <c r="AE342"/>
      <c r="AF342"/>
      <c r="AG342"/>
      <c r="AH342"/>
      <c r="AI342"/>
      <c r="AJ342"/>
      <c r="AK342"/>
      <c r="AL342"/>
      <c r="AM342"/>
      <c r="AN342"/>
      <c r="AO342"/>
      <c r="AP342"/>
      <c r="AQ342"/>
      <c r="AR342"/>
      <c r="AS342"/>
      <c r="AT342"/>
      <c r="AU342"/>
      <c r="AV342"/>
      <c r="AW342"/>
      <c r="AX342"/>
      <c r="AY342"/>
      <c r="AZ342"/>
      <c r="BA342"/>
      <c r="BB342"/>
      <c r="BC342"/>
      <c r="BD342"/>
      <c r="BE342"/>
      <c r="BF342"/>
      <c r="BG342"/>
      <c r="BH342"/>
      <c r="BI342"/>
      <c r="BJ342"/>
      <c r="BK342"/>
      <c r="BL342"/>
      <c r="BM342"/>
      <c r="BN342"/>
      <c r="BO342"/>
      <c r="BP342"/>
      <c r="BQ342"/>
      <c r="BR342"/>
      <c r="BS342"/>
      <c r="BT342"/>
      <c r="BU342"/>
      <c r="BV342"/>
      <c r="BW342"/>
      <c r="BX342"/>
      <c r="BY342"/>
      <c r="BZ342"/>
      <c r="CA342"/>
      <c r="CB342"/>
      <c r="CC342"/>
    </row>
    <row r="343" spans="1:81" x14ac:dyDescent="0.25">
      <c r="A343"/>
      <c r="B343"/>
      <c r="C343"/>
      <c r="D343"/>
      <c r="E343"/>
      <c r="F343"/>
      <c r="G343"/>
      <c r="H343"/>
      <c r="I343"/>
      <c r="J343"/>
      <c r="K343"/>
      <c r="L343"/>
      <c r="M343"/>
      <c r="N343"/>
      <c r="O343"/>
      <c r="P343"/>
      <c r="Q343"/>
      <c r="R343"/>
      <c r="S343"/>
      <c r="T343"/>
      <c r="U343"/>
      <c r="V343"/>
      <c r="W343"/>
      <c r="X343"/>
      <c r="Y343"/>
      <c r="Z343"/>
      <c r="AA343"/>
      <c r="AB343"/>
      <c r="AC343"/>
      <c r="AD343"/>
      <c r="AE343"/>
      <c r="AF343"/>
      <c r="AG343"/>
      <c r="AH343"/>
      <c r="AI343"/>
      <c r="AJ343"/>
      <c r="AK343"/>
      <c r="AL343"/>
      <c r="AM343"/>
      <c r="AN343"/>
      <c r="AO343"/>
      <c r="AP343"/>
      <c r="AQ343"/>
      <c r="AR343"/>
      <c r="AS343"/>
      <c r="AT343"/>
      <c r="AU343"/>
      <c r="AV343"/>
      <c r="AW343"/>
      <c r="AX343"/>
      <c r="AY343"/>
      <c r="AZ343"/>
      <c r="BA343"/>
      <c r="BB343"/>
      <c r="BC343"/>
      <c r="BD343"/>
      <c r="BE343"/>
      <c r="BF343"/>
      <c r="BG343"/>
      <c r="BH343"/>
      <c r="BI343"/>
      <c r="BJ343"/>
      <c r="BK343"/>
      <c r="BL343"/>
      <c r="BM343"/>
      <c r="BN343"/>
      <c r="BO343"/>
      <c r="BP343"/>
      <c r="BQ343"/>
      <c r="BR343"/>
      <c r="BS343"/>
      <c r="BT343"/>
      <c r="BU343"/>
      <c r="BV343"/>
      <c r="BW343"/>
      <c r="BX343"/>
      <c r="BY343"/>
      <c r="BZ343"/>
      <c r="CA343"/>
      <c r="CB343"/>
      <c r="CC343"/>
    </row>
    <row r="344" spans="1:81" x14ac:dyDescent="0.25">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c r="AI344"/>
      <c r="AJ344"/>
      <c r="AK344"/>
      <c r="AL344"/>
      <c r="AM344"/>
      <c r="AN344"/>
      <c r="AO344"/>
      <c r="AP344"/>
      <c r="AQ344"/>
      <c r="AR344"/>
      <c r="AS344"/>
      <c r="AT344"/>
      <c r="AU344"/>
      <c r="AV344"/>
      <c r="AW344"/>
      <c r="AX344"/>
      <c r="AY344"/>
      <c r="AZ344"/>
      <c r="BA344"/>
      <c r="BB344"/>
      <c r="BC344"/>
      <c r="BD344"/>
      <c r="BE344"/>
      <c r="BF344"/>
      <c r="BG344"/>
      <c r="BH344"/>
      <c r="BI344"/>
      <c r="BJ344"/>
      <c r="BK344"/>
      <c r="BL344"/>
      <c r="BM344"/>
      <c r="BN344"/>
      <c r="BO344"/>
      <c r="BP344"/>
      <c r="BQ344"/>
      <c r="BR344"/>
      <c r="BS344"/>
      <c r="BT344"/>
      <c r="BU344"/>
      <c r="BV344"/>
      <c r="BW344"/>
      <c r="BX344"/>
      <c r="BY344"/>
      <c r="BZ344"/>
      <c r="CA344"/>
      <c r="CB344"/>
      <c r="CC344"/>
    </row>
    <row r="345" spans="1:81" x14ac:dyDescent="0.25">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c r="AI345"/>
      <c r="AJ345"/>
      <c r="AK345"/>
      <c r="AL345"/>
      <c r="AM345"/>
      <c r="AN345"/>
      <c r="AO345"/>
      <c r="AP345"/>
      <c r="AQ345"/>
      <c r="AR345"/>
      <c r="AS345"/>
      <c r="AT345"/>
      <c r="AU345"/>
      <c r="AV345"/>
      <c r="AW345"/>
      <c r="AX345"/>
      <c r="AY345"/>
      <c r="AZ345"/>
      <c r="BA345"/>
      <c r="BB345"/>
      <c r="BC345"/>
      <c r="BD345"/>
      <c r="BE345"/>
      <c r="BF345"/>
      <c r="BG345"/>
      <c r="BH345"/>
      <c r="BI345"/>
      <c r="BJ345"/>
      <c r="BK345"/>
      <c r="BL345"/>
      <c r="BM345"/>
      <c r="BN345"/>
      <c r="BO345"/>
      <c r="BP345"/>
      <c r="BQ345"/>
      <c r="BR345"/>
      <c r="BS345"/>
      <c r="BT345"/>
      <c r="BU345"/>
      <c r="BV345"/>
      <c r="BW345"/>
      <c r="BX345"/>
      <c r="BY345"/>
      <c r="BZ345"/>
      <c r="CA345"/>
      <c r="CB345"/>
      <c r="CC345"/>
    </row>
    <row r="346" spans="1:81" x14ac:dyDescent="0.25">
      <c r="A346"/>
      <c r="B346"/>
      <c r="C346"/>
      <c r="D346"/>
      <c r="E346"/>
      <c r="F346"/>
      <c r="G346"/>
      <c r="H346"/>
      <c r="I346"/>
      <c r="J346"/>
      <c r="K346"/>
      <c r="L346"/>
      <c r="M346"/>
      <c r="N346"/>
      <c r="O346"/>
      <c r="P346"/>
      <c r="Q346"/>
      <c r="R346"/>
      <c r="S346"/>
      <c r="T346"/>
      <c r="U346"/>
      <c r="V346"/>
      <c r="W346"/>
      <c r="X346"/>
      <c r="Y346"/>
      <c r="Z346"/>
      <c r="AA346"/>
      <c r="AB346"/>
      <c r="AC346"/>
      <c r="AD346"/>
      <c r="AE346"/>
      <c r="AF346"/>
      <c r="AG346"/>
      <c r="AH346"/>
      <c r="AI346"/>
      <c r="AJ346"/>
      <c r="AK346"/>
      <c r="AL346"/>
      <c r="AM346"/>
      <c r="AN346"/>
      <c r="AO346"/>
      <c r="AP346"/>
      <c r="AQ346"/>
      <c r="AR346"/>
      <c r="AS346"/>
      <c r="AT346"/>
      <c r="AU346"/>
      <c r="AV346"/>
      <c r="AW346"/>
      <c r="AX346"/>
      <c r="AY346"/>
      <c r="AZ346"/>
      <c r="BA346"/>
      <c r="BB346"/>
      <c r="BC346"/>
      <c r="BD346"/>
      <c r="BE346"/>
      <c r="BF346"/>
      <c r="BG346"/>
      <c r="BH346"/>
      <c r="BI346"/>
      <c r="BJ346"/>
      <c r="BK346"/>
      <c r="BL346"/>
      <c r="BM346"/>
      <c r="BN346"/>
      <c r="BO346"/>
      <c r="BP346"/>
      <c r="BQ346"/>
      <c r="BR346"/>
      <c r="BS346"/>
      <c r="BT346"/>
      <c r="BU346"/>
      <c r="BV346"/>
      <c r="BW346"/>
      <c r="BX346"/>
      <c r="BY346"/>
      <c r="BZ346"/>
      <c r="CA346"/>
      <c r="CB346"/>
      <c r="CC346"/>
    </row>
    <row r="347" spans="1:81" x14ac:dyDescent="0.25">
      <c r="A347"/>
      <c r="B347"/>
      <c r="C347"/>
      <c r="D347"/>
      <c r="E347"/>
      <c r="F347"/>
      <c r="G347"/>
      <c r="H347"/>
      <c r="I347"/>
      <c r="J347"/>
      <c r="K347"/>
      <c r="L347"/>
      <c r="M347"/>
      <c r="N347"/>
      <c r="O347"/>
      <c r="P347"/>
      <c r="Q347"/>
      <c r="R347"/>
      <c r="S347"/>
      <c r="T347"/>
      <c r="U347"/>
      <c r="V347"/>
      <c r="W347"/>
      <c r="X347"/>
      <c r="Y347"/>
      <c r="Z347"/>
      <c r="AA347"/>
      <c r="AB347"/>
      <c r="AC347"/>
      <c r="AD347"/>
      <c r="AE347"/>
      <c r="AF347"/>
      <c r="AG347"/>
      <c r="AH347"/>
      <c r="AI347"/>
      <c r="AJ347"/>
      <c r="AK347"/>
      <c r="AL347"/>
      <c r="AM347"/>
      <c r="AN347"/>
      <c r="AO347"/>
      <c r="AP347"/>
      <c r="AQ347"/>
      <c r="AR347"/>
      <c r="AS347"/>
      <c r="AT347"/>
      <c r="AU347"/>
      <c r="AV347"/>
      <c r="AW347"/>
      <c r="AX347"/>
      <c r="AY347"/>
      <c r="AZ347"/>
      <c r="BA347"/>
      <c r="BB347"/>
      <c r="BC347"/>
      <c r="BD347"/>
      <c r="BE347"/>
      <c r="BF347"/>
      <c r="BG347"/>
      <c r="BH347"/>
      <c r="BI347"/>
      <c r="BJ347"/>
      <c r="BK347"/>
      <c r="BL347"/>
      <c r="BM347"/>
      <c r="BN347"/>
      <c r="BO347"/>
      <c r="BP347"/>
      <c r="BQ347"/>
      <c r="BR347"/>
      <c r="BS347"/>
      <c r="BT347"/>
      <c r="BU347"/>
      <c r="BV347"/>
      <c r="BW347"/>
      <c r="BX347"/>
      <c r="BY347"/>
      <c r="BZ347"/>
      <c r="CA347"/>
      <c r="CB347"/>
      <c r="CC347"/>
    </row>
    <row r="348" spans="1:81" x14ac:dyDescent="0.25">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c r="AI348"/>
      <c r="AJ348"/>
      <c r="AK348"/>
      <c r="AL348"/>
      <c r="AM348"/>
      <c r="AN348"/>
      <c r="AO348"/>
      <c r="AP348"/>
      <c r="AQ348"/>
      <c r="AR348"/>
      <c r="AS348"/>
      <c r="AT348"/>
      <c r="AU348"/>
      <c r="AV348"/>
      <c r="AW348"/>
      <c r="AX348"/>
      <c r="AY348"/>
      <c r="AZ348"/>
      <c r="BA348"/>
      <c r="BB348"/>
      <c r="BC348"/>
      <c r="BD348"/>
      <c r="BE348"/>
      <c r="BF348"/>
      <c r="BG348"/>
      <c r="BH348"/>
      <c r="BI348"/>
      <c r="BJ348"/>
      <c r="BK348"/>
      <c r="BL348"/>
      <c r="BM348"/>
      <c r="BN348"/>
      <c r="BO348"/>
      <c r="BP348"/>
      <c r="BQ348"/>
      <c r="BR348"/>
      <c r="BS348"/>
      <c r="BT348"/>
      <c r="BU348"/>
      <c r="BV348"/>
      <c r="BW348"/>
      <c r="BX348"/>
      <c r="BY348"/>
      <c r="BZ348"/>
      <c r="CA348"/>
      <c r="CB348"/>
      <c r="CC348"/>
    </row>
    <row r="349" spans="1:81" x14ac:dyDescent="0.25">
      <c r="A349"/>
      <c r="B349"/>
      <c r="C349"/>
      <c r="D349"/>
      <c r="E349"/>
      <c r="F349"/>
      <c r="G349"/>
      <c r="H349"/>
      <c r="I349"/>
      <c r="J349"/>
      <c r="K349"/>
      <c r="L349"/>
      <c r="M349"/>
      <c r="N349"/>
      <c r="O349"/>
      <c r="P349"/>
      <c r="Q349"/>
      <c r="R349"/>
      <c r="S349"/>
      <c r="T349"/>
      <c r="U349"/>
      <c r="V349"/>
      <c r="W349"/>
      <c r="X349"/>
      <c r="Y349"/>
      <c r="Z349"/>
      <c r="AA349"/>
      <c r="AB349"/>
      <c r="AC349"/>
      <c r="AD349"/>
      <c r="AE349"/>
      <c r="AF349"/>
      <c r="AG349"/>
      <c r="AH349"/>
      <c r="AI349"/>
      <c r="AJ349"/>
      <c r="AK349"/>
      <c r="AL349"/>
      <c r="AM349"/>
      <c r="AN349"/>
      <c r="AO349"/>
      <c r="AP349"/>
      <c r="AQ349"/>
      <c r="AR349"/>
      <c r="AS349"/>
      <c r="AT349"/>
      <c r="AU349"/>
      <c r="AV349"/>
      <c r="AW349"/>
      <c r="AX349"/>
      <c r="AY349"/>
      <c r="AZ349"/>
      <c r="BA349"/>
      <c r="BB349"/>
      <c r="BC349"/>
      <c r="BD349"/>
      <c r="BE349"/>
      <c r="BF349"/>
      <c r="BG349"/>
      <c r="BH349"/>
      <c r="BI349"/>
      <c r="BJ349"/>
      <c r="BK349"/>
      <c r="BL349"/>
      <c r="BM349"/>
      <c r="BN349"/>
      <c r="BO349"/>
      <c r="BP349"/>
      <c r="BQ349"/>
      <c r="BR349"/>
      <c r="BS349"/>
      <c r="BT349"/>
      <c r="BU349"/>
      <c r="BV349"/>
      <c r="BW349"/>
      <c r="BX349"/>
      <c r="BY349"/>
      <c r="BZ349"/>
      <c r="CA349"/>
      <c r="CB349"/>
      <c r="CC349"/>
    </row>
    <row r="350" spans="1:81" x14ac:dyDescent="0.25">
      <c r="A350"/>
      <c r="B350"/>
      <c r="C350"/>
      <c r="D350"/>
      <c r="E350"/>
      <c r="F350"/>
      <c r="G350"/>
      <c r="H350"/>
      <c r="I350"/>
      <c r="J350"/>
      <c r="K350"/>
      <c r="L350"/>
      <c r="M350"/>
      <c r="N350"/>
      <c r="O350"/>
      <c r="P350"/>
      <c r="Q350"/>
      <c r="R350"/>
      <c r="S350"/>
      <c r="T350"/>
      <c r="U350"/>
      <c r="V350"/>
      <c r="W350"/>
      <c r="X350"/>
      <c r="Y350"/>
      <c r="Z350"/>
      <c r="AA350"/>
      <c r="AB350"/>
      <c r="AC350"/>
      <c r="AD350"/>
      <c r="AE350"/>
      <c r="AF350"/>
      <c r="AG350"/>
      <c r="AH350"/>
      <c r="AI350"/>
      <c r="AJ350"/>
      <c r="AK350"/>
      <c r="AL350"/>
      <c r="AM350"/>
      <c r="AN350"/>
      <c r="AO350"/>
      <c r="AP350"/>
      <c r="AQ350"/>
      <c r="AR350"/>
      <c r="AS350"/>
      <c r="AT350"/>
      <c r="AU350"/>
      <c r="AV350"/>
      <c r="AW350"/>
      <c r="AX350"/>
      <c r="AY350"/>
      <c r="AZ350"/>
      <c r="BA350"/>
      <c r="BB350"/>
      <c r="BC350"/>
      <c r="BD350"/>
      <c r="BE350"/>
      <c r="BF350"/>
      <c r="BG350"/>
      <c r="BH350"/>
      <c r="BI350"/>
      <c r="BJ350"/>
      <c r="BK350"/>
      <c r="BL350"/>
      <c r="BM350"/>
      <c r="BN350"/>
      <c r="BO350"/>
      <c r="BP350"/>
      <c r="BQ350"/>
      <c r="BR350"/>
      <c r="BS350"/>
      <c r="BT350"/>
      <c r="BU350"/>
      <c r="BV350"/>
      <c r="BW350"/>
      <c r="BX350"/>
      <c r="BY350"/>
      <c r="BZ350"/>
      <c r="CA350"/>
      <c r="CB350"/>
      <c r="CC350"/>
    </row>
    <row r="351" spans="1:81" x14ac:dyDescent="0.25">
      <c r="A351"/>
      <c r="B351"/>
      <c r="C351"/>
      <c r="D351"/>
      <c r="E351"/>
      <c r="F351"/>
      <c r="G351"/>
      <c r="H351"/>
      <c r="I351"/>
      <c r="J351"/>
      <c r="K351"/>
      <c r="L351"/>
      <c r="M351"/>
      <c r="N351"/>
      <c r="O351"/>
      <c r="P351"/>
      <c r="Q351"/>
      <c r="R351"/>
      <c r="S351"/>
      <c r="T351"/>
      <c r="U351"/>
      <c r="V351"/>
      <c r="W351"/>
      <c r="X351"/>
      <c r="Y351"/>
      <c r="Z351"/>
      <c r="AA351"/>
      <c r="AB351"/>
      <c r="AC351"/>
      <c r="AD351"/>
      <c r="AE351"/>
      <c r="AF351"/>
      <c r="AG351"/>
      <c r="AH351"/>
      <c r="AI351"/>
      <c r="AJ351"/>
      <c r="AK351"/>
      <c r="AL351"/>
      <c r="AM351"/>
      <c r="AN351"/>
      <c r="AO351"/>
      <c r="AP351"/>
      <c r="AQ351"/>
      <c r="AR351"/>
      <c r="AS351"/>
      <c r="AT351"/>
      <c r="AU351"/>
      <c r="AV351"/>
      <c r="AW351"/>
      <c r="AX351"/>
      <c r="AY351"/>
      <c r="AZ351"/>
      <c r="BA351"/>
      <c r="BB351"/>
      <c r="BC351"/>
      <c r="BD351"/>
      <c r="BE351"/>
      <c r="BF351"/>
      <c r="BG351"/>
      <c r="BH351"/>
      <c r="BI351"/>
      <c r="BJ351"/>
      <c r="BK351"/>
      <c r="BL351"/>
      <c r="BM351"/>
      <c r="BN351"/>
      <c r="BO351"/>
      <c r="BP351"/>
      <c r="BQ351"/>
      <c r="BR351"/>
      <c r="BS351"/>
      <c r="BT351"/>
      <c r="BU351"/>
      <c r="BV351"/>
      <c r="BW351"/>
      <c r="BX351"/>
      <c r="BY351"/>
      <c r="BZ351"/>
      <c r="CA351"/>
      <c r="CB351"/>
      <c r="CC351"/>
    </row>
    <row r="352" spans="1:81" x14ac:dyDescent="0.25">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c r="AI352"/>
      <c r="AJ352"/>
      <c r="AK352"/>
      <c r="AL352"/>
      <c r="AM352"/>
      <c r="AN352"/>
      <c r="AO352"/>
      <c r="AP352"/>
      <c r="AQ352"/>
      <c r="AR352"/>
      <c r="AS352"/>
      <c r="AT352"/>
      <c r="AU352"/>
      <c r="AV352"/>
      <c r="AW352"/>
      <c r="AX352"/>
      <c r="AY352"/>
      <c r="AZ352"/>
      <c r="BA352"/>
      <c r="BB352"/>
      <c r="BC352"/>
      <c r="BD352"/>
      <c r="BE352"/>
      <c r="BF352"/>
      <c r="BG352"/>
      <c r="BH352"/>
      <c r="BI352"/>
      <c r="BJ352"/>
      <c r="BK352"/>
      <c r="BL352"/>
      <c r="BM352"/>
      <c r="BN352"/>
      <c r="BO352"/>
      <c r="BP352"/>
      <c r="BQ352"/>
      <c r="BR352"/>
      <c r="BS352"/>
      <c r="BT352"/>
      <c r="BU352"/>
      <c r="BV352"/>
      <c r="BW352"/>
      <c r="BX352"/>
      <c r="BY352"/>
      <c r="BZ352"/>
      <c r="CA352"/>
      <c r="CB352"/>
      <c r="CC352"/>
    </row>
    <row r="353" spans="1:81" x14ac:dyDescent="0.25">
      <c r="A353"/>
      <c r="B353"/>
      <c r="C353"/>
      <c r="D353"/>
      <c r="E353"/>
      <c r="F353"/>
      <c r="G353"/>
      <c r="H353"/>
      <c r="I353"/>
      <c r="J353"/>
      <c r="K353"/>
      <c r="L353"/>
      <c r="M353"/>
      <c r="N353"/>
      <c r="O353"/>
      <c r="P353"/>
      <c r="Q353"/>
      <c r="R353"/>
      <c r="S353"/>
      <c r="T353"/>
      <c r="U353"/>
      <c r="V353"/>
      <c r="W353"/>
      <c r="X353"/>
      <c r="Y353"/>
      <c r="Z353"/>
      <c r="AA353"/>
      <c r="AB353"/>
      <c r="AC353"/>
      <c r="AD353"/>
      <c r="AE353"/>
      <c r="AF353"/>
      <c r="AG353"/>
      <c r="AH353"/>
      <c r="AI353"/>
      <c r="AJ353"/>
      <c r="AK353"/>
      <c r="AL353"/>
      <c r="AM353"/>
      <c r="AN353"/>
      <c r="AO353"/>
      <c r="AP353"/>
      <c r="AQ353"/>
      <c r="AR353"/>
      <c r="AS353"/>
      <c r="AT353"/>
      <c r="AU353"/>
      <c r="AV353"/>
      <c r="AW353"/>
      <c r="AX353"/>
      <c r="AY353"/>
      <c r="AZ353"/>
      <c r="BA353"/>
      <c r="BB353"/>
      <c r="BC353"/>
      <c r="BD353"/>
      <c r="BE353"/>
      <c r="BF353"/>
      <c r="BG353"/>
      <c r="BH353"/>
      <c r="BI353"/>
      <c r="BJ353"/>
      <c r="BK353"/>
      <c r="BL353"/>
      <c r="BM353"/>
      <c r="BN353"/>
      <c r="BO353"/>
      <c r="BP353"/>
      <c r="BQ353"/>
      <c r="BR353"/>
      <c r="BS353"/>
      <c r="BT353"/>
      <c r="BU353"/>
      <c r="BV353"/>
      <c r="BW353"/>
      <c r="BX353"/>
      <c r="BY353"/>
      <c r="BZ353"/>
      <c r="CA353"/>
      <c r="CB353"/>
      <c r="CC353"/>
    </row>
    <row r="354" spans="1:81" x14ac:dyDescent="0.25">
      <c r="A354"/>
      <c r="B354"/>
      <c r="C354"/>
      <c r="D354"/>
      <c r="E354"/>
      <c r="F354"/>
      <c r="G354"/>
      <c r="H354"/>
      <c r="I354"/>
      <c r="J354"/>
      <c r="K354"/>
      <c r="L354"/>
      <c r="M354"/>
      <c r="N354"/>
      <c r="O354"/>
      <c r="P354"/>
      <c r="Q354"/>
      <c r="R354"/>
      <c r="S354"/>
      <c r="T354"/>
      <c r="U354"/>
      <c r="V354"/>
      <c r="W354"/>
      <c r="X354"/>
      <c r="Y354"/>
      <c r="Z354"/>
      <c r="AA354"/>
      <c r="AB354"/>
      <c r="AC354"/>
      <c r="AD354"/>
      <c r="AE354"/>
      <c r="AF354"/>
      <c r="AG354"/>
      <c r="AH354"/>
      <c r="AI354"/>
      <c r="AJ354"/>
      <c r="AK354"/>
      <c r="AL354"/>
      <c r="AM354"/>
      <c r="AN354"/>
      <c r="AO354"/>
      <c r="AP354"/>
      <c r="AQ354"/>
      <c r="AR354"/>
      <c r="AS354"/>
      <c r="AT354"/>
      <c r="AU354"/>
      <c r="AV354"/>
      <c r="AW354"/>
      <c r="AX354"/>
      <c r="AY354"/>
      <c r="AZ354"/>
      <c r="BA354"/>
      <c r="BB354"/>
      <c r="BC354"/>
      <c r="BD354"/>
      <c r="BE354"/>
      <c r="BF354"/>
      <c r="BG354"/>
      <c r="BH354"/>
      <c r="BI354"/>
      <c r="BJ354"/>
      <c r="BK354"/>
      <c r="BL354"/>
      <c r="BM354"/>
      <c r="BN354"/>
      <c r="BO354"/>
      <c r="BP354"/>
      <c r="BQ354"/>
      <c r="BR354"/>
      <c r="BS354"/>
      <c r="BT354"/>
      <c r="BU354"/>
      <c r="BV354"/>
      <c r="BW354"/>
      <c r="BX354"/>
      <c r="BY354"/>
      <c r="BZ354"/>
      <c r="CA354"/>
      <c r="CB354"/>
      <c r="CC354"/>
    </row>
    <row r="355" spans="1:81" x14ac:dyDescent="0.25">
      <c r="A355"/>
      <c r="B355"/>
      <c r="C355"/>
      <c r="D355"/>
      <c r="E355"/>
      <c r="F355"/>
      <c r="G355"/>
      <c r="H355"/>
      <c r="I355"/>
      <c r="J355"/>
      <c r="K355"/>
      <c r="L355"/>
      <c r="M355"/>
      <c r="N355"/>
      <c r="O355"/>
      <c r="P355"/>
      <c r="Q355"/>
      <c r="R355"/>
      <c r="S355"/>
      <c r="T355"/>
      <c r="U355"/>
      <c r="V355"/>
      <c r="W355"/>
      <c r="X355"/>
      <c r="Y355"/>
      <c r="Z355"/>
      <c r="AA355"/>
      <c r="AB355"/>
      <c r="AC355"/>
      <c r="AD355"/>
      <c r="AE355"/>
      <c r="AF355"/>
      <c r="AG355"/>
      <c r="AH355"/>
      <c r="AI355"/>
      <c r="AJ355"/>
      <c r="AK355"/>
      <c r="AL355"/>
      <c r="AM355"/>
      <c r="AN355"/>
      <c r="AO355"/>
      <c r="AP355"/>
      <c r="AQ355"/>
      <c r="AR355"/>
      <c r="AS355"/>
      <c r="AT355"/>
      <c r="AU355"/>
      <c r="AV355"/>
      <c r="AW355"/>
      <c r="AX355"/>
      <c r="AY355"/>
      <c r="AZ355"/>
      <c r="BA355"/>
      <c r="BB355"/>
      <c r="BC355"/>
      <c r="BD355"/>
      <c r="BE355"/>
      <c r="BF355"/>
      <c r="BG355"/>
      <c r="BH355"/>
      <c r="BI355"/>
      <c r="BJ355"/>
      <c r="BK355"/>
      <c r="BL355"/>
      <c r="BM355"/>
      <c r="BN355"/>
      <c r="BO355"/>
      <c r="BP355"/>
      <c r="BQ355"/>
      <c r="BR355"/>
      <c r="BS355"/>
      <c r="BT355"/>
      <c r="BU355"/>
      <c r="BV355"/>
      <c r="BW355"/>
      <c r="BX355"/>
      <c r="BY355"/>
      <c r="BZ355"/>
      <c r="CA355"/>
      <c r="CB355"/>
      <c r="CC355"/>
    </row>
    <row r="356" spans="1:81" x14ac:dyDescent="0.25">
      <c r="A356"/>
      <c r="B356"/>
      <c r="C356"/>
      <c r="D356"/>
      <c r="E356"/>
      <c r="F356"/>
      <c r="G356"/>
      <c r="H356"/>
      <c r="I356"/>
      <c r="J356"/>
      <c r="K356"/>
      <c r="L356"/>
      <c r="M356"/>
      <c r="N356"/>
      <c r="O356"/>
      <c r="P356"/>
      <c r="Q356"/>
      <c r="R356"/>
      <c r="S356"/>
      <c r="T356"/>
      <c r="U356"/>
      <c r="V356"/>
      <c r="W356"/>
      <c r="X356"/>
      <c r="Y356"/>
      <c r="Z356"/>
      <c r="AA356"/>
      <c r="AB356"/>
      <c r="AC356"/>
      <c r="AD356"/>
      <c r="AE356"/>
      <c r="AF356"/>
      <c r="AG356"/>
      <c r="AH356"/>
      <c r="AI356"/>
      <c r="AJ356"/>
      <c r="AK356"/>
      <c r="AL356"/>
      <c r="AM356"/>
      <c r="AN356"/>
      <c r="AO356"/>
      <c r="AP356"/>
      <c r="AQ356"/>
      <c r="AR356"/>
      <c r="AS356"/>
      <c r="AT356"/>
      <c r="AU356"/>
      <c r="AV356"/>
      <c r="AW356"/>
      <c r="AX356"/>
      <c r="AY356"/>
      <c r="AZ356"/>
      <c r="BA356"/>
      <c r="BB356"/>
      <c r="BC356"/>
      <c r="BD356"/>
      <c r="BE356"/>
      <c r="BF356"/>
      <c r="BG356"/>
      <c r="BH356"/>
      <c r="BI356"/>
      <c r="BJ356"/>
      <c r="BK356"/>
      <c r="BL356"/>
      <c r="BM356"/>
      <c r="BN356"/>
      <c r="BO356"/>
      <c r="BP356"/>
      <c r="BQ356"/>
      <c r="BR356"/>
      <c r="BS356"/>
      <c r="BT356"/>
      <c r="BU356"/>
      <c r="BV356"/>
      <c r="BW356"/>
      <c r="BX356"/>
      <c r="BY356"/>
      <c r="BZ356"/>
      <c r="CA356"/>
      <c r="CB356"/>
      <c r="CC356"/>
    </row>
    <row r="357" spans="1:81" x14ac:dyDescent="0.25">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c r="AI357"/>
      <c r="AJ357"/>
      <c r="AK357"/>
      <c r="AL357"/>
      <c r="AM357"/>
      <c r="AN357"/>
      <c r="AO357"/>
      <c r="AP357"/>
      <c r="AQ357"/>
      <c r="AR357"/>
      <c r="AS357"/>
      <c r="AT357"/>
      <c r="AU357"/>
      <c r="AV357"/>
      <c r="AW357"/>
      <c r="AX357"/>
      <c r="AY357"/>
      <c r="AZ357"/>
      <c r="BA357"/>
      <c r="BB357"/>
      <c r="BC357"/>
      <c r="BD357"/>
      <c r="BE357"/>
      <c r="BF357"/>
      <c r="BG357"/>
      <c r="BH357"/>
      <c r="BI357"/>
      <c r="BJ357"/>
      <c r="BK357"/>
      <c r="BL357"/>
      <c r="BM357"/>
      <c r="BN357"/>
      <c r="BO357"/>
      <c r="BP357"/>
      <c r="BQ357"/>
      <c r="BR357"/>
      <c r="BS357"/>
      <c r="BT357"/>
      <c r="BU357"/>
      <c r="BV357"/>
      <c r="BW357"/>
      <c r="BX357"/>
      <c r="BY357"/>
      <c r="BZ357"/>
      <c r="CA357"/>
      <c r="CB357"/>
      <c r="CC357"/>
    </row>
    <row r="358" spans="1:81" x14ac:dyDescent="0.25">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c r="AI358"/>
      <c r="AJ358"/>
      <c r="AK358"/>
      <c r="AL358"/>
      <c r="AM358"/>
      <c r="AN358"/>
      <c r="AO358"/>
      <c r="AP358"/>
      <c r="AQ358"/>
      <c r="AR358"/>
      <c r="AS358"/>
      <c r="AT358"/>
      <c r="AU358"/>
      <c r="AV358"/>
      <c r="AW358"/>
      <c r="AX358"/>
      <c r="AY358"/>
      <c r="AZ358"/>
      <c r="BA358"/>
      <c r="BB358"/>
      <c r="BC358"/>
      <c r="BD358"/>
      <c r="BE358"/>
      <c r="BF358"/>
      <c r="BG358"/>
      <c r="BH358"/>
      <c r="BI358"/>
      <c r="BJ358"/>
      <c r="BK358"/>
      <c r="BL358"/>
      <c r="BM358"/>
      <c r="BN358"/>
      <c r="BO358"/>
      <c r="BP358"/>
      <c r="BQ358"/>
      <c r="BR358"/>
      <c r="BS358"/>
      <c r="BT358"/>
      <c r="BU358"/>
      <c r="BV358"/>
      <c r="BW358"/>
      <c r="BX358"/>
      <c r="BY358"/>
      <c r="BZ358"/>
      <c r="CA358"/>
      <c r="CB358"/>
      <c r="CC358"/>
    </row>
    <row r="359" spans="1:81" x14ac:dyDescent="0.25">
      <c r="A359"/>
      <c r="B359"/>
      <c r="C359"/>
      <c r="D359"/>
      <c r="E359"/>
      <c r="F359"/>
      <c r="G359"/>
      <c r="H359"/>
      <c r="I359"/>
      <c r="J359"/>
      <c r="K359"/>
      <c r="L359"/>
      <c r="M359"/>
      <c r="N359"/>
      <c r="O359"/>
      <c r="P359"/>
      <c r="Q359"/>
      <c r="R359"/>
      <c r="S359"/>
      <c r="T359"/>
      <c r="U359"/>
      <c r="V359"/>
      <c r="W359"/>
      <c r="X359"/>
      <c r="Y359"/>
      <c r="Z359"/>
      <c r="AA359"/>
      <c r="AB359"/>
      <c r="AC359"/>
      <c r="AD359"/>
      <c r="AE359"/>
      <c r="AF359"/>
      <c r="AG359"/>
      <c r="AH359"/>
      <c r="AI359"/>
      <c r="AJ359"/>
      <c r="AK359"/>
      <c r="AL359"/>
      <c r="AM359"/>
      <c r="AN359"/>
      <c r="AO359"/>
      <c r="AP359"/>
      <c r="AQ359"/>
      <c r="AR359"/>
      <c r="AS359"/>
      <c r="AT359"/>
      <c r="AU359"/>
      <c r="AV359"/>
      <c r="AW359"/>
      <c r="AX359"/>
      <c r="AY359"/>
      <c r="AZ359"/>
      <c r="BA359"/>
      <c r="BB359"/>
      <c r="BC359"/>
      <c r="BD359"/>
      <c r="BE359"/>
      <c r="BF359"/>
      <c r="BG359"/>
      <c r="BH359"/>
      <c r="BI359"/>
      <c r="BJ359"/>
      <c r="BK359"/>
      <c r="BL359"/>
      <c r="BM359"/>
      <c r="BN359"/>
      <c r="BO359"/>
      <c r="BP359"/>
      <c r="BQ359"/>
      <c r="BR359"/>
      <c r="BS359"/>
      <c r="BT359"/>
      <c r="BU359"/>
      <c r="BV359"/>
      <c r="BW359"/>
      <c r="BX359"/>
      <c r="BY359"/>
      <c r="BZ359"/>
      <c r="CA359"/>
      <c r="CB359"/>
      <c r="CC359"/>
    </row>
    <row r="360" spans="1:81" x14ac:dyDescent="0.25">
      <c r="A360"/>
      <c r="B360"/>
      <c r="C360"/>
      <c r="D360"/>
      <c r="E360"/>
      <c r="F360"/>
      <c r="G360"/>
      <c r="H360"/>
      <c r="I360"/>
      <c r="J360"/>
      <c r="K360"/>
      <c r="L360"/>
      <c r="M360"/>
      <c r="N360"/>
      <c r="O360"/>
      <c r="P360"/>
      <c r="Q360"/>
      <c r="R360"/>
      <c r="S360"/>
      <c r="T360"/>
      <c r="U360"/>
      <c r="V360"/>
      <c r="W360"/>
      <c r="X360"/>
      <c r="Y360"/>
      <c r="Z360"/>
      <c r="AA360"/>
      <c r="AB360"/>
      <c r="AC360"/>
      <c r="AD360"/>
      <c r="AE360"/>
      <c r="AF360"/>
      <c r="AG360"/>
      <c r="AH360"/>
      <c r="AI360"/>
      <c r="AJ360"/>
      <c r="AK360"/>
      <c r="AL360"/>
      <c r="AM360"/>
      <c r="AN360"/>
      <c r="AO360"/>
      <c r="AP360"/>
      <c r="AQ360"/>
      <c r="AR360"/>
      <c r="AS360"/>
      <c r="AT360"/>
      <c r="AU360"/>
      <c r="AV360"/>
      <c r="AW360"/>
      <c r="AX360"/>
      <c r="AY360"/>
      <c r="AZ360"/>
      <c r="BA360"/>
      <c r="BB360"/>
      <c r="BC360"/>
      <c r="BD360"/>
      <c r="BE360"/>
      <c r="BF360"/>
      <c r="BG360"/>
      <c r="BH360"/>
      <c r="BI360"/>
      <c r="BJ360"/>
      <c r="BK360"/>
      <c r="BL360"/>
      <c r="BM360"/>
      <c r="BN360"/>
      <c r="BO360"/>
      <c r="BP360"/>
      <c r="BQ360"/>
      <c r="BR360"/>
      <c r="BS360"/>
      <c r="BT360"/>
      <c r="BU360"/>
      <c r="BV360"/>
      <c r="BW360"/>
      <c r="BX360"/>
      <c r="BY360"/>
      <c r="BZ360"/>
      <c r="CA360"/>
      <c r="CB360"/>
      <c r="CC360"/>
    </row>
    <row r="361" spans="1:81" x14ac:dyDescent="0.25">
      <c r="A361"/>
      <c r="B361"/>
      <c r="C361"/>
      <c r="D361"/>
      <c r="E361"/>
      <c r="F361"/>
      <c r="G361"/>
      <c r="H361"/>
      <c r="I361"/>
      <c r="J361"/>
      <c r="K361"/>
      <c r="L361"/>
      <c r="M361"/>
      <c r="N361"/>
      <c r="O361"/>
      <c r="P361"/>
      <c r="Q361"/>
      <c r="R361"/>
      <c r="S361"/>
      <c r="T361"/>
      <c r="U361"/>
      <c r="V361"/>
      <c r="W361"/>
      <c r="X361"/>
      <c r="Y361"/>
      <c r="Z361"/>
      <c r="AA361"/>
      <c r="AB361"/>
      <c r="AC361"/>
      <c r="AD361"/>
      <c r="AE361"/>
      <c r="AF361"/>
      <c r="AG361"/>
      <c r="AH361"/>
      <c r="AI361"/>
      <c r="AJ361"/>
      <c r="AK361"/>
      <c r="AL361"/>
      <c r="AM361"/>
      <c r="AN361"/>
      <c r="AO361"/>
      <c r="AP361"/>
      <c r="AQ361"/>
      <c r="AR361"/>
      <c r="AS361"/>
      <c r="AT361"/>
      <c r="AU361"/>
      <c r="AV361"/>
      <c r="AW361"/>
      <c r="AX361"/>
      <c r="AY361"/>
      <c r="AZ361"/>
      <c r="BA361"/>
      <c r="BB361"/>
      <c r="BC361"/>
      <c r="BD361"/>
      <c r="BE361"/>
      <c r="BF361"/>
      <c r="BG361"/>
      <c r="BH361"/>
      <c r="BI361"/>
      <c r="BJ361"/>
      <c r="BK361"/>
      <c r="BL361"/>
      <c r="BM361"/>
      <c r="BN361"/>
      <c r="BO361"/>
      <c r="BP361"/>
      <c r="BQ361"/>
      <c r="BR361"/>
      <c r="BS361"/>
      <c r="BT361"/>
      <c r="BU361"/>
      <c r="BV361"/>
      <c r="BW361"/>
      <c r="BX361"/>
      <c r="BY361"/>
      <c r="BZ361"/>
      <c r="CA361"/>
      <c r="CB361"/>
      <c r="CC361"/>
    </row>
    <row r="362" spans="1:81" x14ac:dyDescent="0.25">
      <c r="A362"/>
      <c r="B362"/>
      <c r="C362"/>
      <c r="D362"/>
      <c r="E362"/>
      <c r="F362"/>
      <c r="G362"/>
      <c r="H362"/>
      <c r="I362"/>
      <c r="J362"/>
      <c r="K362"/>
      <c r="L362"/>
      <c r="M362"/>
      <c r="N362"/>
      <c r="O362"/>
      <c r="P362"/>
      <c r="Q362"/>
      <c r="R362"/>
      <c r="S362"/>
      <c r="T362"/>
      <c r="U362"/>
      <c r="V362"/>
      <c r="W362"/>
      <c r="X362"/>
      <c r="Y362"/>
      <c r="Z362"/>
      <c r="AA362"/>
      <c r="AB362"/>
      <c r="AC362"/>
      <c r="AD362"/>
      <c r="AE362"/>
      <c r="AF362"/>
      <c r="AG362"/>
      <c r="AH362"/>
      <c r="AI362"/>
      <c r="AJ362"/>
      <c r="AK362"/>
      <c r="AL362"/>
      <c r="AM362"/>
      <c r="AN362"/>
      <c r="AO362"/>
      <c r="AP362"/>
      <c r="AQ362"/>
      <c r="AR362"/>
      <c r="AS362"/>
      <c r="AT362"/>
      <c r="AU362"/>
      <c r="AV362"/>
      <c r="AW362"/>
      <c r="AX362"/>
      <c r="AY362"/>
      <c r="AZ362"/>
      <c r="BA362"/>
      <c r="BB362"/>
      <c r="BC362"/>
      <c r="BD362"/>
      <c r="BE362"/>
      <c r="BF362"/>
      <c r="BG362"/>
      <c r="BH362"/>
      <c r="BI362"/>
      <c r="BJ362"/>
      <c r="BK362"/>
      <c r="BL362"/>
      <c r="BM362"/>
      <c r="BN362"/>
      <c r="BO362"/>
      <c r="BP362"/>
      <c r="BQ362"/>
      <c r="BR362"/>
      <c r="BS362"/>
      <c r="BT362"/>
      <c r="BU362"/>
      <c r="BV362"/>
      <c r="BW362"/>
      <c r="BX362"/>
      <c r="BY362"/>
      <c r="BZ362"/>
      <c r="CA362"/>
      <c r="CB362"/>
      <c r="CC362"/>
    </row>
    <row r="363" spans="1:81" x14ac:dyDescent="0.25">
      <c r="A363"/>
      <c r="B363"/>
      <c r="C363"/>
      <c r="D363"/>
      <c r="E363"/>
      <c r="F363"/>
      <c r="G363"/>
      <c r="H363"/>
      <c r="I363"/>
      <c r="J363"/>
      <c r="K363"/>
      <c r="L363"/>
      <c r="M363"/>
      <c r="N363"/>
      <c r="O363"/>
      <c r="P363"/>
      <c r="Q363"/>
      <c r="R363"/>
      <c r="S363"/>
      <c r="T363"/>
      <c r="U363"/>
      <c r="V363"/>
      <c r="W363"/>
      <c r="X363"/>
      <c r="Y363"/>
      <c r="Z363"/>
      <c r="AA363"/>
      <c r="AB363"/>
      <c r="AC363"/>
      <c r="AD363"/>
      <c r="AE363"/>
      <c r="AF363"/>
      <c r="AG363"/>
      <c r="AH363"/>
      <c r="AI363"/>
      <c r="AJ363"/>
      <c r="AK363"/>
      <c r="AL363"/>
      <c r="AM363"/>
      <c r="AN363"/>
      <c r="AO363"/>
      <c r="AP363"/>
      <c r="AQ363"/>
      <c r="AR363"/>
      <c r="AS363"/>
      <c r="AT363"/>
      <c r="AU363"/>
      <c r="AV363"/>
      <c r="AW363"/>
      <c r="AX363"/>
      <c r="AY363"/>
      <c r="AZ363"/>
      <c r="BA363"/>
      <c r="BB363"/>
      <c r="BC363"/>
      <c r="BD363"/>
      <c r="BE363"/>
      <c r="BF363"/>
      <c r="BG363"/>
      <c r="BH363"/>
      <c r="BI363"/>
      <c r="BJ363"/>
      <c r="BK363"/>
      <c r="BL363"/>
      <c r="BM363"/>
      <c r="BN363"/>
      <c r="BO363"/>
      <c r="BP363"/>
      <c r="BQ363"/>
      <c r="BR363"/>
      <c r="BS363"/>
      <c r="BT363"/>
      <c r="BU363"/>
      <c r="BV363"/>
      <c r="BW363"/>
      <c r="BX363"/>
      <c r="BY363"/>
      <c r="BZ363"/>
      <c r="CA363"/>
      <c r="CB363"/>
      <c r="CC363"/>
    </row>
    <row r="364" spans="1:81" x14ac:dyDescent="0.25">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c r="AI364"/>
      <c r="AJ364"/>
      <c r="AK364"/>
      <c r="AL364"/>
      <c r="AM364"/>
      <c r="AN364"/>
      <c r="AO364"/>
      <c r="AP364"/>
      <c r="AQ364"/>
      <c r="AR364"/>
      <c r="AS364"/>
      <c r="AT364"/>
      <c r="AU364"/>
      <c r="AV364"/>
      <c r="AW364"/>
      <c r="AX364"/>
      <c r="AY364"/>
      <c r="AZ364"/>
      <c r="BA364"/>
      <c r="BB364"/>
      <c r="BC364"/>
      <c r="BD364"/>
      <c r="BE364"/>
      <c r="BF364"/>
      <c r="BG364"/>
      <c r="BH364"/>
      <c r="BI364"/>
      <c r="BJ364"/>
      <c r="BK364"/>
      <c r="BL364"/>
      <c r="BM364"/>
      <c r="BN364"/>
      <c r="BO364"/>
      <c r="BP364"/>
      <c r="BQ364"/>
      <c r="BR364"/>
      <c r="BS364"/>
      <c r="BT364"/>
      <c r="BU364"/>
      <c r="BV364"/>
      <c r="BW364"/>
      <c r="BX364"/>
      <c r="BY364"/>
      <c r="BZ364"/>
      <c r="CA364"/>
      <c r="CB364"/>
      <c r="CC364"/>
    </row>
    <row r="365" spans="1:81" x14ac:dyDescent="0.25">
      <c r="A365"/>
      <c r="B365"/>
      <c r="C365"/>
      <c r="D365"/>
      <c r="E365"/>
      <c r="F365"/>
      <c r="G365"/>
      <c r="H365"/>
      <c r="I365"/>
      <c r="J365"/>
      <c r="K365"/>
      <c r="L365"/>
      <c r="M365"/>
      <c r="N365"/>
      <c r="O365"/>
      <c r="P365"/>
      <c r="Q365"/>
      <c r="R365"/>
      <c r="S365"/>
      <c r="T365"/>
      <c r="U365"/>
      <c r="V365"/>
      <c r="W365"/>
      <c r="X365"/>
      <c r="Y365"/>
      <c r="Z365"/>
      <c r="AA365"/>
      <c r="AB365"/>
      <c r="AC365"/>
      <c r="AD365"/>
      <c r="AE365"/>
      <c r="AF365"/>
      <c r="AG365"/>
      <c r="AH365"/>
      <c r="AI365"/>
      <c r="AJ365"/>
      <c r="AK365"/>
      <c r="AL365"/>
      <c r="AM365"/>
      <c r="AN365"/>
      <c r="AO365"/>
      <c r="AP365"/>
      <c r="AQ365"/>
      <c r="AR365"/>
      <c r="AS365"/>
      <c r="AT365"/>
      <c r="AU365"/>
      <c r="AV365"/>
      <c r="AW365"/>
      <c r="AX365"/>
      <c r="AY365"/>
      <c r="AZ365"/>
      <c r="BA365"/>
      <c r="BB365"/>
      <c r="BC365"/>
      <c r="BD365"/>
      <c r="BE365"/>
      <c r="BF365"/>
      <c r="BG365"/>
      <c r="BH365"/>
      <c r="BI365"/>
      <c r="BJ365"/>
      <c r="BK365"/>
      <c r="BL365"/>
      <c r="BM365"/>
      <c r="BN365"/>
      <c r="BO365"/>
      <c r="BP365"/>
      <c r="BQ365"/>
      <c r="BR365"/>
      <c r="BS365"/>
      <c r="BT365"/>
      <c r="BU365"/>
      <c r="BV365"/>
      <c r="BW365"/>
      <c r="BX365"/>
      <c r="BY365"/>
      <c r="BZ365"/>
      <c r="CA365"/>
      <c r="CB365"/>
      <c r="CC365"/>
    </row>
    <row r="366" spans="1:81" x14ac:dyDescent="0.25">
      <c r="A366"/>
      <c r="B366"/>
      <c r="C366"/>
      <c r="D366"/>
      <c r="E366"/>
      <c r="F366"/>
      <c r="G366"/>
      <c r="H366"/>
      <c r="I366"/>
      <c r="J366"/>
      <c r="K366"/>
      <c r="L366"/>
      <c r="M366"/>
      <c r="N366"/>
      <c r="O366"/>
      <c r="P366"/>
      <c r="Q366"/>
      <c r="R366"/>
      <c r="S366"/>
      <c r="T366"/>
      <c r="U366"/>
      <c r="V366"/>
      <c r="W366"/>
      <c r="X366"/>
      <c r="Y366"/>
      <c r="Z366"/>
      <c r="AA366"/>
      <c r="AB366"/>
      <c r="AC366"/>
      <c r="AD366"/>
      <c r="AE366"/>
      <c r="AF366"/>
      <c r="AG366"/>
      <c r="AH366"/>
      <c r="AI366"/>
      <c r="AJ366"/>
      <c r="AK366"/>
      <c r="AL366"/>
      <c r="AM366"/>
      <c r="AN366"/>
      <c r="AO366"/>
      <c r="AP366"/>
      <c r="AQ366"/>
      <c r="AR366"/>
      <c r="AS366"/>
      <c r="AT366"/>
      <c r="AU366"/>
      <c r="AV366"/>
      <c r="AW366"/>
      <c r="AX366"/>
      <c r="AY366"/>
      <c r="AZ366"/>
      <c r="BA366"/>
      <c r="BB366"/>
      <c r="BC366"/>
      <c r="BD366"/>
      <c r="BE366"/>
      <c r="BF366"/>
      <c r="BG366"/>
      <c r="BH366"/>
      <c r="BI366"/>
      <c r="BJ366"/>
      <c r="BK366"/>
      <c r="BL366"/>
      <c r="BM366"/>
      <c r="BN366"/>
      <c r="BO366"/>
      <c r="BP366"/>
      <c r="BQ366"/>
      <c r="BR366"/>
      <c r="BS366"/>
      <c r="BT366"/>
      <c r="BU366"/>
      <c r="BV366"/>
      <c r="BW366"/>
      <c r="BX366"/>
      <c r="BY366"/>
      <c r="BZ366"/>
      <c r="CA366"/>
      <c r="CB366"/>
      <c r="CC366"/>
    </row>
    <row r="367" spans="1:81" x14ac:dyDescent="0.25">
      <c r="A367"/>
      <c r="B367"/>
      <c r="C367"/>
      <c r="D367"/>
      <c r="E367"/>
      <c r="F367"/>
      <c r="G367"/>
      <c r="H367"/>
      <c r="I367"/>
      <c r="J367"/>
      <c r="K367"/>
      <c r="L367"/>
      <c r="M367"/>
      <c r="N367"/>
      <c r="O367"/>
      <c r="P367"/>
      <c r="Q367"/>
      <c r="R367"/>
      <c r="S367"/>
      <c r="T367"/>
      <c r="U367"/>
      <c r="V367"/>
      <c r="W367"/>
      <c r="X367"/>
      <c r="Y367"/>
      <c r="Z367"/>
      <c r="AA367"/>
      <c r="AB367"/>
      <c r="AC367"/>
      <c r="AD367"/>
      <c r="AE367"/>
      <c r="AF367"/>
      <c r="AG367"/>
      <c r="AH367"/>
      <c r="AI367"/>
      <c r="AJ367"/>
      <c r="AK367"/>
      <c r="AL367"/>
      <c r="AM367"/>
      <c r="AN367"/>
      <c r="AO367"/>
      <c r="AP367"/>
      <c r="AQ367"/>
      <c r="AR367"/>
      <c r="AS367"/>
      <c r="AT367"/>
      <c r="AU367"/>
      <c r="AV367"/>
      <c r="AW367"/>
      <c r="AX367"/>
      <c r="AY367"/>
      <c r="AZ367"/>
      <c r="BA367"/>
      <c r="BB367"/>
      <c r="BC367"/>
      <c r="BD367"/>
      <c r="BE367"/>
      <c r="BF367"/>
      <c r="BG367"/>
      <c r="BH367"/>
      <c r="BI367"/>
      <c r="BJ367"/>
      <c r="BK367"/>
      <c r="BL367"/>
      <c r="BM367"/>
      <c r="BN367"/>
      <c r="BO367"/>
      <c r="BP367"/>
      <c r="BQ367"/>
      <c r="BR367"/>
      <c r="BS367"/>
      <c r="BT367"/>
      <c r="BU367"/>
      <c r="BV367"/>
      <c r="BW367"/>
      <c r="BX367"/>
      <c r="BY367"/>
      <c r="BZ367"/>
      <c r="CA367"/>
      <c r="CB367"/>
      <c r="CC367"/>
    </row>
    <row r="368" spans="1:81" x14ac:dyDescent="0.25">
      <c r="A368"/>
      <c r="B368"/>
      <c r="C368"/>
      <c r="D368"/>
      <c r="E368"/>
      <c r="F368"/>
      <c r="G368"/>
      <c r="H368"/>
      <c r="I368"/>
      <c r="J368"/>
      <c r="K368"/>
      <c r="L368"/>
      <c r="M368"/>
      <c r="N368"/>
      <c r="O368"/>
      <c r="P368"/>
      <c r="Q368"/>
      <c r="R368"/>
      <c r="S368"/>
      <c r="T368"/>
      <c r="U368"/>
      <c r="V368"/>
      <c r="W368"/>
      <c r="X368"/>
      <c r="Y368"/>
      <c r="Z368"/>
      <c r="AA368"/>
      <c r="AB368"/>
      <c r="AC368"/>
      <c r="AD368"/>
      <c r="AE368"/>
      <c r="AF368"/>
      <c r="AG368"/>
      <c r="AH368"/>
      <c r="AI368"/>
      <c r="AJ368"/>
      <c r="AK368"/>
      <c r="AL368"/>
      <c r="AM368"/>
      <c r="AN368"/>
      <c r="AO368"/>
      <c r="AP368"/>
      <c r="AQ368"/>
      <c r="AR368"/>
      <c r="AS368"/>
      <c r="AT368"/>
      <c r="AU368"/>
      <c r="AV368"/>
      <c r="AW368"/>
      <c r="AX368"/>
      <c r="AY368"/>
      <c r="AZ368"/>
      <c r="BA368"/>
      <c r="BB368"/>
      <c r="BC368"/>
      <c r="BD368"/>
      <c r="BE368"/>
      <c r="BF368"/>
      <c r="BG368"/>
      <c r="BH368"/>
      <c r="BI368"/>
      <c r="BJ368"/>
      <c r="BK368"/>
      <c r="BL368"/>
      <c r="BM368"/>
      <c r="BN368"/>
      <c r="BO368"/>
      <c r="BP368"/>
      <c r="BQ368"/>
      <c r="BR368"/>
      <c r="BS368"/>
      <c r="BT368"/>
      <c r="BU368"/>
      <c r="BV368"/>
      <c r="BW368"/>
      <c r="BX368"/>
      <c r="BY368"/>
      <c r="BZ368"/>
      <c r="CA368"/>
      <c r="CB368"/>
      <c r="CC368"/>
    </row>
    <row r="369" spans="1:81" x14ac:dyDescent="0.25">
      <c r="A369"/>
      <c r="B369"/>
      <c r="C369"/>
      <c r="D369"/>
      <c r="E369"/>
      <c r="F369"/>
      <c r="G369"/>
      <c r="H369"/>
      <c r="I369"/>
      <c r="J369"/>
      <c r="K369"/>
      <c r="L369"/>
      <c r="M369"/>
      <c r="N369"/>
      <c r="O369"/>
      <c r="P369"/>
      <c r="Q369"/>
      <c r="R369"/>
      <c r="S369"/>
      <c r="T369"/>
      <c r="U369"/>
      <c r="V369"/>
      <c r="W369"/>
      <c r="X369"/>
      <c r="Y369"/>
      <c r="Z369"/>
      <c r="AA369"/>
      <c r="AB369"/>
      <c r="AC369"/>
      <c r="AD369"/>
      <c r="AE369"/>
      <c r="AF369"/>
      <c r="AG369"/>
      <c r="AH369"/>
      <c r="AI369"/>
      <c r="AJ369"/>
      <c r="AK369"/>
      <c r="AL369"/>
      <c r="AM369"/>
      <c r="AN369"/>
      <c r="AO369"/>
      <c r="AP369"/>
      <c r="AQ369"/>
      <c r="AR369"/>
      <c r="AS369"/>
      <c r="AT369"/>
      <c r="AU369"/>
      <c r="AV369"/>
      <c r="AW369"/>
      <c r="AX369"/>
      <c r="AY369"/>
      <c r="AZ369"/>
      <c r="BA369"/>
      <c r="BB369"/>
      <c r="BC369"/>
      <c r="BD369"/>
      <c r="BE369"/>
      <c r="BF369"/>
      <c r="BG369"/>
      <c r="BH369"/>
      <c r="BI369"/>
      <c r="BJ369"/>
      <c r="BK369"/>
      <c r="BL369"/>
      <c r="BM369"/>
      <c r="BN369"/>
      <c r="BO369"/>
      <c r="BP369"/>
      <c r="BQ369"/>
      <c r="BR369"/>
      <c r="BS369"/>
      <c r="BT369"/>
      <c r="BU369"/>
      <c r="BV369"/>
      <c r="BW369"/>
      <c r="BX369"/>
      <c r="BY369"/>
      <c r="BZ369"/>
      <c r="CA369"/>
      <c r="CB369"/>
      <c r="CC369"/>
    </row>
    <row r="370" spans="1:81" x14ac:dyDescent="0.25">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c r="AI370"/>
      <c r="AJ370"/>
      <c r="AK370"/>
      <c r="AL370"/>
      <c r="AM370"/>
      <c r="AN370"/>
      <c r="AO370"/>
      <c r="AP370"/>
      <c r="AQ370"/>
      <c r="AR370"/>
      <c r="AS370"/>
      <c r="AT370"/>
      <c r="AU370"/>
      <c r="AV370"/>
      <c r="AW370"/>
      <c r="AX370"/>
      <c r="AY370"/>
      <c r="AZ370"/>
      <c r="BA370"/>
      <c r="BB370"/>
      <c r="BC370"/>
      <c r="BD370"/>
      <c r="BE370"/>
      <c r="BF370"/>
      <c r="BG370"/>
      <c r="BH370"/>
      <c r="BI370"/>
      <c r="BJ370"/>
      <c r="BK370"/>
      <c r="BL370"/>
      <c r="BM370"/>
      <c r="BN370"/>
      <c r="BO370"/>
      <c r="BP370"/>
      <c r="BQ370"/>
      <c r="BR370"/>
      <c r="BS370"/>
      <c r="BT370"/>
      <c r="BU370"/>
      <c r="BV370"/>
      <c r="BW370"/>
      <c r="BX370"/>
      <c r="BY370"/>
      <c r="BZ370"/>
      <c r="CA370"/>
      <c r="CB370"/>
      <c r="CC370"/>
    </row>
    <row r="371" spans="1:81" x14ac:dyDescent="0.25">
      <c r="A371"/>
      <c r="B371"/>
      <c r="C371"/>
      <c r="D371"/>
      <c r="E371"/>
      <c r="F371"/>
      <c r="G371"/>
      <c r="H371"/>
      <c r="I371"/>
      <c r="J371"/>
      <c r="K371"/>
      <c r="L371"/>
      <c r="M371"/>
      <c r="N371"/>
      <c r="O371"/>
      <c r="P371"/>
      <c r="Q371"/>
      <c r="R371"/>
      <c r="S371"/>
      <c r="T371"/>
      <c r="U371"/>
      <c r="V371"/>
      <c r="W371"/>
      <c r="X371"/>
      <c r="Y371"/>
      <c r="Z371"/>
      <c r="AA371"/>
      <c r="AB371"/>
      <c r="AC371"/>
      <c r="AD371"/>
      <c r="AE371"/>
      <c r="AF371"/>
      <c r="AG371"/>
      <c r="AH371"/>
      <c r="AI371"/>
      <c r="AJ371"/>
      <c r="AK371"/>
      <c r="AL371"/>
      <c r="AM371"/>
      <c r="AN371"/>
      <c r="AO371"/>
      <c r="AP371"/>
      <c r="AQ371"/>
      <c r="AR371"/>
      <c r="AS371"/>
      <c r="AT371"/>
      <c r="AU371"/>
      <c r="AV371"/>
      <c r="AW371"/>
      <c r="AX371"/>
      <c r="AY371"/>
      <c r="AZ371"/>
      <c r="BA371"/>
      <c r="BB371"/>
      <c r="BC371"/>
      <c r="BD371"/>
      <c r="BE371"/>
      <c r="BF371"/>
      <c r="BG371"/>
      <c r="BH371"/>
      <c r="BI371"/>
      <c r="BJ371"/>
      <c r="BK371"/>
      <c r="BL371"/>
      <c r="BM371"/>
      <c r="BN371"/>
      <c r="BO371"/>
      <c r="BP371"/>
      <c r="BQ371"/>
      <c r="BR371"/>
      <c r="BS371"/>
      <c r="BT371"/>
      <c r="BU371"/>
      <c r="BV371"/>
      <c r="BW371"/>
      <c r="BX371"/>
      <c r="BY371"/>
      <c r="BZ371"/>
      <c r="CA371"/>
      <c r="CB371"/>
      <c r="CC371"/>
    </row>
    <row r="372" spans="1:81" x14ac:dyDescent="0.25">
      <c r="A372"/>
      <c r="B372"/>
      <c r="C372"/>
      <c r="D372"/>
      <c r="E372"/>
      <c r="F372"/>
      <c r="G372"/>
      <c r="H372"/>
      <c r="I372"/>
      <c r="J372"/>
      <c r="K372"/>
      <c r="L372"/>
      <c r="M372"/>
      <c r="N372"/>
      <c r="O372"/>
      <c r="P372"/>
      <c r="Q372"/>
      <c r="R372"/>
      <c r="S372"/>
      <c r="T372"/>
      <c r="U372"/>
      <c r="V372"/>
      <c r="W372"/>
      <c r="X372"/>
      <c r="Y372"/>
      <c r="Z372"/>
      <c r="AA372"/>
      <c r="AB372"/>
      <c r="AC372"/>
      <c r="AD372"/>
      <c r="AE372"/>
      <c r="AF372"/>
      <c r="AG372"/>
      <c r="AH372"/>
      <c r="AI372"/>
      <c r="AJ372"/>
      <c r="AK372"/>
      <c r="AL372"/>
      <c r="AM372"/>
      <c r="AN372"/>
      <c r="AO372"/>
      <c r="AP372"/>
      <c r="AQ372"/>
      <c r="AR372"/>
      <c r="AS372"/>
      <c r="AT372"/>
      <c r="AU372"/>
      <c r="AV372"/>
      <c r="AW372"/>
      <c r="AX372"/>
      <c r="AY372"/>
      <c r="AZ372"/>
      <c r="BA372"/>
      <c r="BB372"/>
      <c r="BC372"/>
      <c r="BD372"/>
      <c r="BE372"/>
      <c r="BF372"/>
      <c r="BG372"/>
      <c r="BH372"/>
      <c r="BI372"/>
      <c r="BJ372"/>
      <c r="BK372"/>
      <c r="BL372"/>
      <c r="BM372"/>
      <c r="BN372"/>
      <c r="BO372"/>
      <c r="BP372"/>
      <c r="BQ372"/>
      <c r="BR372"/>
      <c r="BS372"/>
      <c r="BT372"/>
      <c r="BU372"/>
      <c r="BV372"/>
      <c r="BW372"/>
      <c r="BX372"/>
      <c r="BY372"/>
      <c r="BZ372"/>
      <c r="CA372"/>
      <c r="CB372"/>
      <c r="CC372"/>
    </row>
    <row r="373" spans="1:81" x14ac:dyDescent="0.25">
      <c r="A373"/>
      <c r="B373"/>
      <c r="C373"/>
      <c r="D373"/>
      <c r="E373"/>
      <c r="F373"/>
      <c r="G373"/>
      <c r="H373"/>
      <c r="I373"/>
      <c r="J373"/>
      <c r="K373"/>
      <c r="L373"/>
      <c r="M373"/>
      <c r="N373"/>
      <c r="O373"/>
      <c r="P373"/>
      <c r="Q373"/>
      <c r="R373"/>
      <c r="S373"/>
      <c r="T373"/>
      <c r="U373"/>
      <c r="V373"/>
      <c r="W373"/>
      <c r="X373"/>
      <c r="Y373"/>
      <c r="Z373"/>
      <c r="AA373"/>
      <c r="AB373"/>
      <c r="AC373"/>
      <c r="AD373"/>
      <c r="AE373"/>
      <c r="AF373"/>
      <c r="AG373"/>
      <c r="AH373"/>
      <c r="AI373"/>
      <c r="AJ373"/>
      <c r="AK373"/>
      <c r="AL373"/>
      <c r="AM373"/>
      <c r="AN373"/>
      <c r="AO373"/>
      <c r="AP373"/>
      <c r="AQ373"/>
      <c r="AR373"/>
      <c r="AS373"/>
      <c r="AT373"/>
      <c r="AU373"/>
      <c r="AV373"/>
      <c r="AW373"/>
      <c r="AX373"/>
      <c r="AY373"/>
      <c r="AZ373"/>
      <c r="BA373"/>
      <c r="BB373"/>
      <c r="BC373"/>
      <c r="BD373"/>
      <c r="BE373"/>
      <c r="BF373"/>
      <c r="BG373"/>
      <c r="BH373"/>
      <c r="BI373"/>
      <c r="BJ373"/>
      <c r="BK373"/>
      <c r="BL373"/>
      <c r="BM373"/>
      <c r="BN373"/>
      <c r="BO373"/>
      <c r="BP373"/>
      <c r="BQ373"/>
      <c r="BR373"/>
      <c r="BS373"/>
      <c r="BT373"/>
      <c r="BU373"/>
      <c r="BV373"/>
      <c r="BW373"/>
      <c r="BX373"/>
      <c r="BY373"/>
      <c r="BZ373"/>
      <c r="CA373"/>
      <c r="CB373"/>
      <c r="CC373"/>
    </row>
    <row r="374" spans="1:81" x14ac:dyDescent="0.25">
      <c r="A374"/>
      <c r="B374"/>
      <c r="C374"/>
      <c r="D374"/>
      <c r="E374"/>
      <c r="F374"/>
      <c r="G374"/>
      <c r="H374"/>
      <c r="I374"/>
      <c r="J374"/>
      <c r="K374"/>
      <c r="L374"/>
      <c r="M374"/>
      <c r="N374"/>
      <c r="O374"/>
      <c r="P374"/>
      <c r="Q374"/>
      <c r="R374"/>
      <c r="S374"/>
      <c r="T374"/>
      <c r="U374"/>
      <c r="V374"/>
      <c r="W374"/>
      <c r="X374"/>
      <c r="Y374"/>
      <c r="Z374"/>
      <c r="AA374"/>
      <c r="AB374"/>
      <c r="AC374"/>
      <c r="AD374"/>
      <c r="AE374"/>
      <c r="AF374"/>
      <c r="AG374"/>
      <c r="AH374"/>
      <c r="AI374"/>
      <c r="AJ374"/>
      <c r="AK374"/>
      <c r="AL374"/>
      <c r="AM374"/>
      <c r="AN374"/>
      <c r="AO374"/>
      <c r="AP374"/>
      <c r="AQ374"/>
      <c r="AR374"/>
      <c r="AS374"/>
      <c r="AT374"/>
      <c r="AU374"/>
      <c r="AV374"/>
      <c r="AW374"/>
      <c r="AX374"/>
      <c r="AY374"/>
      <c r="AZ374"/>
      <c r="BA374"/>
      <c r="BB374"/>
      <c r="BC374"/>
      <c r="BD374"/>
      <c r="BE374"/>
      <c r="BF374"/>
      <c r="BG374"/>
      <c r="BH374"/>
      <c r="BI374"/>
      <c r="BJ374"/>
      <c r="BK374"/>
      <c r="BL374"/>
      <c r="BM374"/>
      <c r="BN374"/>
      <c r="BO374"/>
      <c r="BP374"/>
      <c r="BQ374"/>
      <c r="BR374"/>
      <c r="BS374"/>
      <c r="BT374"/>
      <c r="BU374"/>
      <c r="BV374"/>
      <c r="BW374"/>
      <c r="BX374"/>
      <c r="BY374"/>
      <c r="BZ374"/>
      <c r="CA374"/>
      <c r="CB374"/>
      <c r="CC374"/>
    </row>
    <row r="375" spans="1:81" x14ac:dyDescent="0.25">
      <c r="A375"/>
      <c r="B375"/>
      <c r="C375"/>
      <c r="D375"/>
      <c r="E375"/>
      <c r="F375"/>
      <c r="G375"/>
      <c r="H375"/>
      <c r="I375"/>
      <c r="J375"/>
      <c r="K375"/>
      <c r="L375"/>
      <c r="M375"/>
      <c r="N375"/>
      <c r="O375"/>
      <c r="P375"/>
      <c r="Q375"/>
      <c r="R375"/>
      <c r="S375"/>
      <c r="T375"/>
      <c r="U375"/>
      <c r="V375"/>
      <c r="W375"/>
      <c r="X375"/>
      <c r="Y375"/>
      <c r="Z375"/>
      <c r="AA375"/>
      <c r="AB375"/>
      <c r="AC375"/>
      <c r="AD375"/>
      <c r="AE375"/>
      <c r="AF375"/>
      <c r="AG375"/>
      <c r="AH375"/>
      <c r="AI375"/>
      <c r="AJ375"/>
      <c r="AK375"/>
      <c r="AL375"/>
      <c r="AM375"/>
      <c r="AN375"/>
      <c r="AO375"/>
      <c r="AP375"/>
      <c r="AQ375"/>
      <c r="AR375"/>
      <c r="AS375"/>
      <c r="AT375"/>
      <c r="AU375"/>
      <c r="AV375"/>
      <c r="AW375"/>
      <c r="AX375"/>
      <c r="AY375"/>
      <c r="AZ375"/>
      <c r="BA375"/>
      <c r="BB375"/>
      <c r="BC375"/>
      <c r="BD375"/>
      <c r="BE375"/>
      <c r="BF375"/>
      <c r="BG375"/>
      <c r="BH375"/>
      <c r="BI375"/>
      <c r="BJ375"/>
      <c r="BK375"/>
      <c r="BL375"/>
      <c r="BM375"/>
      <c r="BN375"/>
      <c r="BO375"/>
      <c r="BP375"/>
      <c r="BQ375"/>
      <c r="BR375"/>
      <c r="BS375"/>
      <c r="BT375"/>
      <c r="BU375"/>
      <c r="BV375"/>
      <c r="BW375"/>
      <c r="BX375"/>
      <c r="BY375"/>
      <c r="BZ375"/>
      <c r="CA375"/>
      <c r="CB375"/>
      <c r="CC375"/>
    </row>
    <row r="376" spans="1:81" x14ac:dyDescent="0.25">
      <c r="A376"/>
      <c r="B376"/>
      <c r="C376"/>
      <c r="D376"/>
      <c r="E376"/>
      <c r="F376"/>
      <c r="G376"/>
      <c r="H376"/>
      <c r="I376"/>
      <c r="J376"/>
      <c r="K376"/>
      <c r="L376"/>
      <c r="M376"/>
      <c r="N376"/>
      <c r="O376"/>
      <c r="P376"/>
      <c r="Q376"/>
      <c r="R376"/>
      <c r="S376"/>
      <c r="T376"/>
      <c r="U376"/>
      <c r="V376"/>
      <c r="W376"/>
      <c r="X376"/>
      <c r="Y376"/>
      <c r="Z376"/>
      <c r="AA376"/>
      <c r="AB376"/>
      <c r="AC376"/>
      <c r="AD376"/>
      <c r="AE376"/>
      <c r="AF376"/>
      <c r="AG376"/>
      <c r="AH376"/>
      <c r="AI376"/>
      <c r="AJ376"/>
      <c r="AK376"/>
      <c r="AL376"/>
      <c r="AM376"/>
      <c r="AN376"/>
      <c r="AO376"/>
      <c r="AP376"/>
      <c r="AQ376"/>
      <c r="AR376"/>
      <c r="AS376"/>
      <c r="AT376"/>
      <c r="AU376"/>
      <c r="AV376"/>
      <c r="AW376"/>
      <c r="AX376"/>
      <c r="AY376"/>
      <c r="AZ376"/>
      <c r="BA376"/>
      <c r="BB376"/>
      <c r="BC376"/>
      <c r="BD376"/>
      <c r="BE376"/>
      <c r="BF376"/>
      <c r="BG376"/>
      <c r="BH376"/>
      <c r="BI376"/>
      <c r="BJ376"/>
      <c r="BK376"/>
      <c r="BL376"/>
      <c r="BM376"/>
      <c r="BN376"/>
      <c r="BO376"/>
      <c r="BP376"/>
      <c r="BQ376"/>
      <c r="BR376"/>
      <c r="BS376"/>
      <c r="BT376"/>
      <c r="BU376"/>
      <c r="BV376"/>
      <c r="BW376"/>
      <c r="BX376"/>
      <c r="BY376"/>
      <c r="BZ376"/>
      <c r="CA376"/>
      <c r="CB376"/>
      <c r="CC376"/>
    </row>
    <row r="377" spans="1:81" x14ac:dyDescent="0.25">
      <c r="A377"/>
      <c r="B377"/>
      <c r="C377"/>
      <c r="D377"/>
      <c r="E377"/>
      <c r="F377"/>
      <c r="G377"/>
      <c r="H377"/>
      <c r="I377"/>
      <c r="J377"/>
      <c r="K377"/>
      <c r="L377"/>
      <c r="M377"/>
      <c r="N377"/>
      <c r="O377"/>
      <c r="P377"/>
      <c r="Q377"/>
      <c r="R377"/>
      <c r="S377"/>
      <c r="T377"/>
      <c r="U377"/>
      <c r="V377"/>
      <c r="W377"/>
      <c r="X377"/>
      <c r="Y377"/>
      <c r="Z377"/>
      <c r="AA377"/>
      <c r="AB377"/>
      <c r="AC377"/>
      <c r="AD377"/>
      <c r="AE377"/>
      <c r="AF377"/>
      <c r="AG377"/>
      <c r="AH377"/>
      <c r="AI377"/>
      <c r="AJ377"/>
      <c r="AK377"/>
      <c r="AL377"/>
      <c r="AM377"/>
      <c r="AN377"/>
      <c r="AO377"/>
      <c r="AP377"/>
      <c r="AQ377"/>
      <c r="AR377"/>
      <c r="AS377"/>
      <c r="AT377"/>
      <c r="AU377"/>
      <c r="AV377"/>
      <c r="AW377"/>
      <c r="AX377"/>
      <c r="AY377"/>
      <c r="AZ377"/>
      <c r="BA377"/>
      <c r="BB377"/>
      <c r="BC377"/>
      <c r="BD377"/>
      <c r="BE377"/>
      <c r="BF377"/>
      <c r="BG377"/>
      <c r="BH377"/>
      <c r="BI377"/>
      <c r="BJ377"/>
      <c r="BK377"/>
      <c r="BL377"/>
      <c r="BM377"/>
      <c r="BN377"/>
      <c r="BO377"/>
      <c r="BP377"/>
      <c r="BQ377"/>
      <c r="BR377"/>
      <c r="BS377"/>
      <c r="BT377"/>
      <c r="BU377"/>
      <c r="BV377"/>
      <c r="BW377"/>
      <c r="BX377"/>
      <c r="BY377"/>
      <c r="BZ377"/>
      <c r="CA377"/>
      <c r="CB377"/>
      <c r="CC377"/>
    </row>
    <row r="378" spans="1:81" x14ac:dyDescent="0.25">
      <c r="A378"/>
      <c r="B378"/>
      <c r="C378"/>
      <c r="D378"/>
      <c r="E378"/>
      <c r="F378"/>
      <c r="G378"/>
      <c r="H378"/>
      <c r="I378"/>
      <c r="J378"/>
      <c r="K378"/>
      <c r="L378"/>
      <c r="M378"/>
      <c r="N378"/>
      <c r="O378"/>
      <c r="P378"/>
      <c r="Q378"/>
      <c r="R378"/>
      <c r="S378"/>
      <c r="T378"/>
      <c r="U378"/>
      <c r="V378"/>
      <c r="W378"/>
      <c r="X378"/>
      <c r="Y378"/>
      <c r="Z378"/>
      <c r="AA378"/>
      <c r="AB378"/>
      <c r="AC378"/>
      <c r="AD378"/>
      <c r="AE378"/>
      <c r="AF378"/>
      <c r="AG378"/>
      <c r="AH378"/>
      <c r="AI378"/>
      <c r="AJ378"/>
      <c r="AK378"/>
      <c r="AL378"/>
      <c r="AM378"/>
      <c r="AN378"/>
      <c r="AO378"/>
      <c r="AP378"/>
      <c r="AQ378"/>
      <c r="AR378"/>
      <c r="AS378"/>
      <c r="AT378"/>
      <c r="AU378"/>
      <c r="AV378"/>
      <c r="AW378"/>
      <c r="AX378"/>
      <c r="AY378"/>
      <c r="AZ378"/>
      <c r="BA378"/>
      <c r="BB378"/>
      <c r="BC378"/>
      <c r="BD378"/>
      <c r="BE378"/>
      <c r="BF378"/>
      <c r="BG378"/>
      <c r="BH378"/>
      <c r="BI378"/>
      <c r="BJ378"/>
      <c r="BK378"/>
      <c r="BL378"/>
      <c r="BM378"/>
      <c r="BN378"/>
      <c r="BO378"/>
      <c r="BP378"/>
      <c r="BQ378"/>
      <c r="BR378"/>
      <c r="BS378"/>
      <c r="BT378"/>
      <c r="BU378"/>
      <c r="BV378"/>
      <c r="BW378"/>
      <c r="BX378"/>
      <c r="BY378"/>
      <c r="BZ378"/>
      <c r="CA378"/>
      <c r="CB378"/>
      <c r="CC378"/>
    </row>
    <row r="379" spans="1:81" x14ac:dyDescent="0.25">
      <c r="A379"/>
      <c r="B379"/>
      <c r="C379"/>
      <c r="D379"/>
      <c r="E379"/>
      <c r="F379"/>
      <c r="G379"/>
      <c r="H379"/>
      <c r="I379"/>
      <c r="J379"/>
      <c r="K379"/>
      <c r="L379"/>
      <c r="M379"/>
      <c r="N379"/>
      <c r="O379"/>
      <c r="P379"/>
      <c r="Q379"/>
      <c r="R379"/>
      <c r="S379"/>
      <c r="T379"/>
      <c r="U379"/>
      <c r="V379"/>
      <c r="W379"/>
      <c r="X379"/>
      <c r="Y379"/>
      <c r="Z379"/>
      <c r="AA379"/>
      <c r="AB379"/>
      <c r="AC379"/>
      <c r="AD379"/>
      <c r="AE379"/>
      <c r="AF379"/>
      <c r="AG379"/>
      <c r="AH379"/>
      <c r="AI379"/>
      <c r="AJ379"/>
      <c r="AK379"/>
      <c r="AL379"/>
      <c r="AM379"/>
      <c r="AN379"/>
      <c r="AO379"/>
      <c r="AP379"/>
      <c r="AQ379"/>
      <c r="AR379"/>
      <c r="AS379"/>
      <c r="AT379"/>
      <c r="AU379"/>
      <c r="AV379"/>
      <c r="AW379"/>
      <c r="AX379"/>
      <c r="AY379"/>
      <c r="AZ379"/>
      <c r="BA379"/>
      <c r="BB379"/>
      <c r="BC379"/>
      <c r="BD379"/>
      <c r="BE379"/>
      <c r="BF379"/>
      <c r="BG379"/>
      <c r="BH379"/>
      <c r="BI379"/>
      <c r="BJ379"/>
      <c r="BK379"/>
      <c r="BL379"/>
      <c r="BM379"/>
      <c r="BN379"/>
      <c r="BO379"/>
      <c r="BP379"/>
      <c r="BQ379"/>
      <c r="BR379"/>
      <c r="BS379"/>
      <c r="BT379"/>
      <c r="BU379"/>
      <c r="BV379"/>
      <c r="BW379"/>
      <c r="BX379"/>
      <c r="BY379"/>
      <c r="BZ379"/>
      <c r="CA379"/>
      <c r="CB379"/>
      <c r="CC379"/>
    </row>
    <row r="380" spans="1:81" x14ac:dyDescent="0.25">
      <c r="A380"/>
      <c r="B380"/>
      <c r="C380"/>
      <c r="D380"/>
      <c r="E380"/>
      <c r="F380"/>
      <c r="G380"/>
      <c r="H380"/>
      <c r="I380"/>
      <c r="J380"/>
      <c r="K380"/>
      <c r="L380"/>
      <c r="M380"/>
      <c r="N380"/>
      <c r="O380"/>
      <c r="P380"/>
      <c r="Q380"/>
      <c r="R380"/>
      <c r="S380"/>
      <c r="T380"/>
      <c r="U380"/>
      <c r="V380"/>
      <c r="W380"/>
      <c r="X380"/>
      <c r="Y380"/>
      <c r="Z380"/>
      <c r="AA380"/>
      <c r="AB380"/>
      <c r="AC380"/>
      <c r="AD380"/>
      <c r="AE380"/>
      <c r="AF380"/>
      <c r="AG380"/>
      <c r="AH380"/>
      <c r="AI380"/>
      <c r="AJ380"/>
      <c r="AK380"/>
      <c r="AL380"/>
      <c r="AM380"/>
      <c r="AN380"/>
      <c r="AO380"/>
      <c r="AP380"/>
      <c r="AQ380"/>
      <c r="AR380"/>
      <c r="AS380"/>
      <c r="AT380"/>
      <c r="AU380"/>
      <c r="AV380"/>
      <c r="AW380"/>
      <c r="AX380"/>
      <c r="AY380"/>
      <c r="AZ380"/>
      <c r="BA380"/>
      <c r="BB380"/>
      <c r="BC380"/>
      <c r="BD380"/>
      <c r="BE380"/>
      <c r="BF380"/>
      <c r="BG380"/>
      <c r="BH380"/>
      <c r="BI380"/>
      <c r="BJ380"/>
      <c r="BK380"/>
      <c r="BL380"/>
      <c r="BM380"/>
      <c r="BN380"/>
      <c r="BO380"/>
      <c r="BP380"/>
      <c r="BQ380"/>
      <c r="BR380"/>
      <c r="BS380"/>
      <c r="BT380"/>
      <c r="BU380"/>
      <c r="BV380"/>
      <c r="BW380"/>
      <c r="BX380"/>
      <c r="BY380"/>
      <c r="BZ380"/>
      <c r="CA380"/>
      <c r="CB380"/>
      <c r="CC380"/>
    </row>
    <row r="381" spans="1:81" x14ac:dyDescent="0.25">
      <c r="A381"/>
      <c r="B381"/>
      <c r="C381"/>
      <c r="D381"/>
      <c r="E381"/>
      <c r="F381"/>
      <c r="G381"/>
      <c r="H381"/>
      <c r="I381"/>
      <c r="J381"/>
      <c r="K381"/>
      <c r="L381"/>
      <c r="M381"/>
      <c r="N381"/>
      <c r="O381"/>
      <c r="P381"/>
      <c r="Q381"/>
      <c r="R381"/>
      <c r="S381"/>
      <c r="T381"/>
      <c r="U381"/>
      <c r="V381"/>
      <c r="W381"/>
      <c r="X381"/>
      <c r="Y381"/>
      <c r="Z381"/>
      <c r="AA381"/>
      <c r="AB381"/>
      <c r="AC381"/>
      <c r="AD381"/>
      <c r="AE381"/>
      <c r="AF381"/>
      <c r="AG381"/>
      <c r="AH381"/>
      <c r="AI381"/>
      <c r="AJ381"/>
      <c r="AK381"/>
      <c r="AL381"/>
      <c r="AM381"/>
      <c r="AN381"/>
      <c r="AO381"/>
      <c r="AP381"/>
      <c r="AQ381"/>
      <c r="AR381"/>
      <c r="AS381"/>
      <c r="AT381"/>
      <c r="AU381"/>
      <c r="AV381"/>
      <c r="AW381"/>
      <c r="AX381"/>
      <c r="AY381"/>
      <c r="AZ381"/>
      <c r="BA381"/>
      <c r="BB381"/>
      <c r="BC381"/>
      <c r="BD381"/>
      <c r="BE381"/>
      <c r="BF381"/>
      <c r="BG381"/>
      <c r="BH381"/>
      <c r="BI381"/>
      <c r="BJ381"/>
      <c r="BK381"/>
      <c r="BL381"/>
      <c r="BM381"/>
      <c r="BN381"/>
      <c r="BO381"/>
      <c r="BP381"/>
      <c r="BQ381"/>
      <c r="BR381"/>
      <c r="BS381"/>
      <c r="BT381"/>
      <c r="BU381"/>
      <c r="BV381"/>
      <c r="BW381"/>
      <c r="BX381"/>
      <c r="BY381"/>
      <c r="BZ381"/>
      <c r="CA381"/>
      <c r="CB381"/>
      <c r="CC381"/>
    </row>
    <row r="382" spans="1:81" x14ac:dyDescent="0.25">
      <c r="A382"/>
      <c r="B382"/>
      <c r="C382"/>
      <c r="D382"/>
      <c r="E382"/>
      <c r="F382"/>
      <c r="G382"/>
      <c r="H382"/>
      <c r="I382"/>
      <c r="J382"/>
      <c r="K382"/>
      <c r="L382"/>
      <c r="M382"/>
      <c r="N382"/>
      <c r="O382"/>
      <c r="P382"/>
      <c r="Q382"/>
      <c r="R382"/>
      <c r="S382"/>
      <c r="T382"/>
      <c r="U382"/>
      <c r="V382"/>
      <c r="W382"/>
      <c r="X382"/>
      <c r="Y382"/>
      <c r="Z382"/>
      <c r="AA382"/>
      <c r="AB382"/>
      <c r="AC382"/>
      <c r="AD382"/>
      <c r="AE382"/>
      <c r="AF382"/>
      <c r="AG382"/>
      <c r="AH382"/>
      <c r="AI382"/>
      <c r="AJ382"/>
      <c r="AK382"/>
      <c r="AL382"/>
      <c r="AM382"/>
      <c r="AN382"/>
      <c r="AO382"/>
      <c r="AP382"/>
      <c r="AQ382"/>
      <c r="AR382"/>
      <c r="AS382"/>
      <c r="AT382"/>
      <c r="AU382"/>
      <c r="AV382"/>
      <c r="AW382"/>
      <c r="AX382"/>
      <c r="AY382"/>
      <c r="AZ382"/>
      <c r="BA382"/>
      <c r="BB382"/>
      <c r="BC382"/>
      <c r="BD382"/>
      <c r="BE382"/>
      <c r="BF382"/>
      <c r="BG382"/>
      <c r="BH382"/>
      <c r="BI382"/>
      <c r="BJ382"/>
      <c r="BK382"/>
      <c r="BL382"/>
      <c r="BM382"/>
      <c r="BN382"/>
      <c r="BO382"/>
      <c r="BP382"/>
      <c r="BQ382"/>
      <c r="BR382"/>
      <c r="BS382"/>
      <c r="BT382"/>
      <c r="BU382"/>
      <c r="BV382"/>
      <c r="BW382"/>
      <c r="BX382"/>
      <c r="BY382"/>
      <c r="BZ382"/>
      <c r="CA382"/>
      <c r="CB382"/>
      <c r="CC382"/>
    </row>
    <row r="383" spans="1:81" x14ac:dyDescent="0.25">
      <c r="A383"/>
      <c r="B383"/>
      <c r="C383"/>
      <c r="D383"/>
      <c r="E383"/>
      <c r="F383"/>
      <c r="G383"/>
      <c r="H383"/>
      <c r="I383"/>
      <c r="J383"/>
      <c r="K383"/>
      <c r="L383"/>
      <c r="M383"/>
      <c r="N383"/>
      <c r="O383"/>
      <c r="P383"/>
      <c r="Q383"/>
      <c r="R383"/>
      <c r="S383"/>
      <c r="T383"/>
      <c r="U383"/>
      <c r="V383"/>
      <c r="W383"/>
      <c r="X383"/>
      <c r="Y383"/>
      <c r="Z383"/>
      <c r="AA383"/>
      <c r="AB383"/>
      <c r="AC383"/>
      <c r="AD383"/>
      <c r="AE383"/>
      <c r="AF383"/>
      <c r="AG383"/>
      <c r="AH383"/>
      <c r="AI383"/>
      <c r="AJ383"/>
      <c r="AK383"/>
      <c r="AL383"/>
      <c r="AM383"/>
      <c r="AN383"/>
      <c r="AO383"/>
      <c r="AP383"/>
      <c r="AQ383"/>
      <c r="AR383"/>
      <c r="AS383"/>
      <c r="AT383"/>
      <c r="AU383"/>
      <c r="AV383"/>
      <c r="AW383"/>
      <c r="AX383"/>
      <c r="AY383"/>
      <c r="AZ383"/>
      <c r="BA383"/>
      <c r="BB383"/>
      <c r="BC383"/>
      <c r="BD383"/>
      <c r="BE383"/>
      <c r="BF383"/>
      <c r="BG383"/>
      <c r="BH383"/>
      <c r="BI383"/>
      <c r="BJ383"/>
      <c r="BK383"/>
      <c r="BL383"/>
      <c r="BM383"/>
      <c r="BN383"/>
      <c r="BO383"/>
      <c r="BP383"/>
      <c r="BQ383"/>
      <c r="BR383"/>
      <c r="BS383"/>
      <c r="BT383"/>
      <c r="BU383"/>
      <c r="BV383"/>
      <c r="BW383"/>
      <c r="BX383"/>
      <c r="BY383"/>
      <c r="BZ383"/>
      <c r="CA383"/>
      <c r="CB383"/>
      <c r="CC383"/>
    </row>
    <row r="384" spans="1:81" x14ac:dyDescent="0.25">
      <c r="A384"/>
      <c r="B384"/>
      <c r="C384"/>
      <c r="D384"/>
      <c r="E384"/>
      <c r="F384"/>
      <c r="G384"/>
      <c r="H384"/>
      <c r="I384"/>
      <c r="J384"/>
      <c r="K384"/>
      <c r="L384"/>
      <c r="M384"/>
      <c r="N384"/>
      <c r="O384"/>
      <c r="P384"/>
      <c r="Q384"/>
      <c r="R384"/>
      <c r="S384"/>
      <c r="T384"/>
      <c r="U384"/>
      <c r="V384"/>
      <c r="W384"/>
      <c r="X384"/>
      <c r="Y384"/>
      <c r="Z384"/>
      <c r="AA384"/>
      <c r="AB384"/>
      <c r="AC384"/>
      <c r="AD384"/>
      <c r="AE384"/>
      <c r="AF384"/>
      <c r="AG384"/>
      <c r="AH384"/>
      <c r="AI384"/>
      <c r="AJ384"/>
      <c r="AK384"/>
      <c r="AL384"/>
      <c r="AM384"/>
      <c r="AN384"/>
      <c r="AO384"/>
      <c r="AP384"/>
      <c r="AQ384"/>
      <c r="AR384"/>
      <c r="AS384"/>
      <c r="AT384"/>
      <c r="AU384"/>
      <c r="AV384"/>
      <c r="AW384"/>
      <c r="AX384"/>
      <c r="AY384"/>
      <c r="AZ384"/>
      <c r="BA384"/>
      <c r="BB384"/>
      <c r="BC384"/>
      <c r="BD384"/>
      <c r="BE384"/>
      <c r="BF384"/>
      <c r="BG384"/>
      <c r="BH384"/>
      <c r="BI384"/>
      <c r="BJ384"/>
      <c r="BK384"/>
      <c r="BL384"/>
      <c r="BM384"/>
      <c r="BN384"/>
      <c r="BO384"/>
      <c r="BP384"/>
      <c r="BQ384"/>
      <c r="BR384"/>
      <c r="BS384"/>
      <c r="BT384"/>
      <c r="BU384"/>
      <c r="BV384"/>
      <c r="BW384"/>
      <c r="BX384"/>
      <c r="BY384"/>
      <c r="BZ384"/>
      <c r="CA384"/>
      <c r="CB384"/>
      <c r="CC384"/>
    </row>
    <row r="385" spans="1:81" x14ac:dyDescent="0.25">
      <c r="A385"/>
      <c r="B385"/>
      <c r="C385"/>
      <c r="D385"/>
      <c r="E385"/>
      <c r="F385"/>
      <c r="G385"/>
      <c r="H385"/>
      <c r="I385"/>
      <c r="J385"/>
      <c r="K385"/>
      <c r="L385"/>
      <c r="M385"/>
      <c r="N385"/>
      <c r="O385"/>
      <c r="P385"/>
      <c r="Q385"/>
      <c r="R385"/>
      <c r="S385"/>
      <c r="T385"/>
      <c r="U385"/>
      <c r="V385"/>
      <c r="W385"/>
      <c r="X385"/>
      <c r="Y385"/>
      <c r="Z385"/>
      <c r="AA385"/>
      <c r="AB385"/>
      <c r="AC385"/>
      <c r="AD385"/>
      <c r="AE385"/>
      <c r="AF385"/>
      <c r="AG385"/>
      <c r="AH385"/>
      <c r="AI385"/>
      <c r="AJ385"/>
      <c r="AK385"/>
      <c r="AL385"/>
      <c r="AM385"/>
      <c r="AN385"/>
      <c r="AO385"/>
      <c r="AP385"/>
      <c r="AQ385"/>
      <c r="AR385"/>
      <c r="AS385"/>
      <c r="AT385"/>
      <c r="AU385"/>
      <c r="AV385"/>
      <c r="AW385"/>
      <c r="AX385"/>
      <c r="AY385"/>
      <c r="AZ385"/>
      <c r="BA385"/>
      <c r="BB385"/>
      <c r="BC385"/>
      <c r="BD385"/>
      <c r="BE385"/>
      <c r="BF385"/>
      <c r="BG385"/>
      <c r="BH385"/>
      <c r="BI385"/>
      <c r="BJ385"/>
      <c r="BK385"/>
      <c r="BL385"/>
      <c r="BM385"/>
      <c r="BN385"/>
      <c r="BO385"/>
      <c r="BP385"/>
      <c r="BQ385"/>
      <c r="BR385"/>
      <c r="BS385"/>
      <c r="BT385"/>
      <c r="BU385"/>
      <c r="BV385"/>
      <c r="BW385"/>
      <c r="BX385"/>
      <c r="BY385"/>
      <c r="BZ385"/>
      <c r="CA385"/>
      <c r="CB385"/>
      <c r="CC385"/>
    </row>
    <row r="386" spans="1:81" x14ac:dyDescent="0.25">
      <c r="A386"/>
      <c r="B386"/>
      <c r="C386"/>
      <c r="D386"/>
      <c r="E386"/>
      <c r="F386"/>
      <c r="G386"/>
      <c r="H386"/>
      <c r="I386"/>
      <c r="J386"/>
      <c r="K386"/>
      <c r="L386"/>
      <c r="M386"/>
      <c r="N386"/>
      <c r="O386"/>
      <c r="P386"/>
      <c r="Q386"/>
      <c r="R386"/>
      <c r="S386"/>
      <c r="T386"/>
      <c r="U386"/>
      <c r="V386"/>
      <c r="W386"/>
      <c r="X386"/>
      <c r="Y386"/>
      <c r="Z386"/>
      <c r="AA386"/>
      <c r="AB386"/>
      <c r="AC386"/>
      <c r="AD386"/>
      <c r="AE386"/>
      <c r="AF386"/>
      <c r="AG386"/>
      <c r="AH386"/>
      <c r="AI386"/>
      <c r="AJ386"/>
      <c r="AK386"/>
      <c r="AL386"/>
      <c r="AM386"/>
      <c r="AN386"/>
      <c r="AO386"/>
      <c r="AP386"/>
      <c r="AQ386"/>
      <c r="AR386"/>
      <c r="AS386"/>
      <c r="AT386"/>
      <c r="AU386"/>
      <c r="AV386"/>
      <c r="AW386"/>
      <c r="AX386"/>
      <c r="AY386"/>
      <c r="AZ386"/>
      <c r="BA386"/>
      <c r="BB386"/>
      <c r="BC386"/>
      <c r="BD386"/>
      <c r="BE386"/>
      <c r="BF386"/>
      <c r="BG386"/>
      <c r="BH386"/>
      <c r="BI386"/>
      <c r="BJ386"/>
      <c r="BK386"/>
      <c r="BL386"/>
      <c r="BM386"/>
      <c r="BN386"/>
      <c r="BO386"/>
      <c r="BP386"/>
      <c r="BQ386"/>
      <c r="BR386"/>
      <c r="BS386"/>
      <c r="BT386"/>
      <c r="BU386"/>
      <c r="BV386"/>
      <c r="BW386"/>
      <c r="BX386"/>
      <c r="BY386"/>
      <c r="BZ386"/>
      <c r="CA386"/>
      <c r="CB386"/>
      <c r="CC386"/>
    </row>
    <row r="387" spans="1:81" x14ac:dyDescent="0.25">
      <c r="A387"/>
      <c r="B387"/>
      <c r="C387"/>
      <c r="D387"/>
      <c r="E387"/>
      <c r="F387"/>
      <c r="G387"/>
      <c r="H387"/>
      <c r="I387"/>
      <c r="J387"/>
      <c r="K387"/>
      <c r="L387"/>
      <c r="M387"/>
      <c r="N387"/>
      <c r="O387"/>
      <c r="P387"/>
      <c r="Q387"/>
      <c r="R387"/>
      <c r="S387"/>
      <c r="T387"/>
      <c r="U387"/>
      <c r="V387"/>
      <c r="W387"/>
      <c r="X387"/>
      <c r="Y387"/>
      <c r="Z387"/>
      <c r="AA387"/>
      <c r="AB387"/>
      <c r="AC387"/>
      <c r="AD387"/>
      <c r="AE387"/>
      <c r="AF387"/>
      <c r="AG387"/>
      <c r="AH387"/>
      <c r="AI387"/>
      <c r="AJ387"/>
      <c r="AK387"/>
      <c r="AL387"/>
      <c r="AM387"/>
      <c r="AN387"/>
      <c r="AO387"/>
      <c r="AP387"/>
      <c r="AQ387"/>
      <c r="AR387"/>
      <c r="AS387"/>
      <c r="AT387"/>
      <c r="AU387"/>
      <c r="AV387"/>
      <c r="AW387"/>
      <c r="AX387"/>
      <c r="AY387"/>
      <c r="AZ387"/>
      <c r="BA387"/>
      <c r="BB387"/>
      <c r="BC387"/>
      <c r="BD387"/>
      <c r="BE387"/>
      <c r="BF387"/>
      <c r="BG387"/>
      <c r="BH387"/>
      <c r="BI387"/>
      <c r="BJ387"/>
      <c r="BK387"/>
      <c r="BL387"/>
      <c r="BM387"/>
      <c r="BN387"/>
      <c r="BO387"/>
      <c r="BP387"/>
      <c r="BQ387"/>
      <c r="BR387"/>
      <c r="BS387"/>
      <c r="BT387"/>
      <c r="BU387"/>
      <c r="BV387"/>
      <c r="BW387"/>
      <c r="BX387"/>
      <c r="BY387"/>
      <c r="BZ387"/>
      <c r="CA387"/>
      <c r="CB387"/>
      <c r="CC387"/>
    </row>
    <row r="388" spans="1:81" x14ac:dyDescent="0.25">
      <c r="A388"/>
      <c r="B388"/>
      <c r="C388"/>
      <c r="D388"/>
      <c r="E388"/>
      <c r="F388"/>
      <c r="G388"/>
      <c r="H388"/>
      <c r="I388"/>
      <c r="J388"/>
      <c r="K388"/>
      <c r="L388"/>
      <c r="M388"/>
      <c r="N388"/>
      <c r="O388"/>
      <c r="P388"/>
      <c r="Q388"/>
      <c r="R388"/>
      <c r="S388"/>
      <c r="T388"/>
      <c r="U388"/>
      <c r="V388"/>
      <c r="W388"/>
      <c r="X388"/>
      <c r="Y388"/>
      <c r="Z388"/>
      <c r="AA388"/>
      <c r="AB388"/>
      <c r="AC388"/>
      <c r="AD388"/>
      <c r="AE388"/>
      <c r="AF388"/>
      <c r="AG388"/>
      <c r="AH388"/>
      <c r="AI388"/>
      <c r="AJ388"/>
      <c r="AK388"/>
      <c r="AL388"/>
      <c r="AM388"/>
      <c r="AN388"/>
      <c r="AO388"/>
      <c r="AP388"/>
      <c r="AQ388"/>
      <c r="AR388"/>
      <c r="AS388"/>
      <c r="AT388"/>
      <c r="AU388"/>
      <c r="AV388"/>
      <c r="AW388"/>
      <c r="AX388"/>
      <c r="AY388"/>
      <c r="AZ388"/>
      <c r="BA388"/>
      <c r="BB388"/>
      <c r="BC388"/>
      <c r="BD388"/>
      <c r="BE388"/>
      <c r="BF388"/>
      <c r="BG388"/>
      <c r="BH388"/>
      <c r="BI388"/>
      <c r="BJ388"/>
      <c r="BK388"/>
      <c r="BL388"/>
      <c r="BM388"/>
      <c r="BN388"/>
      <c r="BO388"/>
      <c r="BP388"/>
      <c r="BQ388"/>
      <c r="BR388"/>
      <c r="BS388"/>
      <c r="BT388"/>
      <c r="BU388"/>
      <c r="BV388"/>
      <c r="BW388"/>
      <c r="BX388"/>
      <c r="BY388"/>
      <c r="BZ388"/>
      <c r="CA388"/>
      <c r="CB388"/>
      <c r="CC388"/>
    </row>
    <row r="389" spans="1:81" x14ac:dyDescent="0.25">
      <c r="A389"/>
      <c r="B389"/>
      <c r="C389"/>
      <c r="D389"/>
      <c r="E389"/>
      <c r="F389"/>
      <c r="G389"/>
      <c r="H389"/>
      <c r="I389"/>
      <c r="J389"/>
      <c r="K389"/>
      <c r="L389"/>
      <c r="M389"/>
      <c r="N389"/>
      <c r="O389"/>
      <c r="P389"/>
      <c r="Q389"/>
      <c r="R389"/>
      <c r="S389"/>
      <c r="T389"/>
      <c r="U389"/>
      <c r="V389"/>
      <c r="W389"/>
      <c r="X389"/>
      <c r="Y389"/>
      <c r="Z389"/>
      <c r="AA389"/>
      <c r="AB389"/>
      <c r="AC389"/>
      <c r="AD389"/>
      <c r="AE389"/>
      <c r="AF389"/>
      <c r="AG389"/>
      <c r="AH389"/>
      <c r="AI389"/>
      <c r="AJ389"/>
      <c r="AK389"/>
      <c r="AL389"/>
      <c r="AM389"/>
      <c r="AN389"/>
      <c r="AO389"/>
      <c r="AP389"/>
      <c r="AQ389"/>
      <c r="AR389"/>
      <c r="AS389"/>
      <c r="AT389"/>
      <c r="AU389"/>
      <c r="AV389"/>
      <c r="AW389"/>
      <c r="AX389"/>
      <c r="AY389"/>
      <c r="AZ389"/>
      <c r="BA389"/>
      <c r="BB389"/>
      <c r="BC389"/>
      <c r="BD389"/>
      <c r="BE389"/>
      <c r="BF389"/>
      <c r="BG389"/>
      <c r="BH389"/>
      <c r="BI389"/>
      <c r="BJ389"/>
      <c r="BK389"/>
      <c r="BL389"/>
      <c r="BM389"/>
      <c r="BN389"/>
      <c r="BO389"/>
      <c r="BP389"/>
      <c r="BQ389"/>
      <c r="BR389"/>
      <c r="BS389"/>
      <c r="BT389"/>
      <c r="BU389"/>
      <c r="BV389"/>
      <c r="BW389"/>
      <c r="BX389"/>
      <c r="BY389"/>
      <c r="BZ389"/>
      <c r="CA389"/>
      <c r="CB389"/>
      <c r="CC389"/>
    </row>
    <row r="390" spans="1:81" x14ac:dyDescent="0.25">
      <c r="A390"/>
      <c r="B390"/>
      <c r="C390"/>
      <c r="D390"/>
      <c r="E390"/>
      <c r="F390"/>
      <c r="G390"/>
      <c r="H390"/>
      <c r="I390"/>
      <c r="J390"/>
      <c r="K390"/>
      <c r="L390"/>
      <c r="M390"/>
      <c r="N390"/>
      <c r="O390"/>
      <c r="P390"/>
      <c r="Q390"/>
      <c r="R390"/>
      <c r="S390"/>
      <c r="T390"/>
      <c r="U390"/>
      <c r="V390"/>
      <c r="W390"/>
      <c r="X390"/>
      <c r="Y390"/>
      <c r="Z390"/>
      <c r="AA390"/>
      <c r="AB390"/>
      <c r="AC390"/>
      <c r="AD390"/>
      <c r="AE390"/>
      <c r="AF390"/>
      <c r="AG390"/>
      <c r="AH390"/>
      <c r="AI390"/>
      <c r="AJ390"/>
      <c r="AK390"/>
      <c r="AL390"/>
      <c r="AM390"/>
      <c r="AN390"/>
      <c r="AO390"/>
      <c r="AP390"/>
      <c r="AQ390"/>
      <c r="AR390"/>
      <c r="AS390"/>
      <c r="AT390"/>
      <c r="AU390"/>
      <c r="AV390"/>
      <c r="AW390"/>
      <c r="AX390"/>
      <c r="AY390"/>
      <c r="AZ390"/>
      <c r="BA390"/>
      <c r="BB390"/>
      <c r="BC390"/>
      <c r="BD390"/>
      <c r="BE390"/>
      <c r="BF390"/>
      <c r="BG390"/>
      <c r="BH390"/>
      <c r="BI390"/>
      <c r="BJ390"/>
      <c r="BK390"/>
      <c r="BL390"/>
      <c r="BM390"/>
      <c r="BN390"/>
      <c r="BO390"/>
      <c r="BP390"/>
      <c r="BQ390"/>
      <c r="BR390"/>
      <c r="BS390"/>
      <c r="BT390"/>
      <c r="BU390"/>
      <c r="BV390"/>
      <c r="BW390"/>
      <c r="BX390"/>
      <c r="BY390"/>
      <c r="BZ390"/>
      <c r="CA390"/>
      <c r="CB390"/>
      <c r="CC390"/>
    </row>
    <row r="391" spans="1:81" x14ac:dyDescent="0.25">
      <c r="A391"/>
      <c r="B391"/>
      <c r="C391"/>
      <c r="D391"/>
      <c r="E391"/>
      <c r="F391"/>
      <c r="G391"/>
      <c r="H391"/>
      <c r="I391"/>
      <c r="J391"/>
      <c r="K391"/>
      <c r="L391"/>
      <c r="M391"/>
      <c r="N391"/>
      <c r="O391"/>
      <c r="P391"/>
      <c r="Q391"/>
      <c r="R391"/>
      <c r="S391"/>
      <c r="T391"/>
      <c r="U391"/>
      <c r="V391"/>
      <c r="W391"/>
      <c r="X391"/>
      <c r="Y391"/>
      <c r="Z391"/>
      <c r="AA391"/>
      <c r="AB391"/>
      <c r="AC391"/>
      <c r="AD391"/>
      <c r="AE391"/>
      <c r="AF391"/>
      <c r="AG391"/>
      <c r="AH391"/>
      <c r="AI391"/>
      <c r="AJ391"/>
      <c r="AK391"/>
      <c r="AL391"/>
      <c r="AM391"/>
      <c r="AN391"/>
      <c r="AO391"/>
      <c r="AP391"/>
      <c r="AQ391"/>
      <c r="AR391"/>
      <c r="AS391"/>
      <c r="AT391"/>
      <c r="AU391"/>
      <c r="AV391"/>
      <c r="AW391"/>
      <c r="AX391"/>
      <c r="AY391"/>
      <c r="AZ391"/>
      <c r="BA391"/>
      <c r="BB391"/>
      <c r="BC391"/>
      <c r="BD391"/>
      <c r="BE391"/>
      <c r="BF391"/>
      <c r="BG391"/>
      <c r="BH391"/>
      <c r="BI391"/>
      <c r="BJ391"/>
      <c r="BK391"/>
      <c r="BL391"/>
      <c r="BM391"/>
      <c r="BN391"/>
      <c r="BO391"/>
      <c r="BP391"/>
      <c r="BQ391"/>
      <c r="BR391"/>
      <c r="BS391"/>
      <c r="BT391"/>
      <c r="BU391"/>
      <c r="BV391"/>
      <c r="BW391"/>
      <c r="BX391"/>
      <c r="BY391"/>
      <c r="BZ391"/>
      <c r="CA391"/>
      <c r="CB391"/>
      <c r="CC391"/>
    </row>
    <row r="392" spans="1:81" x14ac:dyDescent="0.25">
      <c r="A392"/>
      <c r="B392"/>
      <c r="C392"/>
      <c r="D392"/>
      <c r="E392"/>
      <c r="F392"/>
      <c r="G392"/>
      <c r="H392"/>
      <c r="I392"/>
      <c r="J392"/>
      <c r="K392"/>
      <c r="L392"/>
      <c r="M392"/>
      <c r="N392"/>
      <c r="O392"/>
      <c r="P392"/>
      <c r="Q392"/>
      <c r="R392"/>
      <c r="S392"/>
      <c r="T392"/>
      <c r="U392"/>
      <c r="V392"/>
      <c r="W392"/>
      <c r="X392"/>
      <c r="Y392"/>
      <c r="Z392"/>
      <c r="AA392"/>
      <c r="AB392"/>
      <c r="AC392"/>
      <c r="AD392"/>
      <c r="AE392"/>
      <c r="AF392"/>
      <c r="AG392"/>
      <c r="AH392"/>
      <c r="AI392"/>
      <c r="AJ392"/>
      <c r="AK392"/>
      <c r="AL392"/>
      <c r="AM392"/>
      <c r="AN392"/>
      <c r="AO392"/>
      <c r="AP392"/>
      <c r="AQ392"/>
      <c r="AR392"/>
      <c r="AS392"/>
      <c r="AT392"/>
      <c r="AU392"/>
      <c r="AV392"/>
      <c r="AW392"/>
      <c r="AX392"/>
      <c r="AY392"/>
      <c r="AZ392"/>
      <c r="BA392"/>
      <c r="BB392"/>
      <c r="BC392"/>
      <c r="BD392"/>
      <c r="BE392"/>
      <c r="BF392"/>
      <c r="BG392"/>
      <c r="BH392"/>
      <c r="BI392"/>
      <c r="BJ392"/>
      <c r="BK392"/>
      <c r="BL392"/>
      <c r="BM392"/>
      <c r="BN392"/>
      <c r="BO392"/>
      <c r="BP392"/>
      <c r="BQ392"/>
      <c r="BR392"/>
      <c r="BS392"/>
      <c r="BT392"/>
      <c r="BU392"/>
      <c r="BV392"/>
      <c r="BW392"/>
      <c r="BX392"/>
      <c r="BY392"/>
      <c r="BZ392"/>
      <c r="CA392"/>
      <c r="CB392"/>
      <c r="CC392"/>
    </row>
    <row r="393" spans="1:81" x14ac:dyDescent="0.25">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c r="AI393"/>
      <c r="AJ393"/>
      <c r="AK393"/>
      <c r="AL393"/>
      <c r="AM393"/>
      <c r="AN393"/>
      <c r="AO393"/>
      <c r="AP393"/>
      <c r="AQ393"/>
      <c r="AR393"/>
      <c r="AS393"/>
      <c r="AT393"/>
      <c r="AU393"/>
      <c r="AV393"/>
      <c r="AW393"/>
      <c r="AX393"/>
      <c r="AY393"/>
      <c r="AZ393"/>
      <c r="BA393"/>
      <c r="BB393"/>
      <c r="BC393"/>
      <c r="BD393"/>
      <c r="BE393"/>
      <c r="BF393"/>
      <c r="BG393"/>
      <c r="BH393"/>
      <c r="BI393"/>
      <c r="BJ393"/>
      <c r="BK393"/>
      <c r="BL393"/>
      <c r="BM393"/>
      <c r="BN393"/>
      <c r="BO393"/>
      <c r="BP393"/>
      <c r="BQ393"/>
      <c r="BR393"/>
      <c r="BS393"/>
      <c r="BT393"/>
      <c r="BU393"/>
      <c r="BV393"/>
      <c r="BW393"/>
      <c r="BX393"/>
      <c r="BY393"/>
      <c r="BZ393"/>
      <c r="CA393"/>
      <c r="CB393"/>
      <c r="CC393"/>
    </row>
    <row r="394" spans="1:81" x14ac:dyDescent="0.25">
      <c r="A394"/>
      <c r="B394"/>
      <c r="C394"/>
      <c r="D394"/>
      <c r="E394"/>
      <c r="F394"/>
      <c r="G394"/>
      <c r="H394"/>
      <c r="I394"/>
      <c r="J394"/>
      <c r="K394"/>
      <c r="L394"/>
      <c r="M394"/>
      <c r="N394"/>
      <c r="O394"/>
      <c r="P394"/>
      <c r="Q394"/>
      <c r="R394"/>
      <c r="S394"/>
      <c r="T394"/>
      <c r="U394"/>
      <c r="V394"/>
      <c r="W394"/>
      <c r="X394"/>
      <c r="Y394"/>
      <c r="Z394"/>
      <c r="AA394"/>
      <c r="AB394"/>
      <c r="AC394"/>
      <c r="AD394"/>
      <c r="AE394"/>
      <c r="AF394"/>
      <c r="AG394"/>
      <c r="AH394"/>
      <c r="AI394"/>
      <c r="AJ394"/>
      <c r="AK394"/>
      <c r="AL394"/>
      <c r="AM394"/>
      <c r="AN394"/>
      <c r="AO394"/>
      <c r="AP394"/>
      <c r="AQ394"/>
      <c r="AR394"/>
      <c r="AS394"/>
      <c r="AT394"/>
      <c r="AU394"/>
      <c r="AV394"/>
      <c r="AW394"/>
      <c r="AX394"/>
      <c r="AY394"/>
      <c r="AZ394"/>
      <c r="BA394"/>
      <c r="BB394"/>
      <c r="BC394"/>
      <c r="BD394"/>
      <c r="BE394"/>
      <c r="BF394"/>
      <c r="BG394"/>
      <c r="BH394"/>
      <c r="BI394"/>
      <c r="BJ394"/>
      <c r="BK394"/>
      <c r="BL394"/>
      <c r="BM394"/>
      <c r="BN394"/>
      <c r="BO394"/>
      <c r="BP394"/>
      <c r="BQ394"/>
      <c r="BR394"/>
      <c r="BS394"/>
      <c r="BT394"/>
      <c r="BU394"/>
      <c r="BV394"/>
      <c r="BW394"/>
      <c r="BX394"/>
      <c r="BY394"/>
      <c r="BZ394"/>
      <c r="CA394"/>
      <c r="CB394"/>
      <c r="CC394"/>
    </row>
    <row r="395" spans="1:81" x14ac:dyDescent="0.25">
      <c r="A395"/>
      <c r="B395"/>
      <c r="C395"/>
      <c r="D395"/>
      <c r="E395"/>
      <c r="F395"/>
      <c r="G395"/>
      <c r="H395"/>
      <c r="I395"/>
      <c r="J395"/>
      <c r="K395"/>
      <c r="L395"/>
      <c r="M395"/>
      <c r="N395"/>
      <c r="O395"/>
      <c r="P395"/>
      <c r="Q395"/>
      <c r="R395"/>
      <c r="S395"/>
      <c r="T395"/>
      <c r="U395"/>
      <c r="V395"/>
      <c r="W395"/>
      <c r="X395"/>
      <c r="Y395"/>
      <c r="Z395"/>
      <c r="AA395"/>
      <c r="AB395"/>
      <c r="AC395"/>
      <c r="AD395"/>
      <c r="AE395"/>
      <c r="AF395"/>
      <c r="AG395"/>
      <c r="AH395"/>
      <c r="AI395"/>
      <c r="AJ395"/>
      <c r="AK395"/>
      <c r="AL395"/>
      <c r="AM395"/>
      <c r="AN395"/>
      <c r="AO395"/>
      <c r="AP395"/>
      <c r="AQ395"/>
      <c r="AR395"/>
      <c r="AS395"/>
      <c r="AT395"/>
      <c r="AU395"/>
      <c r="AV395"/>
      <c r="AW395"/>
      <c r="AX395"/>
      <c r="AY395"/>
      <c r="AZ395"/>
      <c r="BA395"/>
      <c r="BB395"/>
      <c r="BC395"/>
      <c r="BD395"/>
      <c r="BE395"/>
      <c r="BF395"/>
      <c r="BG395"/>
      <c r="BH395"/>
      <c r="BI395"/>
      <c r="BJ395"/>
      <c r="BK395"/>
      <c r="BL395"/>
      <c r="BM395"/>
      <c r="BN395"/>
      <c r="BO395"/>
      <c r="BP395"/>
      <c r="BQ395"/>
      <c r="BR395"/>
      <c r="BS395"/>
      <c r="BT395"/>
      <c r="BU395"/>
      <c r="BV395"/>
      <c r="BW395"/>
      <c r="BX395"/>
      <c r="BY395"/>
      <c r="BZ395"/>
      <c r="CA395"/>
      <c r="CB395"/>
      <c r="CC395"/>
    </row>
    <row r="396" spans="1:81" x14ac:dyDescent="0.25">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c r="AI396"/>
      <c r="AJ396"/>
      <c r="AK396"/>
      <c r="AL396"/>
      <c r="AM396"/>
      <c r="AN396"/>
      <c r="AO396"/>
      <c r="AP396"/>
      <c r="AQ396"/>
      <c r="AR396"/>
      <c r="AS396"/>
      <c r="AT396"/>
      <c r="AU396"/>
      <c r="AV396"/>
      <c r="AW396"/>
      <c r="AX396"/>
      <c r="AY396"/>
      <c r="AZ396"/>
      <c r="BA396"/>
      <c r="BB396"/>
      <c r="BC396"/>
      <c r="BD396"/>
      <c r="BE396"/>
      <c r="BF396"/>
      <c r="BG396"/>
      <c r="BH396"/>
      <c r="BI396"/>
      <c r="BJ396"/>
      <c r="BK396"/>
      <c r="BL396"/>
      <c r="BM396"/>
      <c r="BN396"/>
      <c r="BO396"/>
      <c r="BP396"/>
      <c r="BQ396"/>
      <c r="BR396"/>
      <c r="BS396"/>
      <c r="BT396"/>
      <c r="BU396"/>
      <c r="BV396"/>
      <c r="BW396"/>
      <c r="BX396"/>
      <c r="BY396"/>
      <c r="BZ396"/>
      <c r="CA396"/>
      <c r="CB396"/>
      <c r="CC396"/>
    </row>
    <row r="397" spans="1:81" x14ac:dyDescent="0.25">
      <c r="A397"/>
      <c r="B397"/>
      <c r="C397"/>
      <c r="D397"/>
      <c r="E397"/>
      <c r="F397"/>
      <c r="G397"/>
      <c r="H397"/>
      <c r="I397"/>
      <c r="J397"/>
      <c r="K397"/>
      <c r="L397"/>
      <c r="M397"/>
      <c r="N397"/>
      <c r="O397"/>
      <c r="P397"/>
      <c r="Q397"/>
      <c r="R397"/>
      <c r="S397"/>
      <c r="T397"/>
      <c r="U397"/>
      <c r="V397"/>
      <c r="W397"/>
      <c r="X397"/>
      <c r="Y397"/>
      <c r="Z397"/>
      <c r="AA397"/>
      <c r="AB397"/>
      <c r="AC397"/>
      <c r="AD397"/>
      <c r="AE397"/>
      <c r="AF397"/>
      <c r="AG397"/>
      <c r="AH397"/>
      <c r="AI397"/>
      <c r="AJ397"/>
      <c r="AK397"/>
      <c r="AL397"/>
      <c r="AM397"/>
      <c r="AN397"/>
      <c r="AO397"/>
      <c r="AP397"/>
      <c r="AQ397"/>
      <c r="AR397"/>
      <c r="AS397"/>
      <c r="AT397"/>
      <c r="AU397"/>
      <c r="AV397"/>
      <c r="AW397"/>
      <c r="AX397"/>
      <c r="AY397"/>
      <c r="AZ397"/>
      <c r="BA397"/>
      <c r="BB397"/>
      <c r="BC397"/>
      <c r="BD397"/>
      <c r="BE397"/>
      <c r="BF397"/>
      <c r="BG397"/>
      <c r="BH397"/>
      <c r="BI397"/>
      <c r="BJ397"/>
      <c r="BK397"/>
      <c r="BL397"/>
      <c r="BM397"/>
      <c r="BN397"/>
      <c r="BO397"/>
      <c r="BP397"/>
      <c r="BQ397"/>
      <c r="BR397"/>
      <c r="BS397"/>
      <c r="BT397"/>
      <c r="BU397"/>
      <c r="BV397"/>
      <c r="BW397"/>
      <c r="BX397"/>
      <c r="BY397"/>
      <c r="BZ397"/>
      <c r="CA397"/>
      <c r="CB397"/>
      <c r="CC397"/>
    </row>
    <row r="398" spans="1:81" x14ac:dyDescent="0.25">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c r="AI398"/>
      <c r="AJ398"/>
      <c r="AK398"/>
      <c r="AL398"/>
      <c r="AM398"/>
      <c r="AN398"/>
      <c r="AO398"/>
      <c r="AP398"/>
      <c r="AQ398"/>
      <c r="AR398"/>
      <c r="AS398"/>
      <c r="AT398"/>
      <c r="AU398"/>
      <c r="AV398"/>
      <c r="AW398"/>
      <c r="AX398"/>
      <c r="AY398"/>
      <c r="AZ398"/>
      <c r="BA398"/>
      <c r="BB398"/>
      <c r="BC398"/>
      <c r="BD398"/>
      <c r="BE398"/>
      <c r="BF398"/>
      <c r="BG398"/>
      <c r="BH398"/>
      <c r="BI398"/>
      <c r="BJ398"/>
      <c r="BK398"/>
      <c r="BL398"/>
      <c r="BM398"/>
      <c r="BN398"/>
      <c r="BO398"/>
      <c r="BP398"/>
      <c r="BQ398"/>
      <c r="BR398"/>
      <c r="BS398"/>
      <c r="BT398"/>
      <c r="BU398"/>
      <c r="BV398"/>
      <c r="BW398"/>
      <c r="BX398"/>
      <c r="BY398"/>
      <c r="BZ398"/>
      <c r="CA398"/>
      <c r="CB398"/>
      <c r="CC398"/>
    </row>
    <row r="399" spans="1:81" x14ac:dyDescent="0.25">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c r="AI399"/>
      <c r="AJ399"/>
      <c r="AK399"/>
      <c r="AL399"/>
      <c r="AM399"/>
      <c r="AN399"/>
      <c r="AO399"/>
      <c r="AP399"/>
      <c r="AQ399"/>
      <c r="AR399"/>
      <c r="AS399"/>
      <c r="AT399"/>
      <c r="AU399"/>
      <c r="AV399"/>
      <c r="AW399"/>
      <c r="AX399"/>
      <c r="AY399"/>
      <c r="AZ399"/>
      <c r="BA399"/>
      <c r="BB399"/>
      <c r="BC399"/>
      <c r="BD399"/>
      <c r="BE399"/>
      <c r="BF399"/>
      <c r="BG399"/>
      <c r="BH399"/>
      <c r="BI399"/>
      <c r="BJ399"/>
      <c r="BK399"/>
      <c r="BL399"/>
      <c r="BM399"/>
      <c r="BN399"/>
      <c r="BO399"/>
      <c r="BP399"/>
      <c r="BQ399"/>
      <c r="BR399"/>
      <c r="BS399"/>
      <c r="BT399"/>
      <c r="BU399"/>
      <c r="BV399"/>
      <c r="BW399"/>
      <c r="BX399"/>
      <c r="BY399"/>
      <c r="BZ399"/>
      <c r="CA399"/>
      <c r="CB399"/>
      <c r="CC399"/>
    </row>
    <row r="400" spans="1:81" x14ac:dyDescent="0.25">
      <c r="A400"/>
      <c r="B400"/>
      <c r="C400"/>
      <c r="D400"/>
      <c r="E400"/>
      <c r="F400"/>
      <c r="G400"/>
      <c r="H400"/>
      <c r="I400"/>
      <c r="J400"/>
      <c r="K400"/>
      <c r="L400"/>
      <c r="M400"/>
      <c r="N400"/>
      <c r="O400"/>
      <c r="P400"/>
      <c r="Q400"/>
      <c r="R400"/>
      <c r="S400"/>
      <c r="T400"/>
      <c r="U400"/>
      <c r="V400"/>
      <c r="W400"/>
      <c r="X400"/>
      <c r="Y400"/>
      <c r="Z400"/>
      <c r="AA400"/>
      <c r="AB400"/>
      <c r="AC400"/>
      <c r="AD400"/>
      <c r="AE400"/>
      <c r="AF400"/>
      <c r="AG400"/>
      <c r="AH400"/>
      <c r="AI400"/>
      <c r="AJ400"/>
      <c r="AK400"/>
      <c r="AL400"/>
      <c r="AM400"/>
      <c r="AN400"/>
      <c r="AO400"/>
      <c r="AP400"/>
      <c r="AQ400"/>
      <c r="AR400"/>
      <c r="AS400"/>
      <c r="AT400"/>
      <c r="AU400"/>
      <c r="AV400"/>
      <c r="AW400"/>
      <c r="AX400"/>
      <c r="AY400"/>
      <c r="AZ400"/>
      <c r="BA400"/>
      <c r="BB400"/>
      <c r="BC400"/>
      <c r="BD400"/>
      <c r="BE400"/>
      <c r="BF400"/>
      <c r="BG400"/>
      <c r="BH400"/>
      <c r="BI400"/>
      <c r="BJ400"/>
      <c r="BK400"/>
      <c r="BL400"/>
      <c r="BM400"/>
      <c r="BN400"/>
      <c r="BO400"/>
      <c r="BP400"/>
      <c r="BQ400"/>
      <c r="BR400"/>
      <c r="BS400"/>
      <c r="BT400"/>
      <c r="BU400"/>
      <c r="BV400"/>
      <c r="BW400"/>
      <c r="BX400"/>
      <c r="BY400"/>
      <c r="BZ400"/>
      <c r="CA400"/>
      <c r="CB400"/>
      <c r="CC400"/>
    </row>
    <row r="401" spans="1:81" x14ac:dyDescent="0.25">
      <c r="A401"/>
      <c r="B401"/>
      <c r="C401"/>
      <c r="D401"/>
      <c r="E401"/>
      <c r="F401"/>
      <c r="G401"/>
      <c r="H401"/>
      <c r="I401"/>
      <c r="J401"/>
      <c r="K401"/>
      <c r="L401"/>
      <c r="M401"/>
      <c r="N401"/>
      <c r="O401"/>
      <c r="P401"/>
      <c r="Q401"/>
      <c r="R401"/>
      <c r="S401"/>
      <c r="T401"/>
      <c r="U401"/>
      <c r="V401"/>
      <c r="W401"/>
      <c r="X401"/>
      <c r="Y401"/>
      <c r="Z401"/>
      <c r="AA401"/>
      <c r="AB401"/>
      <c r="AC401"/>
      <c r="AD401"/>
      <c r="AE401"/>
      <c r="AF401"/>
      <c r="AG401"/>
      <c r="AH401"/>
      <c r="AI401"/>
      <c r="AJ401"/>
      <c r="AK401"/>
      <c r="AL401"/>
      <c r="AM401"/>
      <c r="AN401"/>
      <c r="AO401"/>
      <c r="AP401"/>
      <c r="AQ401"/>
      <c r="AR401"/>
      <c r="AS401"/>
      <c r="AT401"/>
      <c r="AU401"/>
      <c r="AV401"/>
      <c r="AW401"/>
      <c r="AX401"/>
      <c r="AY401"/>
      <c r="AZ401"/>
      <c r="BA401"/>
      <c r="BB401"/>
      <c r="BC401"/>
      <c r="BD401"/>
      <c r="BE401"/>
      <c r="BF401"/>
      <c r="BG401"/>
      <c r="BH401"/>
      <c r="BI401"/>
      <c r="BJ401"/>
      <c r="BK401"/>
      <c r="BL401"/>
      <c r="BM401"/>
      <c r="BN401"/>
      <c r="BO401"/>
      <c r="BP401"/>
      <c r="BQ401"/>
      <c r="BR401"/>
      <c r="BS401"/>
      <c r="BT401"/>
      <c r="BU401"/>
      <c r="BV401"/>
      <c r="BW401"/>
      <c r="BX401"/>
      <c r="BY401"/>
      <c r="BZ401"/>
      <c r="CA401"/>
      <c r="CB401"/>
      <c r="CC401"/>
    </row>
    <row r="402" spans="1:81" x14ac:dyDescent="0.25">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c r="AI402"/>
      <c r="AJ402"/>
      <c r="AK402"/>
      <c r="AL402"/>
      <c r="AM402"/>
      <c r="AN402"/>
      <c r="AO402"/>
      <c r="AP402"/>
      <c r="AQ402"/>
      <c r="AR402"/>
      <c r="AS402"/>
      <c r="AT402"/>
      <c r="AU402"/>
      <c r="AV402"/>
      <c r="AW402"/>
      <c r="AX402"/>
      <c r="AY402"/>
      <c r="AZ402"/>
      <c r="BA402"/>
      <c r="BB402"/>
      <c r="BC402"/>
      <c r="BD402"/>
      <c r="BE402"/>
      <c r="BF402"/>
      <c r="BG402"/>
      <c r="BH402"/>
      <c r="BI402"/>
      <c r="BJ402"/>
      <c r="BK402"/>
      <c r="BL402"/>
      <c r="BM402"/>
      <c r="BN402"/>
      <c r="BO402"/>
      <c r="BP402"/>
      <c r="BQ402"/>
      <c r="BR402"/>
      <c r="BS402"/>
      <c r="BT402"/>
      <c r="BU402"/>
      <c r="BV402"/>
      <c r="BW402"/>
      <c r="BX402"/>
      <c r="BY402"/>
      <c r="BZ402"/>
      <c r="CA402"/>
      <c r="CB402"/>
      <c r="CC402"/>
    </row>
    <row r="403" spans="1:81" x14ac:dyDescent="0.25">
      <c r="A403"/>
      <c r="B403"/>
      <c r="C403"/>
      <c r="D403"/>
      <c r="E403"/>
      <c r="F403"/>
      <c r="G403"/>
      <c r="H403"/>
      <c r="I403"/>
      <c r="J403"/>
      <c r="K403"/>
      <c r="L403"/>
      <c r="M403"/>
      <c r="N403"/>
      <c r="O403"/>
      <c r="P403"/>
      <c r="Q403"/>
      <c r="R403"/>
      <c r="S403"/>
      <c r="T403"/>
      <c r="U403"/>
      <c r="V403"/>
      <c r="W403"/>
      <c r="X403"/>
      <c r="Y403"/>
      <c r="Z403"/>
      <c r="AA403"/>
      <c r="AB403"/>
      <c r="AC403"/>
      <c r="AD403"/>
      <c r="AE403"/>
      <c r="AF403"/>
      <c r="AG403"/>
      <c r="AH403"/>
      <c r="AI403"/>
      <c r="AJ403"/>
      <c r="AK403"/>
      <c r="AL403"/>
      <c r="AM403"/>
      <c r="AN403"/>
      <c r="AO403"/>
      <c r="AP403"/>
      <c r="AQ403"/>
      <c r="AR403"/>
      <c r="AS403"/>
      <c r="AT403"/>
      <c r="AU403"/>
      <c r="AV403"/>
      <c r="AW403"/>
      <c r="AX403"/>
      <c r="AY403"/>
      <c r="AZ403"/>
      <c r="BA403"/>
      <c r="BB403"/>
      <c r="BC403"/>
      <c r="BD403"/>
      <c r="BE403"/>
      <c r="BF403"/>
      <c r="BG403"/>
      <c r="BH403"/>
      <c r="BI403"/>
      <c r="BJ403"/>
      <c r="BK403"/>
      <c r="BL403"/>
      <c r="BM403"/>
      <c r="BN403"/>
      <c r="BO403"/>
      <c r="BP403"/>
      <c r="BQ403"/>
      <c r="BR403"/>
      <c r="BS403"/>
      <c r="BT403"/>
      <c r="BU403"/>
      <c r="BV403"/>
      <c r="BW403"/>
      <c r="BX403"/>
      <c r="BY403"/>
      <c r="BZ403"/>
      <c r="CA403"/>
      <c r="CB403"/>
      <c r="CC403"/>
    </row>
    <row r="404" spans="1:81" x14ac:dyDescent="0.25">
      <c r="A404"/>
      <c r="B404"/>
      <c r="C404"/>
      <c r="D404"/>
      <c r="E404"/>
      <c r="F404"/>
      <c r="G404"/>
      <c r="H404"/>
      <c r="I404"/>
      <c r="J404"/>
      <c r="K404"/>
      <c r="L404"/>
      <c r="M404"/>
      <c r="N404"/>
      <c r="O404"/>
      <c r="P404"/>
      <c r="Q404"/>
      <c r="R404"/>
      <c r="S404"/>
      <c r="T404"/>
      <c r="U404"/>
      <c r="V404"/>
      <c r="W404"/>
      <c r="X404"/>
      <c r="Y404"/>
      <c r="Z404"/>
      <c r="AA404"/>
      <c r="AB404"/>
      <c r="AC404"/>
      <c r="AD404"/>
      <c r="AE404"/>
      <c r="AF404"/>
      <c r="AG404"/>
      <c r="AH404"/>
      <c r="AI404"/>
      <c r="AJ404"/>
      <c r="AK404"/>
      <c r="AL404"/>
      <c r="AM404"/>
      <c r="AN404"/>
      <c r="AO404"/>
      <c r="AP404"/>
      <c r="AQ404"/>
      <c r="AR404"/>
      <c r="AS404"/>
      <c r="AT404"/>
      <c r="AU404"/>
      <c r="AV404"/>
      <c r="AW404"/>
      <c r="AX404"/>
      <c r="AY404"/>
      <c r="AZ404"/>
      <c r="BA404"/>
      <c r="BB404"/>
      <c r="BC404"/>
      <c r="BD404"/>
      <c r="BE404"/>
      <c r="BF404"/>
      <c r="BG404"/>
      <c r="BH404"/>
      <c r="BI404"/>
      <c r="BJ404"/>
      <c r="BK404"/>
      <c r="BL404"/>
      <c r="BM404"/>
      <c r="BN404"/>
      <c r="BO404"/>
      <c r="BP404"/>
      <c r="BQ404"/>
      <c r="BR404"/>
      <c r="BS404"/>
      <c r="BT404"/>
      <c r="BU404"/>
      <c r="BV404"/>
      <c r="BW404"/>
      <c r="BX404"/>
      <c r="BY404"/>
      <c r="BZ404"/>
      <c r="CA404"/>
      <c r="CB404"/>
      <c r="CC404"/>
    </row>
    <row r="405" spans="1:81" x14ac:dyDescent="0.25">
      <c r="A405"/>
      <c r="B405"/>
      <c r="C405"/>
      <c r="D405"/>
      <c r="E405"/>
      <c r="F405"/>
      <c r="G405"/>
      <c r="H405"/>
      <c r="I405"/>
      <c r="J405"/>
      <c r="K405"/>
      <c r="L405"/>
      <c r="M405"/>
      <c r="N405"/>
      <c r="O405"/>
      <c r="P405"/>
      <c r="Q405"/>
      <c r="R405"/>
      <c r="S405"/>
      <c r="T405"/>
      <c r="U405"/>
      <c r="V405"/>
      <c r="W405"/>
      <c r="X405"/>
      <c r="Y405"/>
      <c r="Z405"/>
      <c r="AA405"/>
      <c r="AB405"/>
      <c r="AC405"/>
      <c r="AD405"/>
      <c r="AE405"/>
      <c r="AF405"/>
      <c r="AG405"/>
      <c r="AH405"/>
      <c r="AI405"/>
      <c r="AJ405"/>
      <c r="AK405"/>
      <c r="AL405"/>
      <c r="AM405"/>
      <c r="AN405"/>
      <c r="AO405"/>
      <c r="AP405"/>
      <c r="AQ405"/>
      <c r="AR405"/>
      <c r="AS405"/>
      <c r="AT405"/>
      <c r="AU405"/>
      <c r="AV405"/>
      <c r="AW405"/>
      <c r="AX405"/>
      <c r="AY405"/>
      <c r="AZ405"/>
      <c r="BA405"/>
      <c r="BB405"/>
      <c r="BC405"/>
      <c r="BD405"/>
      <c r="BE405"/>
      <c r="BF405"/>
      <c r="BG405"/>
      <c r="BH405"/>
      <c r="BI405"/>
      <c r="BJ405"/>
      <c r="BK405"/>
      <c r="BL405"/>
      <c r="BM405"/>
      <c r="BN405"/>
      <c r="BO405"/>
      <c r="BP405"/>
      <c r="BQ405"/>
      <c r="BR405"/>
      <c r="BS405"/>
      <c r="BT405"/>
      <c r="BU405"/>
      <c r="BV405"/>
      <c r="BW405"/>
      <c r="BX405"/>
      <c r="BY405"/>
      <c r="BZ405"/>
      <c r="CA405"/>
      <c r="CB405"/>
      <c r="CC405"/>
    </row>
    <row r="406" spans="1:81" x14ac:dyDescent="0.25">
      <c r="A406"/>
      <c r="B406"/>
      <c r="C406"/>
      <c r="D406"/>
      <c r="E406"/>
      <c r="F406"/>
      <c r="G406"/>
      <c r="H406"/>
      <c r="I406"/>
      <c r="J406"/>
      <c r="K406"/>
      <c r="L406"/>
      <c r="M406"/>
      <c r="N406"/>
      <c r="O406"/>
      <c r="P406"/>
      <c r="Q406"/>
      <c r="R406"/>
      <c r="S406"/>
      <c r="T406"/>
      <c r="U406"/>
      <c r="V406"/>
      <c r="W406"/>
      <c r="X406"/>
      <c r="Y406"/>
      <c r="Z406"/>
      <c r="AA406"/>
      <c r="AB406"/>
      <c r="AC406"/>
      <c r="AD406"/>
      <c r="AE406"/>
      <c r="AF406"/>
      <c r="AG406"/>
      <c r="AH406"/>
      <c r="AI406"/>
      <c r="AJ406"/>
      <c r="AK406"/>
      <c r="AL406"/>
      <c r="AM406"/>
      <c r="AN406"/>
      <c r="AO406"/>
      <c r="AP406"/>
      <c r="AQ406"/>
      <c r="AR406"/>
      <c r="AS406"/>
      <c r="AT406"/>
      <c r="AU406"/>
      <c r="AV406"/>
      <c r="AW406"/>
      <c r="AX406"/>
      <c r="AY406"/>
      <c r="AZ406"/>
      <c r="BA406"/>
      <c r="BB406"/>
      <c r="BC406"/>
      <c r="BD406"/>
      <c r="BE406"/>
      <c r="BF406"/>
      <c r="BG406"/>
      <c r="BH406"/>
      <c r="BI406"/>
      <c r="BJ406"/>
      <c r="BK406"/>
      <c r="BL406"/>
      <c r="BM406"/>
      <c r="BN406"/>
      <c r="BO406"/>
      <c r="BP406"/>
      <c r="BQ406"/>
      <c r="BR406"/>
      <c r="BS406"/>
      <c r="BT406"/>
      <c r="BU406"/>
      <c r="BV406"/>
      <c r="BW406"/>
      <c r="BX406"/>
      <c r="BY406"/>
      <c r="BZ406"/>
      <c r="CA406"/>
      <c r="CB406"/>
      <c r="CC406"/>
    </row>
    <row r="407" spans="1:81" x14ac:dyDescent="0.25">
      <c r="A407"/>
      <c r="B407"/>
      <c r="C407"/>
      <c r="D407"/>
      <c r="E407"/>
      <c r="F407"/>
      <c r="G407"/>
      <c r="H407"/>
      <c r="I407"/>
      <c r="J407"/>
      <c r="K407"/>
      <c r="L407"/>
      <c r="M407"/>
      <c r="N407"/>
      <c r="O407"/>
      <c r="P407"/>
      <c r="Q407"/>
      <c r="R407"/>
      <c r="S407"/>
      <c r="T407"/>
      <c r="U407"/>
      <c r="V407"/>
      <c r="W407"/>
      <c r="X407"/>
      <c r="Y407"/>
      <c r="Z407"/>
      <c r="AA407"/>
      <c r="AB407"/>
      <c r="AC407"/>
      <c r="AD407"/>
      <c r="AE407"/>
      <c r="AF407"/>
      <c r="AG407"/>
      <c r="AH407"/>
      <c r="AI407"/>
      <c r="AJ407"/>
      <c r="AK407"/>
      <c r="AL407"/>
      <c r="AM407"/>
      <c r="AN407"/>
      <c r="AO407"/>
      <c r="AP407"/>
      <c r="AQ407"/>
      <c r="AR407"/>
      <c r="AS407"/>
      <c r="AT407"/>
      <c r="AU407"/>
      <c r="AV407"/>
      <c r="AW407"/>
      <c r="AX407"/>
      <c r="AY407"/>
      <c r="AZ407"/>
      <c r="BA407"/>
      <c r="BB407"/>
      <c r="BC407"/>
      <c r="BD407"/>
      <c r="BE407"/>
      <c r="BF407"/>
      <c r="BG407"/>
      <c r="BH407"/>
      <c r="BI407"/>
      <c r="BJ407"/>
      <c r="BK407"/>
      <c r="BL407"/>
      <c r="BM407"/>
      <c r="BN407"/>
      <c r="BO407"/>
      <c r="BP407"/>
      <c r="BQ407"/>
      <c r="BR407"/>
      <c r="BS407"/>
      <c r="BT407"/>
      <c r="BU407"/>
      <c r="BV407"/>
      <c r="BW407"/>
      <c r="BX407"/>
      <c r="BY407"/>
      <c r="BZ407"/>
      <c r="CA407"/>
      <c r="CB407"/>
      <c r="CC407"/>
    </row>
    <row r="408" spans="1:81" x14ac:dyDescent="0.25">
      <c r="A408"/>
      <c r="B408"/>
      <c r="C408"/>
      <c r="D408"/>
      <c r="E408"/>
      <c r="F408"/>
      <c r="G408"/>
      <c r="H408"/>
      <c r="I408"/>
      <c r="J408"/>
      <c r="K408"/>
      <c r="L408"/>
      <c r="M408"/>
      <c r="N408"/>
      <c r="O408"/>
      <c r="P408"/>
      <c r="Q408"/>
      <c r="R408"/>
      <c r="S408"/>
      <c r="T408"/>
      <c r="U408"/>
      <c r="V408"/>
      <c r="W408"/>
      <c r="X408"/>
      <c r="Y408"/>
      <c r="Z408"/>
      <c r="AA408"/>
      <c r="AB408"/>
      <c r="AC408"/>
      <c r="AD408"/>
      <c r="AE408"/>
      <c r="AF408"/>
      <c r="AG408"/>
      <c r="AH408"/>
      <c r="AI408"/>
      <c r="AJ408"/>
      <c r="AK408"/>
      <c r="AL408"/>
      <c r="AM408"/>
      <c r="AN408"/>
      <c r="AO408"/>
      <c r="AP408"/>
      <c r="AQ408"/>
      <c r="AR408"/>
      <c r="AS408"/>
      <c r="AT408"/>
      <c r="AU408"/>
      <c r="AV408"/>
      <c r="AW408"/>
      <c r="AX408"/>
      <c r="AY408"/>
      <c r="AZ408"/>
      <c r="BA408"/>
      <c r="BB408"/>
      <c r="BC408"/>
      <c r="BD408"/>
      <c r="BE408"/>
      <c r="BF408"/>
      <c r="BG408"/>
      <c r="BH408"/>
      <c r="BI408"/>
      <c r="BJ408"/>
      <c r="BK408"/>
      <c r="BL408"/>
      <c r="BM408"/>
      <c r="BN408"/>
      <c r="BO408"/>
      <c r="BP408"/>
      <c r="BQ408"/>
      <c r="BR408"/>
      <c r="BS408"/>
      <c r="BT408"/>
      <c r="BU408"/>
      <c r="BV408"/>
      <c r="BW408"/>
      <c r="BX408"/>
      <c r="BY408"/>
      <c r="BZ408"/>
      <c r="CA408"/>
      <c r="CB408"/>
      <c r="CC408"/>
    </row>
    <row r="409" spans="1:81" x14ac:dyDescent="0.25">
      <c r="A409"/>
      <c r="B409"/>
      <c r="C409"/>
      <c r="D409"/>
      <c r="E409"/>
      <c r="F409"/>
      <c r="G409"/>
      <c r="H409"/>
      <c r="I409"/>
      <c r="J409"/>
      <c r="K409"/>
      <c r="L409"/>
      <c r="M409"/>
      <c r="N409"/>
      <c r="O409"/>
      <c r="P409"/>
      <c r="Q409"/>
      <c r="R409"/>
      <c r="S409"/>
      <c r="T409"/>
      <c r="U409"/>
      <c r="V409"/>
      <c r="W409"/>
      <c r="X409"/>
      <c r="Y409"/>
      <c r="Z409"/>
      <c r="AA409"/>
      <c r="AB409"/>
      <c r="AC409"/>
      <c r="AD409"/>
      <c r="AE409"/>
      <c r="AF409"/>
      <c r="AG409"/>
      <c r="AH409"/>
      <c r="AI409"/>
      <c r="AJ409"/>
      <c r="AK409"/>
      <c r="AL409"/>
      <c r="AM409"/>
      <c r="AN409"/>
      <c r="AO409"/>
      <c r="AP409"/>
      <c r="AQ409"/>
      <c r="AR409"/>
      <c r="AS409"/>
      <c r="AT409"/>
      <c r="AU409"/>
      <c r="AV409"/>
      <c r="AW409"/>
      <c r="AX409"/>
      <c r="AY409"/>
      <c r="AZ409"/>
      <c r="BA409"/>
      <c r="BB409"/>
      <c r="BC409"/>
      <c r="BD409"/>
      <c r="BE409"/>
      <c r="BF409"/>
      <c r="BG409"/>
      <c r="BH409"/>
      <c r="BI409"/>
      <c r="BJ409"/>
      <c r="BK409"/>
      <c r="BL409"/>
      <c r="BM409"/>
      <c r="BN409"/>
      <c r="BO409"/>
      <c r="BP409"/>
      <c r="BQ409"/>
      <c r="BR409"/>
      <c r="BS409"/>
      <c r="BT409"/>
      <c r="BU409"/>
      <c r="BV409"/>
      <c r="BW409"/>
      <c r="BX409"/>
      <c r="BY409"/>
      <c r="BZ409"/>
      <c r="CA409"/>
      <c r="CB409"/>
      <c r="CC409"/>
    </row>
    <row r="410" spans="1:81" x14ac:dyDescent="0.25">
      <c r="A410"/>
      <c r="B410"/>
      <c r="C410"/>
      <c r="D410"/>
      <c r="E410"/>
      <c r="F410"/>
      <c r="G410"/>
      <c r="H410"/>
      <c r="I410"/>
      <c r="J410"/>
      <c r="K410"/>
      <c r="L410"/>
      <c r="M410"/>
      <c r="N410"/>
      <c r="O410"/>
      <c r="P410"/>
      <c r="Q410"/>
      <c r="R410"/>
      <c r="S410"/>
      <c r="T410"/>
      <c r="U410"/>
      <c r="V410"/>
      <c r="W410"/>
      <c r="X410"/>
      <c r="Y410"/>
      <c r="Z410"/>
      <c r="AA410"/>
      <c r="AB410"/>
      <c r="AC410"/>
      <c r="AD410"/>
      <c r="AE410"/>
      <c r="AF410"/>
      <c r="AG410"/>
      <c r="AH410"/>
      <c r="AI410"/>
      <c r="AJ410"/>
      <c r="AK410"/>
      <c r="AL410"/>
      <c r="AM410"/>
      <c r="AN410"/>
      <c r="AO410"/>
      <c r="AP410"/>
      <c r="AQ410"/>
      <c r="AR410"/>
      <c r="AS410"/>
      <c r="AT410"/>
      <c r="AU410"/>
      <c r="AV410"/>
      <c r="AW410"/>
      <c r="AX410"/>
      <c r="AY410"/>
      <c r="AZ410"/>
      <c r="BA410"/>
      <c r="BB410"/>
      <c r="BC410"/>
      <c r="BD410"/>
      <c r="BE410"/>
      <c r="BF410"/>
      <c r="BG410"/>
      <c r="BH410"/>
      <c r="BI410"/>
      <c r="BJ410"/>
      <c r="BK410"/>
      <c r="BL410"/>
      <c r="BM410"/>
      <c r="BN410"/>
      <c r="BO410"/>
      <c r="BP410"/>
      <c r="BQ410"/>
      <c r="BR410"/>
      <c r="BS410"/>
      <c r="BT410"/>
      <c r="BU410"/>
      <c r="BV410"/>
      <c r="BW410"/>
      <c r="BX410"/>
      <c r="BY410"/>
      <c r="BZ410"/>
      <c r="CA410"/>
      <c r="CB410"/>
      <c r="CC410"/>
    </row>
    <row r="411" spans="1:81" x14ac:dyDescent="0.25">
      <c r="A411"/>
      <c r="B411"/>
      <c r="C411"/>
      <c r="D411"/>
      <c r="E411"/>
      <c r="F411"/>
      <c r="G411"/>
      <c r="H411"/>
      <c r="I411"/>
      <c r="J411"/>
      <c r="K411"/>
      <c r="L411"/>
      <c r="M411"/>
      <c r="N411"/>
      <c r="O411"/>
      <c r="P411"/>
      <c r="Q411"/>
      <c r="R411"/>
      <c r="S411"/>
      <c r="T411"/>
      <c r="U411"/>
      <c r="V411"/>
      <c r="W411"/>
      <c r="X411"/>
      <c r="Y411"/>
      <c r="Z411"/>
      <c r="AA411"/>
      <c r="AB411"/>
      <c r="AC411"/>
      <c r="AD411"/>
      <c r="AE411"/>
      <c r="AF411"/>
      <c r="AG411"/>
      <c r="AH411"/>
      <c r="AI411"/>
      <c r="AJ411"/>
      <c r="AK411"/>
      <c r="AL411"/>
      <c r="AM411"/>
      <c r="AN411"/>
      <c r="AO411"/>
      <c r="AP411"/>
      <c r="AQ411"/>
      <c r="AR411"/>
      <c r="AS411"/>
      <c r="AT411"/>
      <c r="AU411"/>
      <c r="AV411"/>
      <c r="AW411"/>
      <c r="AX411"/>
      <c r="AY411"/>
      <c r="AZ411"/>
      <c r="BA411"/>
      <c r="BB411"/>
      <c r="BC411"/>
      <c r="BD411"/>
      <c r="BE411"/>
      <c r="BF411"/>
      <c r="BG411"/>
      <c r="BH411"/>
      <c r="BI411"/>
      <c r="BJ411"/>
      <c r="BK411"/>
      <c r="BL411"/>
      <c r="BM411"/>
      <c r="BN411"/>
      <c r="BO411"/>
      <c r="BP411"/>
      <c r="BQ411"/>
      <c r="BR411"/>
      <c r="BS411"/>
      <c r="BT411"/>
      <c r="BU411"/>
      <c r="BV411"/>
      <c r="BW411"/>
      <c r="BX411"/>
      <c r="BY411"/>
      <c r="BZ411"/>
      <c r="CA411"/>
      <c r="CB411"/>
      <c r="CC411"/>
    </row>
    <row r="412" spans="1:81" x14ac:dyDescent="0.25">
      <c r="A412"/>
      <c r="B412"/>
      <c r="C412"/>
      <c r="D412"/>
      <c r="E412"/>
      <c r="F412"/>
      <c r="G412"/>
      <c r="H412"/>
      <c r="I412"/>
      <c r="J412"/>
      <c r="K412"/>
      <c r="L412"/>
      <c r="M412"/>
      <c r="N412"/>
      <c r="O412"/>
      <c r="P412"/>
      <c r="Q412"/>
      <c r="R412"/>
      <c r="S412"/>
      <c r="T412"/>
      <c r="U412"/>
      <c r="V412"/>
      <c r="W412"/>
      <c r="X412"/>
      <c r="Y412"/>
      <c r="Z412"/>
      <c r="AA412"/>
      <c r="AB412"/>
      <c r="AC412"/>
      <c r="AD412"/>
      <c r="AE412"/>
      <c r="AF412"/>
      <c r="AG412"/>
      <c r="AH412"/>
      <c r="AI412"/>
      <c r="AJ412"/>
      <c r="AK412"/>
      <c r="AL412"/>
      <c r="AM412"/>
      <c r="AN412"/>
      <c r="AO412"/>
      <c r="AP412"/>
      <c r="AQ412"/>
      <c r="AR412"/>
      <c r="AS412"/>
      <c r="AT412"/>
      <c r="AU412"/>
      <c r="AV412"/>
      <c r="AW412"/>
      <c r="AX412"/>
      <c r="AY412"/>
      <c r="AZ412"/>
      <c r="BA412"/>
      <c r="BB412"/>
      <c r="BC412"/>
      <c r="BD412"/>
      <c r="BE412"/>
      <c r="BF412"/>
      <c r="BG412"/>
      <c r="BH412"/>
      <c r="BI412"/>
      <c r="BJ412"/>
      <c r="BK412"/>
      <c r="BL412"/>
      <c r="BM412"/>
      <c r="BN412"/>
      <c r="BO412"/>
      <c r="BP412"/>
      <c r="BQ412"/>
      <c r="BR412"/>
      <c r="BS412"/>
      <c r="BT412"/>
      <c r="BU412"/>
      <c r="BV412"/>
      <c r="BW412"/>
      <c r="BX412"/>
      <c r="BY412"/>
      <c r="BZ412"/>
      <c r="CA412"/>
      <c r="CB412"/>
      <c r="CC412"/>
    </row>
    <row r="413" spans="1:81" x14ac:dyDescent="0.25">
      <c r="A413"/>
      <c r="B413"/>
      <c r="C413"/>
      <c r="D413"/>
      <c r="E413"/>
      <c r="F413"/>
      <c r="G413"/>
      <c r="H413"/>
      <c r="I413"/>
      <c r="J413"/>
      <c r="K413"/>
      <c r="L413"/>
      <c r="M413"/>
      <c r="N413"/>
      <c r="O413"/>
      <c r="P413"/>
      <c r="Q413"/>
      <c r="R413"/>
      <c r="S413"/>
      <c r="T413"/>
      <c r="U413"/>
      <c r="V413"/>
      <c r="W413"/>
      <c r="X413"/>
      <c r="Y413"/>
      <c r="Z413"/>
      <c r="AA413"/>
      <c r="AB413"/>
      <c r="AC413"/>
      <c r="AD413"/>
      <c r="AE413"/>
      <c r="AF413"/>
      <c r="AG413"/>
      <c r="AH413"/>
      <c r="AI413"/>
      <c r="AJ413"/>
      <c r="AK413"/>
      <c r="AL413"/>
      <c r="AM413"/>
      <c r="AN413"/>
      <c r="AO413"/>
      <c r="AP413"/>
      <c r="AQ413"/>
      <c r="AR413"/>
      <c r="AS413"/>
      <c r="AT413"/>
      <c r="AU413"/>
      <c r="AV413"/>
      <c r="AW413"/>
      <c r="AX413"/>
      <c r="AY413"/>
      <c r="AZ413"/>
      <c r="BA413"/>
      <c r="BB413"/>
      <c r="BC413"/>
      <c r="BD413"/>
      <c r="BE413"/>
      <c r="BF413"/>
      <c r="BG413"/>
      <c r="BH413"/>
      <c r="BI413"/>
      <c r="BJ413"/>
      <c r="BK413"/>
      <c r="BL413"/>
      <c r="BM413"/>
      <c r="BN413"/>
      <c r="BO413"/>
      <c r="BP413"/>
      <c r="BQ413"/>
      <c r="BR413"/>
      <c r="BS413"/>
      <c r="BT413"/>
      <c r="BU413"/>
      <c r="BV413"/>
      <c r="BW413"/>
      <c r="BX413"/>
      <c r="BY413"/>
      <c r="BZ413"/>
      <c r="CA413"/>
      <c r="CB413"/>
      <c r="CC413"/>
    </row>
    <row r="414" spans="1:81" x14ac:dyDescent="0.25">
      <c r="A414"/>
      <c r="B414"/>
      <c r="C414"/>
      <c r="D414"/>
      <c r="E414"/>
      <c r="F414"/>
      <c r="G414"/>
      <c r="H414"/>
      <c r="I414"/>
      <c r="J414"/>
      <c r="K414"/>
      <c r="L414"/>
      <c r="M414"/>
      <c r="N414"/>
      <c r="O414"/>
      <c r="P414"/>
      <c r="Q414"/>
      <c r="R414"/>
      <c r="S414"/>
      <c r="T414"/>
      <c r="U414"/>
      <c r="V414"/>
      <c r="W414"/>
      <c r="X414"/>
      <c r="Y414"/>
      <c r="Z414"/>
      <c r="AA414"/>
      <c r="AB414"/>
      <c r="AC414"/>
      <c r="AD414"/>
      <c r="AE414"/>
      <c r="AF414"/>
      <c r="AG414"/>
      <c r="AH414"/>
      <c r="AI414"/>
      <c r="AJ414"/>
      <c r="AK414"/>
      <c r="AL414"/>
      <c r="AM414"/>
      <c r="AN414"/>
      <c r="AO414"/>
      <c r="AP414"/>
      <c r="AQ414"/>
      <c r="AR414"/>
      <c r="AS414"/>
      <c r="AT414"/>
      <c r="AU414"/>
      <c r="AV414"/>
      <c r="AW414"/>
      <c r="AX414"/>
      <c r="AY414"/>
      <c r="AZ414"/>
      <c r="BA414"/>
      <c r="BB414"/>
      <c r="BC414"/>
      <c r="BD414"/>
      <c r="BE414"/>
      <c r="BF414"/>
      <c r="BG414"/>
      <c r="BH414"/>
      <c r="BI414"/>
      <c r="BJ414"/>
      <c r="BK414"/>
      <c r="BL414"/>
      <c r="BM414"/>
      <c r="BN414"/>
      <c r="BO414"/>
      <c r="BP414"/>
      <c r="BQ414"/>
      <c r="BR414"/>
      <c r="BS414"/>
      <c r="BT414"/>
      <c r="BU414"/>
      <c r="BV414"/>
      <c r="BW414"/>
      <c r="BX414"/>
      <c r="BY414"/>
      <c r="BZ414"/>
      <c r="CA414"/>
      <c r="CB414"/>
      <c r="CC414"/>
    </row>
    <row r="415" spans="1:81" x14ac:dyDescent="0.25">
      <c r="A415"/>
      <c r="B415"/>
      <c r="C415"/>
      <c r="D415"/>
      <c r="E415"/>
      <c r="F415"/>
      <c r="G415"/>
      <c r="H415"/>
      <c r="I415"/>
      <c r="J415"/>
      <c r="K415"/>
      <c r="L415"/>
      <c r="M415"/>
      <c r="N415"/>
      <c r="O415"/>
      <c r="P415"/>
      <c r="Q415"/>
      <c r="R415"/>
      <c r="S415"/>
      <c r="T415"/>
      <c r="U415"/>
      <c r="V415"/>
      <c r="W415"/>
      <c r="X415"/>
      <c r="Y415"/>
      <c r="Z415"/>
      <c r="AA415"/>
      <c r="AB415"/>
      <c r="AC415"/>
      <c r="AD415"/>
      <c r="AE415"/>
      <c r="AF415"/>
      <c r="AG415"/>
      <c r="AH415"/>
      <c r="AI415"/>
      <c r="AJ415"/>
      <c r="AK415"/>
      <c r="AL415"/>
      <c r="AM415"/>
      <c r="AN415"/>
      <c r="AO415"/>
      <c r="AP415"/>
      <c r="AQ415"/>
      <c r="AR415"/>
      <c r="AS415"/>
      <c r="AT415"/>
      <c r="AU415"/>
      <c r="AV415"/>
      <c r="AW415"/>
      <c r="AX415"/>
      <c r="AY415"/>
      <c r="AZ415"/>
      <c r="BA415"/>
      <c r="BB415"/>
      <c r="BC415"/>
      <c r="BD415"/>
      <c r="BE415"/>
      <c r="BF415"/>
      <c r="BG415"/>
      <c r="BH415"/>
      <c r="BI415"/>
      <c r="BJ415"/>
      <c r="BK415"/>
      <c r="BL415"/>
      <c r="BM415"/>
      <c r="BN415"/>
      <c r="BO415"/>
      <c r="BP415"/>
      <c r="BQ415"/>
      <c r="BR415"/>
      <c r="BS415"/>
      <c r="BT415"/>
      <c r="BU415"/>
      <c r="BV415"/>
      <c r="BW415"/>
      <c r="BX415"/>
      <c r="BY415"/>
      <c r="BZ415"/>
      <c r="CA415"/>
      <c r="CB415"/>
      <c r="CC415"/>
    </row>
    <row r="416" spans="1:81" x14ac:dyDescent="0.25">
      <c r="A416"/>
      <c r="B416"/>
      <c r="C416"/>
      <c r="D416"/>
      <c r="E416"/>
      <c r="F416"/>
      <c r="G416"/>
      <c r="H416"/>
      <c r="I416"/>
      <c r="J416"/>
      <c r="K416"/>
      <c r="L416"/>
      <c r="M416"/>
      <c r="N416"/>
      <c r="O416"/>
      <c r="P416"/>
      <c r="Q416"/>
      <c r="R416"/>
      <c r="S416"/>
      <c r="T416"/>
      <c r="U416"/>
      <c r="V416"/>
      <c r="W416"/>
      <c r="X416"/>
      <c r="Y416"/>
      <c r="Z416"/>
      <c r="AA416"/>
      <c r="AB416"/>
      <c r="AC416"/>
      <c r="AD416"/>
      <c r="AE416"/>
      <c r="AF416"/>
      <c r="AG416"/>
      <c r="AH416"/>
      <c r="AI416"/>
      <c r="AJ416"/>
      <c r="AK416"/>
      <c r="AL416"/>
      <c r="AM416"/>
      <c r="AN416"/>
      <c r="AO416"/>
      <c r="AP416"/>
      <c r="AQ416"/>
      <c r="AR416"/>
      <c r="AS416"/>
      <c r="AT416"/>
      <c r="AU416"/>
      <c r="AV416"/>
      <c r="AW416"/>
      <c r="AX416"/>
      <c r="AY416"/>
      <c r="AZ416"/>
      <c r="BA416"/>
      <c r="BB416"/>
      <c r="BC416"/>
      <c r="BD416"/>
      <c r="BE416"/>
      <c r="BF416"/>
      <c r="BG416"/>
      <c r="BH416"/>
      <c r="BI416"/>
      <c r="BJ416"/>
      <c r="BK416"/>
      <c r="BL416"/>
      <c r="BM416"/>
      <c r="BN416"/>
      <c r="BO416"/>
      <c r="BP416"/>
      <c r="BQ416"/>
      <c r="BR416"/>
      <c r="BS416"/>
      <c r="BT416"/>
      <c r="BU416"/>
      <c r="BV416"/>
      <c r="BW416"/>
      <c r="BX416"/>
      <c r="BY416"/>
      <c r="BZ416"/>
      <c r="CA416"/>
      <c r="CB416"/>
      <c r="CC416"/>
    </row>
    <row r="417" spans="1:81" x14ac:dyDescent="0.25">
      <c r="A417"/>
      <c r="B417"/>
      <c r="C417"/>
      <c r="D417"/>
      <c r="E417"/>
      <c r="F417"/>
      <c r="G417"/>
      <c r="H417"/>
      <c r="I417"/>
      <c r="J417"/>
      <c r="K417"/>
      <c r="L417"/>
      <c r="M417"/>
      <c r="N417"/>
      <c r="O417"/>
      <c r="P417"/>
      <c r="Q417"/>
      <c r="R417"/>
      <c r="S417"/>
      <c r="T417"/>
      <c r="U417"/>
      <c r="V417"/>
      <c r="W417"/>
      <c r="X417"/>
      <c r="Y417"/>
      <c r="Z417"/>
      <c r="AA417"/>
      <c r="AB417"/>
      <c r="AC417"/>
      <c r="AD417"/>
      <c r="AE417"/>
      <c r="AF417"/>
      <c r="AG417"/>
      <c r="AH417"/>
      <c r="AI417"/>
      <c r="AJ417"/>
      <c r="AK417"/>
      <c r="AL417"/>
      <c r="AM417"/>
      <c r="AN417"/>
      <c r="AO417"/>
      <c r="AP417"/>
      <c r="AQ417"/>
      <c r="AR417"/>
      <c r="AS417"/>
      <c r="AT417"/>
      <c r="AU417"/>
      <c r="AV417"/>
      <c r="AW417"/>
      <c r="AX417"/>
      <c r="AY417"/>
      <c r="AZ417"/>
      <c r="BA417"/>
      <c r="BB417"/>
      <c r="BC417"/>
      <c r="BD417"/>
      <c r="BE417"/>
      <c r="BF417"/>
      <c r="BG417"/>
      <c r="BH417"/>
      <c r="BI417"/>
      <c r="BJ417"/>
      <c r="BK417"/>
      <c r="BL417"/>
      <c r="BM417"/>
      <c r="BN417"/>
      <c r="BO417"/>
      <c r="BP417"/>
      <c r="BQ417"/>
      <c r="BR417"/>
      <c r="BS417"/>
      <c r="BT417"/>
      <c r="BU417"/>
      <c r="BV417"/>
      <c r="BW417"/>
      <c r="BX417"/>
      <c r="BY417"/>
      <c r="BZ417"/>
      <c r="CA417"/>
      <c r="CB417"/>
      <c r="CC417"/>
    </row>
    <row r="418" spans="1:81" x14ac:dyDescent="0.25">
      <c r="A418"/>
      <c r="B418"/>
      <c r="C418"/>
      <c r="D418"/>
      <c r="E418"/>
      <c r="F418"/>
      <c r="G418"/>
      <c r="H418"/>
      <c r="I418"/>
      <c r="J418"/>
      <c r="K418"/>
      <c r="L418"/>
      <c r="M418"/>
      <c r="N418"/>
      <c r="O418"/>
      <c r="P418"/>
      <c r="Q418"/>
      <c r="R418"/>
      <c r="S418"/>
      <c r="T418"/>
      <c r="U418"/>
      <c r="V418"/>
      <c r="W418"/>
      <c r="X418"/>
      <c r="Y418"/>
      <c r="Z418"/>
      <c r="AA418"/>
      <c r="AB418"/>
      <c r="AC418"/>
      <c r="AD418"/>
      <c r="AE418"/>
      <c r="AF418"/>
      <c r="AG418"/>
      <c r="AH418"/>
      <c r="AI418"/>
      <c r="AJ418"/>
      <c r="AK418"/>
      <c r="AL418"/>
      <c r="AM418"/>
      <c r="AN418"/>
      <c r="AO418"/>
      <c r="AP418"/>
      <c r="AQ418"/>
      <c r="AR418"/>
      <c r="AS418"/>
      <c r="AT418"/>
      <c r="AU418"/>
      <c r="AV418"/>
      <c r="AW418"/>
      <c r="AX418"/>
      <c r="AY418"/>
      <c r="AZ418"/>
      <c r="BA418"/>
      <c r="BB418"/>
      <c r="BC418"/>
      <c r="BD418"/>
      <c r="BE418"/>
      <c r="BF418"/>
      <c r="BG418"/>
      <c r="BH418"/>
      <c r="BI418"/>
      <c r="BJ418"/>
      <c r="BK418"/>
      <c r="BL418"/>
      <c r="BM418"/>
      <c r="BN418"/>
      <c r="BO418"/>
      <c r="BP418"/>
      <c r="BQ418"/>
      <c r="BR418"/>
      <c r="BS418"/>
      <c r="BT418"/>
      <c r="BU418"/>
      <c r="BV418"/>
      <c r="BW418"/>
      <c r="BX418"/>
      <c r="BY418"/>
      <c r="BZ418"/>
      <c r="CA418"/>
      <c r="CB418"/>
      <c r="CC418"/>
    </row>
    <row r="419" spans="1:81" x14ac:dyDescent="0.25">
      <c r="A419"/>
      <c r="B419"/>
      <c r="C419"/>
      <c r="D419"/>
      <c r="E419"/>
      <c r="F419"/>
      <c r="G419"/>
      <c r="H419"/>
      <c r="I419"/>
      <c r="J419"/>
      <c r="K419"/>
      <c r="L419"/>
      <c r="M419"/>
      <c r="N419"/>
      <c r="O419"/>
      <c r="P419"/>
      <c r="Q419"/>
      <c r="R419"/>
      <c r="S419"/>
      <c r="T419"/>
      <c r="U419"/>
      <c r="V419"/>
      <c r="W419"/>
      <c r="X419"/>
      <c r="Y419"/>
      <c r="Z419"/>
      <c r="AA419"/>
      <c r="AB419"/>
      <c r="AC419"/>
      <c r="AD419"/>
      <c r="AE419"/>
      <c r="AF419"/>
      <c r="AG419"/>
      <c r="AH419"/>
      <c r="AI419"/>
      <c r="AJ419"/>
      <c r="AK419"/>
      <c r="AL419"/>
      <c r="AM419"/>
      <c r="AN419"/>
      <c r="AO419"/>
      <c r="AP419"/>
      <c r="AQ419"/>
      <c r="AR419"/>
      <c r="AS419"/>
      <c r="AT419"/>
      <c r="AU419"/>
      <c r="AV419"/>
      <c r="AW419"/>
      <c r="AX419"/>
      <c r="AY419"/>
      <c r="AZ419"/>
      <c r="BA419"/>
      <c r="BB419"/>
      <c r="BC419"/>
      <c r="BD419"/>
      <c r="BE419"/>
      <c r="BF419"/>
      <c r="BG419"/>
      <c r="BH419"/>
      <c r="BI419"/>
      <c r="BJ419"/>
      <c r="BK419"/>
      <c r="BL419"/>
      <c r="BM419"/>
      <c r="BN419"/>
      <c r="BO419"/>
      <c r="BP419"/>
      <c r="BQ419"/>
      <c r="BR419"/>
      <c r="BS419"/>
      <c r="BT419"/>
      <c r="BU419"/>
      <c r="BV419"/>
      <c r="BW419"/>
      <c r="BX419"/>
      <c r="BY419"/>
      <c r="BZ419"/>
      <c r="CA419"/>
      <c r="CB419"/>
      <c r="CC419"/>
    </row>
    <row r="420" spans="1:81" x14ac:dyDescent="0.25">
      <c r="A420"/>
      <c r="B420"/>
      <c r="C420"/>
      <c r="D420"/>
      <c r="E420"/>
      <c r="F420"/>
      <c r="G420"/>
      <c r="H420"/>
      <c r="I420"/>
      <c r="J420"/>
      <c r="K420"/>
      <c r="L420"/>
      <c r="M420"/>
      <c r="N420"/>
      <c r="O420"/>
      <c r="P420"/>
      <c r="Q420"/>
      <c r="R420"/>
      <c r="S420"/>
      <c r="T420"/>
      <c r="U420"/>
      <c r="V420"/>
      <c r="W420"/>
      <c r="X420"/>
      <c r="Y420"/>
      <c r="Z420"/>
      <c r="AA420"/>
      <c r="AB420"/>
      <c r="AC420"/>
      <c r="AD420"/>
      <c r="AE420"/>
      <c r="AF420"/>
      <c r="AG420"/>
      <c r="AH420"/>
      <c r="AI420"/>
      <c r="AJ420"/>
      <c r="AK420"/>
      <c r="AL420"/>
      <c r="AM420"/>
      <c r="AN420"/>
      <c r="AO420"/>
      <c r="AP420"/>
      <c r="AQ420"/>
      <c r="AR420"/>
      <c r="AS420"/>
      <c r="AT420"/>
      <c r="AU420"/>
      <c r="AV420"/>
      <c r="AW420"/>
      <c r="AX420"/>
      <c r="AY420"/>
      <c r="AZ420"/>
      <c r="BA420"/>
      <c r="BB420"/>
      <c r="BC420"/>
      <c r="BD420"/>
      <c r="BE420"/>
      <c r="BF420"/>
      <c r="BG420"/>
      <c r="BH420"/>
      <c r="BI420"/>
      <c r="BJ420"/>
      <c r="BK420"/>
      <c r="BL420"/>
      <c r="BM420"/>
      <c r="BN420"/>
      <c r="BO420"/>
      <c r="BP420"/>
      <c r="BQ420"/>
      <c r="BR420"/>
      <c r="BS420"/>
      <c r="BT420"/>
      <c r="BU420"/>
      <c r="BV420"/>
      <c r="BW420"/>
      <c r="BX420"/>
      <c r="BY420"/>
      <c r="BZ420"/>
      <c r="CA420"/>
      <c r="CB420"/>
      <c r="CC420"/>
    </row>
    <row r="421" spans="1:81" x14ac:dyDescent="0.25">
      <c r="A421"/>
      <c r="B421"/>
      <c r="C421"/>
      <c r="D421"/>
      <c r="E421"/>
      <c r="F421"/>
      <c r="G421"/>
      <c r="H421"/>
      <c r="I421"/>
      <c r="J421"/>
      <c r="K421"/>
      <c r="L421"/>
      <c r="M421"/>
      <c r="N421"/>
      <c r="O421"/>
      <c r="P421"/>
      <c r="Q421"/>
      <c r="R421"/>
      <c r="S421"/>
      <c r="T421"/>
      <c r="U421"/>
      <c r="V421"/>
      <c r="W421"/>
      <c r="X421"/>
      <c r="Y421"/>
      <c r="Z421"/>
      <c r="AA421"/>
      <c r="AB421"/>
      <c r="AC421"/>
      <c r="AD421"/>
      <c r="AE421"/>
      <c r="AF421"/>
      <c r="AG421"/>
      <c r="AH421"/>
      <c r="AI421"/>
      <c r="AJ421"/>
      <c r="AK421"/>
      <c r="AL421"/>
      <c r="AM421"/>
      <c r="AN421"/>
      <c r="AO421"/>
      <c r="AP421"/>
      <c r="AQ421"/>
      <c r="AR421"/>
      <c r="AS421"/>
      <c r="AT421"/>
      <c r="AU421"/>
      <c r="AV421"/>
      <c r="AW421"/>
      <c r="AX421"/>
      <c r="AY421"/>
      <c r="AZ421"/>
      <c r="BA421"/>
      <c r="BB421"/>
      <c r="BC421"/>
      <c r="BD421"/>
      <c r="BE421"/>
      <c r="BF421"/>
      <c r="BG421"/>
      <c r="BH421"/>
      <c r="BI421"/>
      <c r="BJ421"/>
      <c r="BK421"/>
      <c r="BL421"/>
      <c r="BM421"/>
      <c r="BN421"/>
      <c r="BO421"/>
      <c r="BP421"/>
      <c r="BQ421"/>
      <c r="BR421"/>
      <c r="BS421"/>
      <c r="BT421"/>
      <c r="BU421"/>
      <c r="BV421"/>
      <c r="BW421"/>
      <c r="BX421"/>
      <c r="BY421"/>
      <c r="BZ421"/>
      <c r="CA421"/>
      <c r="CB421"/>
      <c r="CC421"/>
    </row>
    <row r="422" spans="1:81" x14ac:dyDescent="0.25">
      <c r="A422"/>
      <c r="B422"/>
      <c r="C422"/>
      <c r="D422"/>
      <c r="E422"/>
      <c r="F422"/>
      <c r="G422"/>
      <c r="H422"/>
      <c r="I422"/>
      <c r="J422"/>
      <c r="K422"/>
      <c r="L422"/>
      <c r="M422"/>
      <c r="N422"/>
      <c r="O422"/>
      <c r="P422"/>
      <c r="Q422"/>
      <c r="R422"/>
      <c r="S422"/>
      <c r="T422"/>
      <c r="U422"/>
      <c r="V422"/>
      <c r="W422"/>
      <c r="X422"/>
      <c r="Y422"/>
      <c r="Z422"/>
      <c r="AA422"/>
      <c r="AB422"/>
      <c r="AC422"/>
      <c r="AD422"/>
      <c r="AE422"/>
      <c r="AF422"/>
      <c r="AG422"/>
      <c r="AH422"/>
      <c r="AI422"/>
      <c r="AJ422"/>
      <c r="AK422"/>
      <c r="AL422"/>
      <c r="AM422"/>
      <c r="AN422"/>
      <c r="AO422"/>
      <c r="AP422"/>
      <c r="AQ422"/>
      <c r="AR422"/>
      <c r="AS422"/>
      <c r="AT422"/>
      <c r="AU422"/>
      <c r="AV422"/>
      <c r="AW422"/>
      <c r="AX422"/>
      <c r="AY422"/>
      <c r="AZ422"/>
      <c r="BA422"/>
      <c r="BB422"/>
      <c r="BC422"/>
      <c r="BD422"/>
      <c r="BE422"/>
      <c r="BF422"/>
      <c r="BG422"/>
      <c r="BH422"/>
      <c r="BI422"/>
      <c r="BJ422"/>
      <c r="BK422"/>
      <c r="BL422"/>
      <c r="BM422"/>
      <c r="BN422"/>
      <c r="BO422"/>
      <c r="BP422"/>
      <c r="BQ422"/>
      <c r="BR422"/>
      <c r="BS422"/>
      <c r="BT422"/>
      <c r="BU422"/>
      <c r="BV422"/>
      <c r="BW422"/>
      <c r="BX422"/>
      <c r="BY422"/>
      <c r="BZ422"/>
      <c r="CA422"/>
      <c r="CB422"/>
      <c r="CC422"/>
    </row>
    <row r="423" spans="1:81" x14ac:dyDescent="0.25">
      <c r="A423"/>
      <c r="B423"/>
      <c r="C423"/>
      <c r="D423"/>
      <c r="E423"/>
      <c r="F423"/>
      <c r="G423"/>
      <c r="H423"/>
      <c r="I423"/>
      <c r="J423"/>
      <c r="K423"/>
      <c r="L423"/>
      <c r="M423"/>
      <c r="N423"/>
      <c r="O423"/>
      <c r="P423"/>
      <c r="Q423"/>
      <c r="R423"/>
      <c r="S423"/>
      <c r="T423"/>
      <c r="U423"/>
      <c r="V423"/>
      <c r="W423"/>
      <c r="X423"/>
      <c r="Y423"/>
      <c r="Z423"/>
      <c r="AA423"/>
      <c r="AB423"/>
      <c r="AC423"/>
      <c r="AD423"/>
      <c r="AE423"/>
      <c r="AF423"/>
      <c r="AG423"/>
      <c r="AH423"/>
      <c r="AI423"/>
      <c r="AJ423"/>
      <c r="AK423"/>
      <c r="AL423"/>
      <c r="AM423"/>
      <c r="AN423"/>
      <c r="AO423"/>
      <c r="AP423"/>
      <c r="AQ423"/>
      <c r="AR423"/>
      <c r="AS423"/>
      <c r="AT423"/>
      <c r="AU423"/>
      <c r="AV423"/>
      <c r="AW423"/>
      <c r="AX423"/>
      <c r="AY423"/>
      <c r="AZ423"/>
      <c r="BA423"/>
      <c r="BB423"/>
      <c r="BC423"/>
      <c r="BD423"/>
      <c r="BE423"/>
      <c r="BF423"/>
      <c r="BG423"/>
      <c r="BH423"/>
      <c r="BI423"/>
      <c r="BJ423"/>
      <c r="BK423"/>
      <c r="BL423"/>
      <c r="BM423"/>
      <c r="BN423"/>
      <c r="BO423"/>
      <c r="BP423"/>
      <c r="BQ423"/>
      <c r="BR423"/>
      <c r="BS423"/>
      <c r="BT423"/>
      <c r="BU423"/>
      <c r="BV423"/>
      <c r="BW423"/>
      <c r="BX423"/>
      <c r="BY423"/>
      <c r="BZ423"/>
      <c r="CA423"/>
      <c r="CB423"/>
      <c r="CC423"/>
    </row>
    <row r="424" spans="1:81" x14ac:dyDescent="0.25">
      <c r="A424"/>
      <c r="B424"/>
      <c r="C424"/>
      <c r="D424"/>
      <c r="E424"/>
      <c r="F424"/>
      <c r="G424"/>
      <c r="H424"/>
      <c r="I424"/>
      <c r="J424"/>
      <c r="K424"/>
      <c r="L424"/>
      <c r="M424"/>
      <c r="N424"/>
      <c r="O424"/>
      <c r="P424"/>
      <c r="Q424"/>
      <c r="R424"/>
      <c r="S424"/>
      <c r="T424"/>
      <c r="U424"/>
      <c r="V424"/>
      <c r="W424"/>
      <c r="X424"/>
      <c r="Y424"/>
      <c r="Z424"/>
      <c r="AA424"/>
      <c r="AB424"/>
      <c r="AC424"/>
      <c r="AD424"/>
      <c r="AE424"/>
      <c r="AF424"/>
      <c r="AG424"/>
      <c r="AH424"/>
      <c r="AI424"/>
      <c r="AJ424"/>
      <c r="AK424"/>
      <c r="AL424"/>
      <c r="AM424"/>
      <c r="AN424"/>
      <c r="AO424"/>
      <c r="AP424"/>
      <c r="AQ424"/>
      <c r="AR424"/>
      <c r="AS424"/>
      <c r="AT424"/>
      <c r="AU424"/>
      <c r="AV424"/>
      <c r="AW424"/>
      <c r="AX424"/>
      <c r="AY424"/>
      <c r="AZ424"/>
      <c r="BA424"/>
      <c r="BB424"/>
      <c r="BC424"/>
      <c r="BD424"/>
      <c r="BE424"/>
      <c r="BF424"/>
      <c r="BG424"/>
      <c r="BH424"/>
      <c r="BI424"/>
      <c r="BJ424"/>
      <c r="BK424"/>
      <c r="BL424"/>
      <c r="BM424"/>
      <c r="BN424"/>
      <c r="BO424"/>
      <c r="BP424"/>
      <c r="BQ424"/>
      <c r="BR424"/>
      <c r="BS424"/>
      <c r="BT424"/>
      <c r="BU424"/>
      <c r="BV424"/>
      <c r="BW424"/>
      <c r="BX424"/>
      <c r="BY424"/>
      <c r="BZ424"/>
      <c r="CA424"/>
      <c r="CB424"/>
      <c r="CC424"/>
    </row>
    <row r="425" spans="1:81" x14ac:dyDescent="0.25">
      <c r="A425"/>
      <c r="B425"/>
      <c r="C425"/>
      <c r="D425"/>
      <c r="E425"/>
      <c r="F425"/>
      <c r="G425"/>
      <c r="H425"/>
      <c r="I425"/>
      <c r="J425"/>
      <c r="K425"/>
      <c r="L425"/>
      <c r="M425"/>
      <c r="N425"/>
      <c r="O425"/>
      <c r="P425"/>
      <c r="Q425"/>
      <c r="R425"/>
      <c r="S425"/>
      <c r="T425"/>
      <c r="U425"/>
      <c r="V425"/>
      <c r="W425"/>
      <c r="X425"/>
      <c r="Y425"/>
      <c r="Z425"/>
      <c r="AA425"/>
      <c r="AB425"/>
      <c r="AC425"/>
      <c r="AD425"/>
      <c r="AE425"/>
      <c r="AF425"/>
      <c r="AG425"/>
      <c r="AH425"/>
      <c r="AI425"/>
      <c r="AJ425"/>
      <c r="AK425"/>
      <c r="AL425"/>
      <c r="AM425"/>
      <c r="AN425"/>
      <c r="AO425"/>
      <c r="AP425"/>
      <c r="AQ425"/>
      <c r="AR425"/>
      <c r="AS425"/>
      <c r="AT425"/>
      <c r="AU425"/>
      <c r="AV425"/>
      <c r="AW425"/>
      <c r="AX425"/>
      <c r="AY425"/>
      <c r="AZ425"/>
      <c r="BA425"/>
      <c r="BB425"/>
      <c r="BC425"/>
      <c r="BD425"/>
      <c r="BE425"/>
      <c r="BF425"/>
      <c r="BG425"/>
      <c r="BH425"/>
      <c r="BI425"/>
      <c r="BJ425"/>
      <c r="BK425"/>
      <c r="BL425"/>
      <c r="BM425"/>
      <c r="BN425"/>
      <c r="BO425"/>
      <c r="BP425"/>
      <c r="BQ425"/>
      <c r="BR425"/>
      <c r="BS425"/>
      <c r="BT425"/>
      <c r="BU425"/>
      <c r="BV425"/>
      <c r="BW425"/>
      <c r="BX425"/>
      <c r="BY425"/>
      <c r="BZ425"/>
      <c r="CA425"/>
      <c r="CB425"/>
      <c r="CC425"/>
    </row>
    <row r="426" spans="1:81" x14ac:dyDescent="0.25">
      <c r="A426"/>
      <c r="B426"/>
      <c r="C426"/>
      <c r="D426"/>
      <c r="E426"/>
      <c r="F426"/>
      <c r="G426"/>
      <c r="H426"/>
      <c r="I426"/>
      <c r="J426"/>
      <c r="K426"/>
      <c r="L426"/>
      <c r="M426"/>
      <c r="N426"/>
      <c r="O426"/>
      <c r="P426"/>
      <c r="Q426"/>
      <c r="R426"/>
      <c r="S426"/>
      <c r="T426"/>
      <c r="U426"/>
      <c r="V426"/>
      <c r="W426"/>
      <c r="X426"/>
      <c r="Y426"/>
      <c r="Z426"/>
      <c r="AA426"/>
      <c r="AB426"/>
      <c r="AC426"/>
      <c r="AD426"/>
      <c r="AE426"/>
      <c r="AF426"/>
      <c r="AG426"/>
      <c r="AH426"/>
      <c r="AI426"/>
      <c r="AJ426"/>
      <c r="AK426"/>
      <c r="AL426"/>
      <c r="AM426"/>
      <c r="AN426"/>
      <c r="AO426"/>
      <c r="AP426"/>
      <c r="AQ426"/>
      <c r="AR426"/>
      <c r="AS426"/>
      <c r="AT426"/>
      <c r="AU426"/>
      <c r="AV426"/>
      <c r="AW426"/>
      <c r="AX426"/>
      <c r="AY426"/>
      <c r="AZ426"/>
      <c r="BA426"/>
      <c r="BB426"/>
      <c r="BC426"/>
      <c r="BD426"/>
      <c r="BE426"/>
      <c r="BF426"/>
      <c r="BG426"/>
      <c r="BH426"/>
      <c r="BI426"/>
      <c r="BJ426"/>
      <c r="BK426"/>
      <c r="BL426"/>
      <c r="BM426"/>
      <c r="BN426"/>
      <c r="BO426"/>
      <c r="BP426"/>
      <c r="BQ426"/>
      <c r="BR426"/>
      <c r="BS426"/>
      <c r="BT426"/>
      <c r="BU426"/>
      <c r="BV426"/>
      <c r="BW426"/>
      <c r="BX426"/>
      <c r="BY426"/>
      <c r="BZ426"/>
      <c r="CA426"/>
      <c r="CB426"/>
      <c r="CC426"/>
    </row>
    <row r="427" spans="1:81" x14ac:dyDescent="0.25">
      <c r="A427"/>
      <c r="B427"/>
      <c r="C427"/>
      <c r="D427"/>
      <c r="E427"/>
      <c r="F427"/>
      <c r="G427"/>
      <c r="H427"/>
      <c r="I427"/>
      <c r="J427"/>
      <c r="K427"/>
      <c r="L427"/>
      <c r="M427"/>
      <c r="N427"/>
      <c r="O427"/>
      <c r="P427"/>
      <c r="Q427"/>
      <c r="R427"/>
      <c r="S427"/>
      <c r="T427"/>
      <c r="U427"/>
      <c r="V427"/>
      <c r="W427"/>
      <c r="X427"/>
      <c r="Y427"/>
      <c r="Z427"/>
      <c r="AA427"/>
      <c r="AB427"/>
      <c r="AC427"/>
      <c r="AD427"/>
      <c r="AE427"/>
      <c r="AF427"/>
      <c r="AG427"/>
      <c r="AH427"/>
      <c r="AI427"/>
      <c r="AJ427"/>
      <c r="AK427"/>
      <c r="AL427"/>
      <c r="AM427"/>
      <c r="AN427"/>
      <c r="AO427"/>
      <c r="AP427"/>
      <c r="AQ427"/>
      <c r="AR427"/>
      <c r="AS427"/>
      <c r="AT427"/>
      <c r="AU427"/>
      <c r="AV427"/>
      <c r="AW427"/>
      <c r="AX427"/>
      <c r="AY427"/>
      <c r="AZ427"/>
      <c r="BA427"/>
      <c r="BB427"/>
      <c r="BC427"/>
      <c r="BD427"/>
      <c r="BE427"/>
      <c r="BF427"/>
      <c r="BG427"/>
      <c r="BH427"/>
      <c r="BI427"/>
      <c r="BJ427"/>
      <c r="BK427"/>
      <c r="BL427"/>
      <c r="BM427"/>
      <c r="BN427"/>
      <c r="BO427"/>
      <c r="BP427"/>
      <c r="BQ427"/>
      <c r="BR427"/>
      <c r="BS427"/>
      <c r="BT427"/>
      <c r="BU427"/>
      <c r="BV427"/>
      <c r="BW427"/>
      <c r="BX427"/>
      <c r="BY427"/>
      <c r="BZ427"/>
      <c r="CA427"/>
      <c r="CB427"/>
      <c r="CC427"/>
    </row>
    <row r="428" spans="1:81" x14ac:dyDescent="0.25">
      <c r="A428"/>
      <c r="B428"/>
      <c r="C428"/>
      <c r="D428"/>
      <c r="E428"/>
      <c r="F428"/>
      <c r="G428"/>
      <c r="H428"/>
      <c r="I428"/>
      <c r="J428"/>
      <c r="K428"/>
      <c r="L428"/>
      <c r="M428"/>
      <c r="N428"/>
      <c r="O428"/>
      <c r="P428"/>
      <c r="Q428"/>
      <c r="R428"/>
      <c r="S428"/>
      <c r="T428"/>
      <c r="U428"/>
      <c r="V428"/>
      <c r="W428"/>
      <c r="X428"/>
      <c r="Y428"/>
      <c r="Z428"/>
      <c r="AA428"/>
      <c r="AB428"/>
      <c r="AC428"/>
      <c r="AD428"/>
      <c r="AE428"/>
      <c r="AF428"/>
      <c r="AG428"/>
      <c r="AH428"/>
      <c r="AI428"/>
      <c r="AJ428"/>
      <c r="AK428"/>
      <c r="AL428"/>
      <c r="AM428"/>
      <c r="AN428"/>
      <c r="AO428"/>
      <c r="AP428"/>
      <c r="AQ428"/>
      <c r="AR428"/>
      <c r="AS428"/>
      <c r="AT428"/>
      <c r="AU428"/>
      <c r="AV428"/>
      <c r="AW428"/>
      <c r="AX428"/>
      <c r="AY428"/>
      <c r="AZ428"/>
      <c r="BA428"/>
      <c r="BB428"/>
      <c r="BC428"/>
      <c r="BD428"/>
      <c r="BE428"/>
      <c r="BF428"/>
      <c r="BG428"/>
      <c r="BH428"/>
      <c r="BI428"/>
      <c r="BJ428"/>
      <c r="BK428"/>
      <c r="BL428"/>
      <c r="BM428"/>
      <c r="BN428"/>
      <c r="BO428"/>
      <c r="BP428"/>
      <c r="BQ428"/>
      <c r="BR428"/>
      <c r="BS428"/>
      <c r="BT428"/>
      <c r="BU428"/>
      <c r="BV428"/>
      <c r="BW428"/>
      <c r="BX428"/>
      <c r="BY428"/>
      <c r="BZ428"/>
      <c r="CA428"/>
      <c r="CB428"/>
      <c r="CC428"/>
    </row>
    <row r="429" spans="1:81" x14ac:dyDescent="0.25">
      <c r="A429"/>
      <c r="B429"/>
      <c r="C429"/>
      <c r="D429"/>
      <c r="E429"/>
      <c r="F429"/>
      <c r="G429"/>
      <c r="H429"/>
      <c r="I429"/>
      <c r="J429"/>
      <c r="K429"/>
      <c r="L429"/>
      <c r="M429"/>
      <c r="N429"/>
      <c r="O429"/>
      <c r="P429"/>
      <c r="Q429"/>
      <c r="R429"/>
      <c r="S429"/>
      <c r="T429"/>
      <c r="U429"/>
      <c r="V429"/>
      <c r="W429"/>
      <c r="X429"/>
      <c r="Y429"/>
      <c r="Z429"/>
      <c r="AA429"/>
      <c r="AB429"/>
      <c r="AC429"/>
      <c r="AD429"/>
      <c r="AE429"/>
      <c r="AF429"/>
      <c r="AG429"/>
      <c r="AH429"/>
      <c r="AI429"/>
      <c r="AJ429"/>
      <c r="AK429"/>
      <c r="AL429"/>
      <c r="AM429"/>
      <c r="AN429"/>
      <c r="AO429"/>
      <c r="AP429"/>
      <c r="AQ429"/>
      <c r="AR429"/>
      <c r="AS429"/>
      <c r="AT429"/>
      <c r="AU429"/>
      <c r="AV429"/>
      <c r="AW429"/>
      <c r="AX429"/>
      <c r="AY429"/>
      <c r="AZ429"/>
      <c r="BA429"/>
      <c r="BB429"/>
      <c r="BC429"/>
      <c r="BD429"/>
      <c r="BE429"/>
      <c r="BF429"/>
      <c r="BG429"/>
      <c r="BH429"/>
      <c r="BI429"/>
      <c r="BJ429"/>
      <c r="BK429"/>
      <c r="BL429"/>
      <c r="BM429"/>
      <c r="BN429"/>
      <c r="BO429"/>
      <c r="BP429"/>
      <c r="BQ429"/>
      <c r="BR429"/>
      <c r="BS429"/>
      <c r="BT429"/>
      <c r="BU429"/>
      <c r="BV429"/>
      <c r="BW429"/>
      <c r="BX429"/>
      <c r="BY429"/>
      <c r="BZ429"/>
      <c r="CA429"/>
      <c r="CB429"/>
      <c r="CC429"/>
    </row>
    <row r="430" spans="1:81" x14ac:dyDescent="0.25">
      <c r="A430"/>
      <c r="B430"/>
      <c r="C430"/>
      <c r="D430"/>
      <c r="E430"/>
      <c r="F430"/>
      <c r="G430"/>
      <c r="H430"/>
      <c r="I430"/>
      <c r="J430"/>
      <c r="K430"/>
      <c r="L430"/>
      <c r="M430"/>
      <c r="N430"/>
      <c r="O430"/>
      <c r="P430"/>
      <c r="Q430"/>
      <c r="R430"/>
      <c r="S430"/>
      <c r="T430"/>
      <c r="U430"/>
      <c r="V430"/>
      <c r="W430"/>
      <c r="X430"/>
      <c r="Y430"/>
      <c r="Z430"/>
      <c r="AA430"/>
      <c r="AB430"/>
      <c r="AC430"/>
      <c r="AD430"/>
      <c r="AE430"/>
      <c r="AF430"/>
      <c r="AG430"/>
      <c r="AH430"/>
      <c r="AI430"/>
      <c r="AJ430"/>
      <c r="AK430"/>
      <c r="AL430"/>
      <c r="AM430"/>
      <c r="AN430"/>
      <c r="AO430"/>
      <c r="AP430"/>
      <c r="AQ430"/>
      <c r="AR430"/>
      <c r="AS430"/>
      <c r="AT430"/>
      <c r="AU430"/>
      <c r="AV430"/>
      <c r="AW430"/>
      <c r="AX430"/>
      <c r="AY430"/>
      <c r="AZ430"/>
      <c r="BA430"/>
      <c r="BB430"/>
      <c r="BC430"/>
      <c r="BD430"/>
      <c r="BE430"/>
      <c r="BF430"/>
      <c r="BG430"/>
      <c r="BH430"/>
      <c r="BI430"/>
      <c r="BJ430"/>
      <c r="BK430"/>
      <c r="BL430"/>
      <c r="BM430"/>
      <c r="BN430"/>
      <c r="BO430"/>
      <c r="BP430"/>
      <c r="BQ430"/>
      <c r="BR430"/>
      <c r="BS430"/>
      <c r="BT430"/>
      <c r="BU430"/>
      <c r="BV430"/>
      <c r="BW430"/>
      <c r="BX430"/>
      <c r="BY430"/>
      <c r="BZ430"/>
      <c r="CA430"/>
      <c r="CB430"/>
      <c r="CC430"/>
    </row>
    <row r="431" spans="1:81" x14ac:dyDescent="0.25">
      <c r="A431"/>
      <c r="B431"/>
      <c r="C431"/>
      <c r="D431"/>
      <c r="E431"/>
      <c r="F431"/>
      <c r="G431"/>
      <c r="H431"/>
      <c r="I431"/>
      <c r="J431"/>
      <c r="K431"/>
      <c r="L431"/>
      <c r="M431"/>
      <c r="N431"/>
      <c r="O431"/>
      <c r="P431"/>
      <c r="Q431"/>
      <c r="R431"/>
      <c r="S431"/>
      <c r="T431"/>
      <c r="U431"/>
      <c r="V431"/>
      <c r="W431"/>
      <c r="X431"/>
      <c r="Y431"/>
      <c r="Z431"/>
      <c r="AA431"/>
      <c r="AB431"/>
      <c r="AC431"/>
      <c r="AD431"/>
      <c r="AE431"/>
      <c r="AF431"/>
      <c r="AG431"/>
      <c r="AH431"/>
      <c r="AI431"/>
      <c r="AJ431"/>
      <c r="AK431"/>
      <c r="AL431"/>
      <c r="AM431"/>
      <c r="AN431"/>
      <c r="AO431"/>
      <c r="AP431"/>
      <c r="AQ431"/>
      <c r="AR431"/>
      <c r="AS431"/>
      <c r="AT431"/>
      <c r="AU431"/>
      <c r="AV431"/>
      <c r="AW431"/>
      <c r="AX431"/>
      <c r="AY431"/>
      <c r="AZ431"/>
      <c r="BA431"/>
      <c r="BB431"/>
      <c r="BC431"/>
      <c r="BD431"/>
      <c r="BE431"/>
      <c r="BF431"/>
      <c r="BG431"/>
      <c r="BH431"/>
      <c r="BI431"/>
      <c r="BJ431"/>
      <c r="BK431"/>
      <c r="BL431"/>
      <c r="BM431"/>
      <c r="BN431"/>
      <c r="BO431"/>
      <c r="BP431"/>
      <c r="BQ431"/>
      <c r="BR431"/>
      <c r="BS431"/>
      <c r="BT431"/>
      <c r="BU431"/>
      <c r="BV431"/>
      <c r="BW431"/>
      <c r="BX431"/>
      <c r="BY431"/>
      <c r="BZ431"/>
      <c r="CA431"/>
      <c r="CB431"/>
      <c r="CC431"/>
    </row>
    <row r="432" spans="1:81" x14ac:dyDescent="0.25">
      <c r="A432"/>
      <c r="B432"/>
      <c r="C432"/>
      <c r="D432"/>
      <c r="E432"/>
      <c r="F432"/>
      <c r="G432"/>
      <c r="H432"/>
      <c r="I432"/>
      <c r="J432"/>
      <c r="K432"/>
      <c r="L432"/>
      <c r="M432"/>
      <c r="N432"/>
      <c r="O432"/>
      <c r="P432"/>
      <c r="Q432"/>
      <c r="R432"/>
      <c r="S432"/>
      <c r="T432"/>
      <c r="U432"/>
      <c r="V432"/>
      <c r="W432"/>
      <c r="X432"/>
      <c r="Y432"/>
      <c r="Z432"/>
      <c r="AA432"/>
      <c r="AB432"/>
      <c r="AC432"/>
      <c r="AD432"/>
      <c r="AE432"/>
      <c r="AF432"/>
      <c r="AG432"/>
      <c r="AH432"/>
      <c r="AI432"/>
      <c r="AJ432"/>
      <c r="AK432"/>
      <c r="AL432"/>
      <c r="AM432"/>
      <c r="AN432"/>
      <c r="AO432"/>
      <c r="AP432"/>
      <c r="AQ432"/>
      <c r="AR432"/>
      <c r="AS432"/>
      <c r="AT432"/>
      <c r="AU432"/>
      <c r="AV432"/>
      <c r="AW432"/>
      <c r="AX432"/>
      <c r="AY432"/>
      <c r="AZ432"/>
      <c r="BA432"/>
      <c r="BB432"/>
      <c r="BC432"/>
      <c r="BD432"/>
      <c r="BE432"/>
      <c r="BF432"/>
      <c r="BG432"/>
      <c r="BH432"/>
      <c r="BI432"/>
      <c r="BJ432"/>
      <c r="BK432"/>
      <c r="BL432"/>
      <c r="BM432"/>
      <c r="BN432"/>
      <c r="BO432"/>
      <c r="BP432"/>
      <c r="BQ432"/>
      <c r="BR432"/>
      <c r="BS432"/>
      <c r="BT432"/>
      <c r="BU432"/>
      <c r="BV432"/>
      <c r="BW432"/>
      <c r="BX432"/>
      <c r="BY432"/>
      <c r="BZ432"/>
      <c r="CA432"/>
      <c r="CB432"/>
      <c r="CC432"/>
    </row>
    <row r="433" spans="1:81" x14ac:dyDescent="0.25">
      <c r="A433"/>
      <c r="B433"/>
      <c r="C433"/>
      <c r="D433"/>
      <c r="E433"/>
      <c r="F433"/>
      <c r="G433"/>
      <c r="H433"/>
      <c r="I433"/>
      <c r="J433"/>
      <c r="K433"/>
      <c r="L433"/>
      <c r="M433"/>
      <c r="N433"/>
      <c r="O433"/>
      <c r="P433"/>
      <c r="Q433"/>
      <c r="R433"/>
      <c r="S433"/>
      <c r="T433"/>
      <c r="U433"/>
      <c r="V433"/>
      <c r="W433"/>
      <c r="X433"/>
      <c r="Y433"/>
      <c r="Z433"/>
      <c r="AA433"/>
      <c r="AB433"/>
      <c r="AC433"/>
      <c r="AD433"/>
      <c r="AE433"/>
      <c r="AF433"/>
      <c r="AG433"/>
      <c r="AH433"/>
      <c r="AI433"/>
      <c r="AJ433"/>
      <c r="AK433"/>
      <c r="AL433"/>
      <c r="AM433"/>
      <c r="AN433"/>
      <c r="AO433"/>
      <c r="AP433"/>
      <c r="AQ433"/>
      <c r="AR433"/>
      <c r="AS433"/>
      <c r="AT433"/>
      <c r="AU433"/>
      <c r="AV433"/>
      <c r="AW433"/>
      <c r="AX433"/>
      <c r="AY433"/>
      <c r="AZ433"/>
      <c r="BA433"/>
      <c r="BB433"/>
      <c r="BC433"/>
      <c r="BD433"/>
      <c r="BE433"/>
      <c r="BF433"/>
      <c r="BG433"/>
      <c r="BH433"/>
      <c r="BI433"/>
      <c r="BJ433"/>
      <c r="BK433"/>
      <c r="BL433"/>
      <c r="BM433"/>
      <c r="BN433"/>
      <c r="BO433"/>
      <c r="BP433"/>
      <c r="BQ433"/>
      <c r="BR433"/>
      <c r="BS433"/>
      <c r="BT433"/>
      <c r="BU433"/>
      <c r="BV433"/>
      <c r="BW433"/>
      <c r="BX433"/>
      <c r="BY433"/>
      <c r="BZ433"/>
      <c r="CA433"/>
      <c r="CB433"/>
      <c r="CC433"/>
    </row>
    <row r="434" spans="1:81" x14ac:dyDescent="0.25">
      <c r="A434"/>
      <c r="B434"/>
      <c r="C434"/>
      <c r="D434"/>
      <c r="E434"/>
      <c r="F434"/>
      <c r="G434"/>
      <c r="H434"/>
      <c r="I434"/>
      <c r="J434"/>
      <c r="K434"/>
      <c r="L434"/>
      <c r="M434"/>
      <c r="N434"/>
      <c r="O434"/>
      <c r="P434"/>
      <c r="Q434"/>
      <c r="R434"/>
      <c r="S434"/>
      <c r="T434"/>
      <c r="U434"/>
      <c r="V434"/>
      <c r="W434"/>
      <c r="X434"/>
      <c r="Y434"/>
      <c r="Z434"/>
      <c r="AA434"/>
      <c r="AB434"/>
      <c r="AC434"/>
      <c r="AD434"/>
      <c r="AE434"/>
      <c r="AF434"/>
      <c r="AG434"/>
      <c r="AH434"/>
      <c r="AI434"/>
      <c r="AJ434"/>
      <c r="AK434"/>
      <c r="AL434"/>
      <c r="AM434"/>
      <c r="AN434"/>
      <c r="AO434"/>
      <c r="AP434"/>
      <c r="AQ434"/>
      <c r="AR434"/>
      <c r="AS434"/>
      <c r="AT434"/>
      <c r="AU434"/>
      <c r="AV434"/>
      <c r="AW434"/>
      <c r="AX434"/>
      <c r="AY434"/>
      <c r="AZ434"/>
      <c r="BA434"/>
      <c r="BB434"/>
      <c r="BC434"/>
      <c r="BD434"/>
      <c r="BE434"/>
      <c r="BF434"/>
      <c r="BG434"/>
      <c r="BH434"/>
      <c r="BI434"/>
      <c r="BJ434"/>
      <c r="BK434"/>
      <c r="BL434"/>
      <c r="BM434"/>
      <c r="BN434"/>
      <c r="BO434"/>
      <c r="BP434"/>
      <c r="BQ434"/>
      <c r="BR434"/>
      <c r="BS434"/>
      <c r="BT434"/>
      <c r="BU434"/>
      <c r="BV434"/>
      <c r="BW434"/>
      <c r="BX434"/>
      <c r="BY434"/>
      <c r="BZ434"/>
      <c r="CA434"/>
      <c r="CB434"/>
      <c r="CC434"/>
    </row>
    <row r="435" spans="1:81" x14ac:dyDescent="0.25">
      <c r="A435"/>
      <c r="B435"/>
      <c r="C435"/>
      <c r="D435"/>
      <c r="E435"/>
      <c r="F435"/>
      <c r="G435"/>
      <c r="H435"/>
      <c r="I435"/>
      <c r="J435"/>
      <c r="K435"/>
      <c r="L435"/>
      <c r="M435"/>
      <c r="N435"/>
      <c r="O435"/>
      <c r="P435"/>
      <c r="Q435"/>
      <c r="R435"/>
      <c r="S435"/>
      <c r="T435"/>
      <c r="U435"/>
      <c r="V435"/>
      <c r="W435"/>
      <c r="X435"/>
      <c r="Y435"/>
      <c r="Z435"/>
      <c r="AA435"/>
      <c r="AB435"/>
      <c r="AC435"/>
      <c r="AD435"/>
      <c r="AE435"/>
      <c r="AF435"/>
      <c r="AG435"/>
      <c r="AH435"/>
      <c r="AI435"/>
      <c r="AJ435"/>
      <c r="AK435"/>
      <c r="AL435"/>
      <c r="AM435"/>
      <c r="AN435"/>
      <c r="AO435"/>
      <c r="AP435"/>
      <c r="AQ435"/>
      <c r="AR435"/>
      <c r="AS435"/>
      <c r="AT435"/>
      <c r="AU435"/>
      <c r="AV435"/>
      <c r="AW435"/>
      <c r="AX435"/>
      <c r="AY435"/>
      <c r="AZ435"/>
      <c r="BA435"/>
      <c r="BB435"/>
      <c r="BC435"/>
      <c r="BD435"/>
      <c r="BE435"/>
      <c r="BF435"/>
      <c r="BG435"/>
      <c r="BH435"/>
      <c r="BI435"/>
      <c r="BJ435"/>
      <c r="BK435"/>
      <c r="BL435"/>
      <c r="BM435"/>
      <c r="BN435"/>
      <c r="BO435"/>
      <c r="BP435"/>
      <c r="BQ435"/>
      <c r="BR435"/>
      <c r="BS435"/>
      <c r="BT435"/>
      <c r="BU435"/>
      <c r="BV435"/>
      <c r="BW435"/>
      <c r="BX435"/>
      <c r="BY435"/>
      <c r="BZ435"/>
      <c r="CA435"/>
      <c r="CB435"/>
      <c r="CC435"/>
    </row>
    <row r="436" spans="1:81" x14ac:dyDescent="0.25">
      <c r="A436"/>
      <c r="B436"/>
      <c r="C436"/>
      <c r="D436"/>
      <c r="E436"/>
      <c r="F436"/>
      <c r="G436"/>
      <c r="H436"/>
      <c r="I436"/>
      <c r="J436"/>
      <c r="K436"/>
      <c r="L436"/>
      <c r="M436"/>
      <c r="N436"/>
      <c r="O436"/>
      <c r="P436"/>
      <c r="Q436"/>
      <c r="R436"/>
      <c r="S436"/>
      <c r="T436"/>
      <c r="U436"/>
      <c r="V436"/>
      <c r="W436"/>
      <c r="X436"/>
      <c r="Y436"/>
      <c r="Z436"/>
      <c r="AA436"/>
      <c r="AB436"/>
      <c r="AC436"/>
      <c r="AD436"/>
      <c r="AE436"/>
      <c r="AF436"/>
      <c r="AG436"/>
      <c r="AH436"/>
      <c r="AI436"/>
      <c r="AJ436"/>
      <c r="AK436"/>
      <c r="AL436"/>
      <c r="AM436"/>
      <c r="AN436"/>
      <c r="AO436"/>
      <c r="AP436"/>
      <c r="AQ436"/>
      <c r="AR436"/>
      <c r="AS436"/>
      <c r="AT436"/>
      <c r="AU436"/>
      <c r="AV436"/>
      <c r="AW436"/>
      <c r="AX436"/>
      <c r="AY436"/>
      <c r="AZ436"/>
      <c r="BA436"/>
      <c r="BB436"/>
      <c r="BC436"/>
      <c r="BD436"/>
      <c r="BE436"/>
      <c r="BF436"/>
      <c r="BG436"/>
      <c r="BH436"/>
      <c r="BI436"/>
      <c r="BJ436"/>
      <c r="BK436"/>
      <c r="BL436"/>
      <c r="BM436"/>
      <c r="BN436"/>
      <c r="BO436"/>
      <c r="BP436"/>
      <c r="BQ436"/>
      <c r="BR436"/>
      <c r="BS436"/>
      <c r="BT436"/>
      <c r="BU436"/>
      <c r="BV436"/>
      <c r="BW436"/>
      <c r="BX436"/>
      <c r="BY436"/>
      <c r="BZ436"/>
      <c r="CA436"/>
      <c r="CB436"/>
      <c r="CC436"/>
    </row>
    <row r="437" spans="1:81" x14ac:dyDescent="0.25">
      <c r="A437"/>
      <c r="B437"/>
      <c r="C437"/>
      <c r="D437"/>
      <c r="E437"/>
      <c r="F437"/>
      <c r="G437"/>
      <c r="H437"/>
      <c r="I437"/>
      <c r="J437"/>
      <c r="K437"/>
      <c r="L437"/>
      <c r="M437"/>
      <c r="N437"/>
      <c r="O437"/>
      <c r="P437"/>
      <c r="Q437"/>
      <c r="R437"/>
      <c r="S437"/>
      <c r="T437"/>
      <c r="U437"/>
      <c r="V437"/>
      <c r="W437"/>
      <c r="X437"/>
      <c r="Y437"/>
      <c r="Z437"/>
      <c r="AA437"/>
      <c r="AB437"/>
      <c r="AC437"/>
      <c r="AD437"/>
      <c r="AE437"/>
      <c r="AF437"/>
      <c r="AG437"/>
      <c r="AH437"/>
      <c r="AI437"/>
      <c r="AJ437"/>
      <c r="AK437"/>
      <c r="AL437"/>
      <c r="AM437"/>
      <c r="AN437"/>
      <c r="AO437"/>
      <c r="AP437"/>
      <c r="AQ437"/>
      <c r="AR437"/>
      <c r="AS437"/>
      <c r="AT437"/>
      <c r="AU437"/>
      <c r="AV437"/>
      <c r="AW437"/>
      <c r="AX437"/>
      <c r="AY437"/>
      <c r="AZ437"/>
      <c r="BA437"/>
      <c r="BB437"/>
      <c r="BC437"/>
      <c r="BD437"/>
      <c r="BE437"/>
      <c r="BF437"/>
      <c r="BG437"/>
      <c r="BH437"/>
      <c r="BI437"/>
      <c r="BJ437"/>
      <c r="BK437"/>
      <c r="BL437"/>
      <c r="BM437"/>
      <c r="BN437"/>
      <c r="BO437"/>
      <c r="BP437"/>
      <c r="BQ437"/>
      <c r="BR437"/>
      <c r="BS437"/>
      <c r="BT437"/>
      <c r="BU437"/>
      <c r="BV437"/>
      <c r="BW437"/>
      <c r="BX437"/>
      <c r="BY437"/>
      <c r="BZ437"/>
      <c r="CA437"/>
      <c r="CB437"/>
      <c r="CC437"/>
    </row>
    <row r="438" spans="1:81" x14ac:dyDescent="0.25">
      <c r="A438"/>
      <c r="B438"/>
      <c r="C438"/>
      <c r="D438"/>
      <c r="E438"/>
      <c r="F438"/>
      <c r="G438"/>
      <c r="H438"/>
      <c r="I438"/>
      <c r="J438"/>
      <c r="K438"/>
      <c r="L438"/>
      <c r="M438"/>
      <c r="N438"/>
      <c r="O438"/>
      <c r="P438"/>
      <c r="Q438"/>
      <c r="R438"/>
      <c r="S438"/>
      <c r="T438"/>
      <c r="U438"/>
      <c r="V438"/>
      <c r="W438"/>
      <c r="X438"/>
      <c r="Y438"/>
      <c r="Z438"/>
      <c r="AA438"/>
      <c r="AB438"/>
      <c r="AC438"/>
      <c r="AD438"/>
      <c r="AE438"/>
      <c r="AF438"/>
      <c r="AG438"/>
      <c r="AH438"/>
      <c r="AI438"/>
      <c r="AJ438"/>
      <c r="AK438"/>
      <c r="AL438"/>
      <c r="AM438"/>
      <c r="AN438"/>
      <c r="AO438"/>
      <c r="AP438"/>
      <c r="AQ438"/>
      <c r="AR438"/>
      <c r="AS438"/>
      <c r="AT438"/>
      <c r="AU438"/>
      <c r="AV438"/>
      <c r="AW438"/>
      <c r="AX438"/>
      <c r="AY438"/>
      <c r="AZ438"/>
      <c r="BA438"/>
      <c r="BB438"/>
      <c r="BC438"/>
      <c r="BD438"/>
      <c r="BE438"/>
      <c r="BF438"/>
      <c r="BG438"/>
      <c r="BH438"/>
      <c r="BI438"/>
      <c r="BJ438"/>
      <c r="BK438"/>
      <c r="BL438"/>
      <c r="BM438"/>
      <c r="BN438"/>
      <c r="BO438"/>
      <c r="BP438"/>
      <c r="BQ438"/>
      <c r="BR438"/>
      <c r="BS438"/>
      <c r="BT438"/>
      <c r="BU438"/>
      <c r="BV438"/>
      <c r="BW438"/>
      <c r="BX438"/>
      <c r="BY438"/>
      <c r="BZ438"/>
      <c r="CA438"/>
      <c r="CB438"/>
      <c r="CC438"/>
    </row>
    <row r="439" spans="1:81" x14ac:dyDescent="0.25">
      <c r="A439"/>
      <c r="B439"/>
      <c r="C439"/>
      <c r="D439"/>
      <c r="E439"/>
      <c r="F439"/>
      <c r="G439"/>
      <c r="H439"/>
      <c r="I439"/>
      <c r="J439"/>
      <c r="K439"/>
      <c r="L439"/>
      <c r="M439"/>
      <c r="N439"/>
      <c r="O439"/>
      <c r="P439"/>
      <c r="Q439"/>
      <c r="R439"/>
      <c r="S439"/>
      <c r="T439"/>
      <c r="U439"/>
      <c r="V439"/>
      <c r="W439"/>
      <c r="X439"/>
      <c r="Y439"/>
      <c r="Z439"/>
      <c r="AA439"/>
      <c r="AB439"/>
      <c r="AC439"/>
      <c r="AD439"/>
      <c r="AE439"/>
      <c r="AF439"/>
      <c r="AG439"/>
      <c r="AH439"/>
      <c r="AI439"/>
      <c r="AJ439"/>
      <c r="AK439"/>
      <c r="AL439"/>
      <c r="AM439"/>
      <c r="AN439"/>
      <c r="AO439"/>
      <c r="AP439"/>
      <c r="AQ439"/>
      <c r="AR439"/>
      <c r="AS439"/>
      <c r="AT439"/>
      <c r="AU439"/>
      <c r="AV439"/>
      <c r="AW439"/>
      <c r="AX439"/>
      <c r="AY439"/>
      <c r="AZ439"/>
      <c r="BA439"/>
      <c r="BB439"/>
      <c r="BC439"/>
      <c r="BD439"/>
      <c r="BE439"/>
      <c r="BF439"/>
      <c r="BG439"/>
      <c r="BH439"/>
      <c r="BI439"/>
      <c r="BJ439"/>
      <c r="BK439"/>
      <c r="BL439"/>
      <c r="BM439"/>
      <c r="BN439"/>
      <c r="BO439"/>
      <c r="BP439"/>
      <c r="BQ439"/>
      <c r="BR439"/>
      <c r="BS439"/>
      <c r="BT439"/>
      <c r="BU439"/>
      <c r="BV439"/>
      <c r="BW439"/>
      <c r="BX439"/>
      <c r="BY439"/>
      <c r="BZ439"/>
      <c r="CA439"/>
      <c r="CB439"/>
      <c r="CC439"/>
    </row>
    <row r="440" spans="1:81" x14ac:dyDescent="0.25">
      <c r="A440"/>
      <c r="B440"/>
      <c r="C440"/>
      <c r="D440"/>
      <c r="E440"/>
      <c r="F440"/>
      <c r="G440"/>
      <c r="H440"/>
      <c r="I440"/>
      <c r="J440"/>
      <c r="K440"/>
      <c r="L440"/>
      <c r="M440"/>
      <c r="N440"/>
      <c r="O440"/>
      <c r="P440"/>
      <c r="Q440"/>
      <c r="R440"/>
      <c r="S440"/>
      <c r="T440"/>
      <c r="U440"/>
      <c r="V440"/>
      <c r="W440"/>
      <c r="X440"/>
      <c r="Y440"/>
      <c r="Z440"/>
      <c r="AA440"/>
      <c r="AB440"/>
      <c r="AC440"/>
      <c r="AD440"/>
      <c r="AE440"/>
      <c r="AF440"/>
      <c r="AG440"/>
      <c r="AH440"/>
      <c r="AI440"/>
      <c r="AJ440"/>
      <c r="AK440"/>
      <c r="AL440"/>
      <c r="AM440"/>
      <c r="AN440"/>
      <c r="AO440"/>
      <c r="AP440"/>
      <c r="AQ440"/>
      <c r="AR440"/>
      <c r="AS440"/>
      <c r="AT440"/>
      <c r="AU440"/>
      <c r="AV440"/>
      <c r="AW440"/>
      <c r="AX440"/>
      <c r="AY440"/>
      <c r="AZ440"/>
      <c r="BA440"/>
      <c r="BB440"/>
      <c r="BC440"/>
      <c r="BD440"/>
      <c r="BE440"/>
      <c r="BF440"/>
      <c r="BG440"/>
      <c r="BH440"/>
      <c r="BI440"/>
      <c r="BJ440"/>
      <c r="BK440"/>
      <c r="BL440"/>
      <c r="BM440"/>
      <c r="BN440"/>
      <c r="BO440"/>
      <c r="BP440"/>
      <c r="BQ440"/>
      <c r="BR440"/>
      <c r="BS440"/>
      <c r="BT440"/>
      <c r="BU440"/>
      <c r="BV440"/>
      <c r="BW440"/>
      <c r="BX440"/>
      <c r="BY440"/>
      <c r="BZ440"/>
      <c r="CA440"/>
      <c r="CB440"/>
      <c r="CC440"/>
    </row>
    <row r="441" spans="1:81" x14ac:dyDescent="0.25">
      <c r="A441"/>
      <c r="B441"/>
      <c r="C441"/>
      <c r="D441"/>
      <c r="E441"/>
      <c r="F441"/>
      <c r="G441"/>
      <c r="H441"/>
      <c r="I441"/>
      <c r="J441"/>
      <c r="K441"/>
      <c r="L441"/>
      <c r="M441"/>
      <c r="N441"/>
      <c r="O441"/>
      <c r="P441"/>
      <c r="Q441"/>
      <c r="R441"/>
      <c r="S441"/>
      <c r="T441"/>
      <c r="U441"/>
      <c r="V441"/>
      <c r="W441"/>
      <c r="X441"/>
      <c r="Y441"/>
      <c r="Z441"/>
      <c r="AA441"/>
      <c r="AB441"/>
      <c r="AC441"/>
      <c r="AD441"/>
      <c r="AE441"/>
      <c r="AF441"/>
      <c r="AG441"/>
      <c r="AH441"/>
      <c r="AI441"/>
      <c r="AJ441"/>
      <c r="AK441"/>
      <c r="AL441"/>
      <c r="AM441"/>
      <c r="AN441"/>
      <c r="AO441"/>
      <c r="AP441"/>
      <c r="AQ441"/>
      <c r="AR441"/>
      <c r="AS441"/>
      <c r="AT441"/>
      <c r="AU441"/>
      <c r="AV441"/>
      <c r="AW441"/>
      <c r="AX441"/>
      <c r="AY441"/>
      <c r="AZ441"/>
      <c r="BA441"/>
      <c r="BB441"/>
      <c r="BC441"/>
      <c r="BD441"/>
      <c r="BE441"/>
      <c r="BF441"/>
      <c r="BG441"/>
      <c r="BH441"/>
      <c r="BI441"/>
      <c r="BJ441"/>
      <c r="BK441"/>
      <c r="BL441"/>
      <c r="BM441"/>
      <c r="BN441"/>
      <c r="BO441"/>
      <c r="BP441"/>
      <c r="BQ441"/>
      <c r="BR441"/>
      <c r="BS441"/>
      <c r="BT441"/>
      <c r="BU441"/>
      <c r="BV441"/>
      <c r="BW441"/>
      <c r="BX441"/>
      <c r="BY441"/>
      <c r="BZ441"/>
      <c r="CA441"/>
      <c r="CB441"/>
      <c r="CC441"/>
    </row>
    <row r="442" spans="1:81" x14ac:dyDescent="0.25">
      <c r="A442"/>
      <c r="B442"/>
      <c r="C442"/>
      <c r="D442"/>
      <c r="E442"/>
      <c r="F442"/>
      <c r="G442"/>
      <c r="H442"/>
      <c r="I442"/>
      <c r="J442"/>
      <c r="K442"/>
      <c r="L442"/>
      <c r="M442"/>
      <c r="N442"/>
      <c r="O442"/>
      <c r="P442"/>
      <c r="Q442"/>
      <c r="R442"/>
      <c r="S442"/>
      <c r="T442"/>
      <c r="U442"/>
      <c r="V442"/>
      <c r="W442"/>
      <c r="X442"/>
      <c r="Y442"/>
      <c r="Z442"/>
      <c r="AA442"/>
      <c r="AB442"/>
      <c r="AC442"/>
      <c r="AD442"/>
      <c r="AE442"/>
      <c r="AF442"/>
      <c r="AG442"/>
      <c r="AH442"/>
      <c r="AI442"/>
      <c r="AJ442"/>
      <c r="AK442"/>
      <c r="AL442"/>
      <c r="AM442"/>
      <c r="AN442"/>
      <c r="AO442"/>
      <c r="AP442"/>
      <c r="AQ442"/>
      <c r="AR442"/>
      <c r="AS442"/>
      <c r="AT442"/>
      <c r="AU442"/>
      <c r="AV442"/>
      <c r="AW442"/>
      <c r="AX442"/>
      <c r="AY442"/>
      <c r="AZ442"/>
      <c r="BA442"/>
      <c r="BB442"/>
      <c r="BC442"/>
      <c r="BD442"/>
      <c r="BE442"/>
      <c r="BF442"/>
      <c r="BG442"/>
      <c r="BH442"/>
      <c r="BI442"/>
      <c r="BJ442"/>
      <c r="BK442"/>
      <c r="BL442"/>
      <c r="BM442"/>
      <c r="BN442"/>
      <c r="BO442"/>
      <c r="BP442"/>
      <c r="BQ442"/>
      <c r="BR442"/>
      <c r="BS442"/>
      <c r="BT442"/>
      <c r="BU442"/>
      <c r="BV442"/>
      <c r="BW442"/>
      <c r="BX442"/>
      <c r="BY442"/>
      <c r="BZ442"/>
      <c r="CA442"/>
      <c r="CB442"/>
      <c r="CC442"/>
    </row>
    <row r="443" spans="1:81" x14ac:dyDescent="0.25">
      <c r="A443"/>
      <c r="B443"/>
      <c r="C443"/>
      <c r="D443"/>
      <c r="E443"/>
      <c r="F443"/>
      <c r="G443"/>
      <c r="H443"/>
      <c r="I443"/>
      <c r="J443"/>
      <c r="K443"/>
      <c r="L443"/>
      <c r="M443"/>
      <c r="N443"/>
      <c r="O443"/>
      <c r="P443"/>
      <c r="Q443"/>
      <c r="R443"/>
      <c r="S443"/>
      <c r="T443"/>
      <c r="U443"/>
      <c r="V443"/>
      <c r="W443"/>
      <c r="X443"/>
      <c r="Y443"/>
      <c r="Z443"/>
      <c r="AA443"/>
      <c r="AB443"/>
      <c r="AC443"/>
      <c r="AD443"/>
      <c r="AE443"/>
      <c r="AF443"/>
      <c r="AG443"/>
      <c r="AH443"/>
      <c r="AI443"/>
      <c r="AJ443"/>
      <c r="AK443"/>
      <c r="AL443"/>
      <c r="AM443"/>
      <c r="AN443"/>
      <c r="AO443"/>
      <c r="AP443"/>
      <c r="AQ443"/>
      <c r="AR443"/>
      <c r="AS443"/>
      <c r="AT443"/>
      <c r="AU443"/>
      <c r="AV443"/>
      <c r="AW443"/>
      <c r="AX443"/>
      <c r="AY443"/>
      <c r="AZ443"/>
      <c r="BA443"/>
      <c r="BB443"/>
      <c r="BC443"/>
      <c r="BD443"/>
      <c r="BE443"/>
      <c r="BF443"/>
      <c r="BG443"/>
      <c r="BH443"/>
      <c r="BI443"/>
      <c r="BJ443"/>
      <c r="BK443"/>
      <c r="BL443"/>
      <c r="BM443"/>
      <c r="BN443"/>
      <c r="BO443"/>
      <c r="BP443"/>
      <c r="BQ443"/>
      <c r="BR443"/>
      <c r="BS443"/>
      <c r="BT443"/>
      <c r="BU443"/>
      <c r="BV443"/>
      <c r="BW443"/>
      <c r="BX443"/>
      <c r="BY443"/>
      <c r="BZ443"/>
      <c r="CA443"/>
      <c r="CB443"/>
      <c r="CC443"/>
    </row>
    <row r="444" spans="1:81" x14ac:dyDescent="0.25">
      <c r="A444"/>
      <c r="B444"/>
      <c r="C444"/>
      <c r="D444"/>
      <c r="E444"/>
      <c r="F444"/>
      <c r="G444"/>
      <c r="H444"/>
      <c r="I444"/>
      <c r="J444"/>
      <c r="K444"/>
      <c r="L444"/>
      <c r="M444"/>
      <c r="N444"/>
      <c r="O444"/>
      <c r="P444"/>
      <c r="Q444"/>
      <c r="R444"/>
      <c r="S444"/>
      <c r="T444"/>
      <c r="U444"/>
      <c r="V444"/>
      <c r="W444"/>
      <c r="X444"/>
      <c r="Y444"/>
      <c r="Z444"/>
      <c r="AA444"/>
      <c r="AB444"/>
      <c r="AC444"/>
      <c r="AD444"/>
      <c r="AE444"/>
      <c r="AF444"/>
      <c r="AG444"/>
      <c r="AH444"/>
      <c r="AI444"/>
      <c r="AJ444"/>
      <c r="AK444"/>
      <c r="AL444"/>
      <c r="AM444"/>
      <c r="AN444"/>
      <c r="AO444"/>
      <c r="AP444"/>
      <c r="AQ444"/>
      <c r="AR444"/>
      <c r="AS444"/>
      <c r="AT444"/>
      <c r="AU444"/>
      <c r="AV444"/>
      <c r="AW444"/>
      <c r="AX444"/>
      <c r="AY444"/>
      <c r="AZ444"/>
      <c r="BA444"/>
      <c r="BB444"/>
      <c r="BC444"/>
      <c r="BD444"/>
      <c r="BE444"/>
      <c r="BF444"/>
      <c r="BG444"/>
      <c r="BH444"/>
      <c r="BI444"/>
      <c r="BJ444"/>
      <c r="BK444"/>
      <c r="BL444"/>
      <c r="BM444"/>
      <c r="BN444"/>
      <c r="BO444"/>
      <c r="BP444"/>
      <c r="BQ444"/>
      <c r="BR444"/>
      <c r="BS444"/>
      <c r="BT444"/>
      <c r="BU444"/>
      <c r="BV444"/>
      <c r="BW444"/>
      <c r="BX444"/>
      <c r="BY444"/>
      <c r="BZ444"/>
      <c r="CA444"/>
      <c r="CB444"/>
      <c r="CC444"/>
    </row>
    <row r="445" spans="1:81" x14ac:dyDescent="0.25">
      <c r="A445"/>
      <c r="B445"/>
      <c r="C445"/>
      <c r="D445"/>
      <c r="E445"/>
      <c r="F445"/>
      <c r="G445"/>
      <c r="H445"/>
      <c r="I445"/>
      <c r="J445"/>
      <c r="K445"/>
      <c r="L445"/>
      <c r="M445"/>
      <c r="N445"/>
      <c r="O445"/>
      <c r="P445"/>
      <c r="Q445"/>
      <c r="R445"/>
      <c r="S445"/>
      <c r="T445"/>
      <c r="U445"/>
      <c r="V445"/>
      <c r="W445"/>
      <c r="X445"/>
      <c r="Y445"/>
      <c r="Z445"/>
      <c r="AA445"/>
      <c r="AB445"/>
      <c r="AC445"/>
      <c r="AD445"/>
      <c r="AE445"/>
      <c r="AF445"/>
      <c r="AG445"/>
      <c r="AH445"/>
      <c r="AI445"/>
      <c r="AJ445"/>
      <c r="AK445"/>
      <c r="AL445"/>
      <c r="AM445"/>
      <c r="AN445"/>
      <c r="AO445"/>
      <c r="AP445"/>
      <c r="AQ445"/>
      <c r="AR445"/>
      <c r="AS445"/>
      <c r="AT445"/>
      <c r="AU445"/>
      <c r="AV445"/>
      <c r="AW445"/>
      <c r="AX445"/>
      <c r="AY445"/>
      <c r="AZ445"/>
      <c r="BA445"/>
      <c r="BB445"/>
      <c r="BC445"/>
      <c r="BD445"/>
      <c r="BE445"/>
      <c r="BF445"/>
      <c r="BG445"/>
      <c r="BH445"/>
      <c r="BI445"/>
      <c r="BJ445"/>
      <c r="BK445"/>
      <c r="BL445"/>
      <c r="BM445"/>
      <c r="BN445"/>
      <c r="BO445"/>
      <c r="BP445"/>
      <c r="BQ445"/>
      <c r="BR445"/>
      <c r="BS445"/>
      <c r="BT445"/>
      <c r="BU445"/>
      <c r="BV445"/>
      <c r="BW445"/>
      <c r="BX445"/>
      <c r="BY445"/>
      <c r="BZ445"/>
      <c r="CA445"/>
      <c r="CB445"/>
      <c r="CC445"/>
    </row>
    <row r="446" spans="1:81" x14ac:dyDescent="0.25">
      <c r="A446"/>
      <c r="B446"/>
      <c r="C446"/>
      <c r="D446"/>
      <c r="E446"/>
      <c r="F446"/>
      <c r="G446"/>
      <c r="H446"/>
      <c r="I446"/>
      <c r="J446"/>
      <c r="K446"/>
      <c r="L446"/>
      <c r="M446"/>
      <c r="N446"/>
      <c r="O446"/>
      <c r="P446"/>
      <c r="Q446"/>
      <c r="R446"/>
      <c r="S446"/>
      <c r="T446"/>
      <c r="U446"/>
      <c r="V446"/>
      <c r="W446"/>
      <c r="X446"/>
      <c r="Y446"/>
      <c r="Z446"/>
      <c r="AA446"/>
      <c r="AB446"/>
      <c r="AC446"/>
      <c r="AD446"/>
      <c r="AE446"/>
      <c r="AF446"/>
      <c r="AG446"/>
      <c r="AH446"/>
      <c r="AI446"/>
      <c r="AJ446"/>
      <c r="AK446"/>
      <c r="AL446"/>
      <c r="AM446"/>
      <c r="AN446"/>
      <c r="AO446"/>
      <c r="AP446"/>
      <c r="AQ446"/>
      <c r="AR446"/>
      <c r="AS446"/>
      <c r="AT446"/>
      <c r="AU446"/>
      <c r="AV446"/>
      <c r="AW446"/>
      <c r="AX446"/>
      <c r="AY446"/>
      <c r="AZ446"/>
      <c r="BA446"/>
      <c r="BB446"/>
      <c r="BC446"/>
      <c r="BD446"/>
      <c r="BE446"/>
      <c r="BF446"/>
      <c r="BG446"/>
      <c r="BH446"/>
      <c r="BI446"/>
      <c r="BJ446"/>
      <c r="BK446"/>
      <c r="BL446"/>
      <c r="BM446"/>
      <c r="BN446"/>
      <c r="BO446"/>
      <c r="BP446"/>
      <c r="BQ446"/>
      <c r="BR446"/>
      <c r="BS446"/>
      <c r="BT446"/>
      <c r="BU446"/>
      <c r="BV446"/>
      <c r="BW446"/>
      <c r="BX446"/>
      <c r="BY446"/>
      <c r="BZ446"/>
      <c r="CA446"/>
      <c r="CB446"/>
      <c r="CC446"/>
    </row>
    <row r="447" spans="1:81" x14ac:dyDescent="0.25">
      <c r="A447"/>
      <c r="B447"/>
      <c r="C447"/>
      <c r="D447"/>
      <c r="E447"/>
      <c r="F447"/>
      <c r="G447"/>
      <c r="H447"/>
      <c r="I447"/>
      <c r="J447"/>
      <c r="K447"/>
      <c r="L447"/>
      <c r="M447"/>
      <c r="N447"/>
      <c r="O447"/>
      <c r="P447"/>
      <c r="Q447"/>
      <c r="R447"/>
      <c r="S447"/>
      <c r="T447"/>
      <c r="U447"/>
      <c r="V447"/>
      <c r="W447"/>
      <c r="X447"/>
      <c r="Y447"/>
      <c r="Z447"/>
      <c r="AA447"/>
      <c r="AB447"/>
      <c r="AC447"/>
      <c r="AD447"/>
      <c r="AE447"/>
      <c r="AF447"/>
      <c r="AG447"/>
      <c r="AH447"/>
      <c r="AI447"/>
      <c r="AJ447"/>
      <c r="AK447"/>
      <c r="AL447"/>
      <c r="AM447"/>
      <c r="AN447"/>
      <c r="AO447"/>
      <c r="AP447"/>
      <c r="AQ447"/>
      <c r="AR447"/>
      <c r="AS447"/>
      <c r="AT447"/>
      <c r="AU447"/>
      <c r="AV447"/>
      <c r="AW447"/>
      <c r="AX447"/>
      <c r="AY447"/>
      <c r="AZ447"/>
      <c r="BA447"/>
      <c r="BB447"/>
      <c r="BC447"/>
      <c r="BD447"/>
      <c r="BE447"/>
      <c r="BF447"/>
      <c r="BG447"/>
      <c r="BH447"/>
      <c r="BI447"/>
      <c r="BJ447"/>
      <c r="BK447"/>
      <c r="BL447"/>
      <c r="BM447"/>
      <c r="BN447"/>
      <c r="BO447"/>
      <c r="BP447"/>
      <c r="BQ447"/>
      <c r="BR447"/>
      <c r="BS447"/>
      <c r="BT447"/>
      <c r="BU447"/>
      <c r="BV447"/>
      <c r="BW447"/>
      <c r="BX447"/>
      <c r="BY447"/>
      <c r="BZ447"/>
      <c r="CA447"/>
      <c r="CB447"/>
      <c r="CC447"/>
    </row>
    <row r="448" spans="1:81" x14ac:dyDescent="0.25">
      <c r="A448"/>
      <c r="B448"/>
      <c r="C448"/>
      <c r="D448"/>
      <c r="E448"/>
      <c r="F448"/>
      <c r="G448"/>
      <c r="H448"/>
      <c r="I448"/>
      <c r="J448"/>
      <c r="K448"/>
      <c r="L448"/>
      <c r="M448"/>
      <c r="N448"/>
      <c r="O448"/>
      <c r="P448"/>
      <c r="Q448"/>
      <c r="R448"/>
      <c r="S448"/>
      <c r="T448"/>
      <c r="U448"/>
      <c r="V448"/>
      <c r="W448"/>
      <c r="X448"/>
      <c r="Y448"/>
      <c r="Z448"/>
      <c r="AA448"/>
      <c r="AB448"/>
      <c r="AC448"/>
      <c r="AD448"/>
      <c r="AE448"/>
      <c r="AF448"/>
      <c r="AG448"/>
      <c r="AH448"/>
      <c r="AI448"/>
      <c r="AJ448"/>
      <c r="AK448"/>
      <c r="AL448"/>
      <c r="AM448"/>
      <c r="AN448"/>
      <c r="AO448"/>
      <c r="AP448"/>
      <c r="AQ448"/>
      <c r="AR448"/>
      <c r="AS448"/>
      <c r="AT448"/>
      <c r="AU448"/>
      <c r="AV448"/>
      <c r="AW448"/>
      <c r="AX448"/>
      <c r="AY448"/>
      <c r="AZ448"/>
      <c r="BA448"/>
      <c r="BB448"/>
      <c r="BC448"/>
      <c r="BD448"/>
      <c r="BE448"/>
      <c r="BF448"/>
      <c r="BG448"/>
      <c r="BH448"/>
      <c r="BI448"/>
      <c r="BJ448"/>
      <c r="BK448"/>
      <c r="BL448"/>
      <c r="BM448"/>
      <c r="BN448"/>
      <c r="BO448"/>
      <c r="BP448"/>
      <c r="BQ448"/>
      <c r="BR448"/>
      <c r="BS448"/>
      <c r="BT448"/>
      <c r="BU448"/>
      <c r="BV448"/>
      <c r="BW448"/>
      <c r="BX448"/>
      <c r="BY448"/>
      <c r="BZ448"/>
      <c r="CA448"/>
      <c r="CB448"/>
      <c r="CC448"/>
    </row>
    <row r="449" spans="1:81" x14ac:dyDescent="0.25">
      <c r="A449"/>
      <c r="B449"/>
      <c r="C449"/>
      <c r="D449"/>
      <c r="E449"/>
      <c r="F449"/>
      <c r="G449"/>
      <c r="H449"/>
      <c r="I449"/>
      <c r="J449"/>
      <c r="K449"/>
      <c r="L449"/>
      <c r="M449"/>
      <c r="N449"/>
      <c r="O449"/>
      <c r="P449"/>
      <c r="Q449"/>
      <c r="R449"/>
      <c r="S449"/>
      <c r="T449"/>
      <c r="U449"/>
      <c r="V449"/>
      <c r="W449"/>
      <c r="X449"/>
      <c r="Y449"/>
      <c r="Z449"/>
      <c r="AA449"/>
      <c r="AB449"/>
      <c r="AC449"/>
      <c r="AD449"/>
      <c r="AE449"/>
      <c r="AF449"/>
      <c r="AG449"/>
      <c r="AH449"/>
      <c r="AI449"/>
      <c r="AJ449"/>
      <c r="AK449"/>
      <c r="AL449"/>
      <c r="AM449"/>
      <c r="AN449"/>
      <c r="AO449"/>
      <c r="AP449"/>
      <c r="AQ449"/>
      <c r="AR449"/>
      <c r="AS449"/>
      <c r="AT449"/>
      <c r="AU449"/>
      <c r="AV449"/>
      <c r="AW449"/>
      <c r="AX449"/>
      <c r="AY449"/>
      <c r="AZ449"/>
      <c r="BA449"/>
      <c r="BB449"/>
      <c r="BC449"/>
      <c r="BD449"/>
      <c r="BE449"/>
      <c r="BF449"/>
      <c r="BG449"/>
      <c r="BH449"/>
      <c r="BI449"/>
      <c r="BJ449"/>
      <c r="BK449"/>
      <c r="BL449"/>
      <c r="BM449"/>
      <c r="BN449"/>
      <c r="BO449"/>
      <c r="BP449"/>
      <c r="BQ449"/>
      <c r="BR449"/>
      <c r="BS449"/>
      <c r="BT449"/>
      <c r="BU449"/>
      <c r="BV449"/>
      <c r="BW449"/>
      <c r="BX449"/>
      <c r="BY449"/>
      <c r="BZ449"/>
      <c r="CA449"/>
      <c r="CB449"/>
      <c r="CC449"/>
    </row>
    <row r="450" spans="1:81" x14ac:dyDescent="0.25">
      <c r="A450"/>
      <c r="B450"/>
      <c r="C450"/>
      <c r="D450"/>
      <c r="E450"/>
      <c r="F450"/>
      <c r="G450"/>
      <c r="H450"/>
      <c r="I450"/>
      <c r="J450"/>
      <c r="K450"/>
      <c r="L450"/>
      <c r="M450"/>
      <c r="N450"/>
      <c r="O450"/>
      <c r="P450"/>
      <c r="Q450"/>
      <c r="R450"/>
      <c r="S450"/>
      <c r="T450"/>
      <c r="U450"/>
      <c r="V450"/>
      <c r="W450"/>
      <c r="X450"/>
      <c r="Y450"/>
      <c r="Z450"/>
      <c r="AA450"/>
      <c r="AB450"/>
      <c r="AC450"/>
      <c r="AD450"/>
      <c r="AE450"/>
      <c r="AF450"/>
      <c r="AG450"/>
      <c r="AH450"/>
      <c r="AI450"/>
      <c r="AJ450"/>
      <c r="AK450"/>
      <c r="AL450"/>
      <c r="AM450"/>
      <c r="AN450"/>
      <c r="AO450"/>
      <c r="AP450"/>
      <c r="AQ450"/>
      <c r="AR450"/>
      <c r="AS450"/>
      <c r="AT450"/>
      <c r="AU450"/>
      <c r="AV450"/>
      <c r="AW450"/>
      <c r="AX450"/>
      <c r="AY450"/>
      <c r="AZ450"/>
      <c r="BA450"/>
      <c r="BB450"/>
      <c r="BC450"/>
      <c r="BD450"/>
      <c r="BE450"/>
      <c r="BF450"/>
      <c r="BG450"/>
      <c r="BH450"/>
      <c r="BI450"/>
      <c r="BJ450"/>
      <c r="BK450"/>
      <c r="BL450"/>
      <c r="BM450"/>
      <c r="BN450"/>
      <c r="BO450"/>
      <c r="BP450"/>
      <c r="BQ450"/>
      <c r="BR450"/>
      <c r="BS450"/>
      <c r="BT450"/>
      <c r="BU450"/>
      <c r="BV450"/>
      <c r="BW450"/>
      <c r="BX450"/>
      <c r="BY450"/>
      <c r="BZ450"/>
      <c r="CA450"/>
      <c r="CB450"/>
      <c r="CC450"/>
    </row>
    <row r="451" spans="1:81" x14ac:dyDescent="0.25">
      <c r="A451"/>
      <c r="B451"/>
      <c r="C451"/>
      <c r="D451"/>
      <c r="E451"/>
      <c r="F451"/>
      <c r="G451"/>
      <c r="H451"/>
      <c r="I451"/>
      <c r="J451"/>
      <c r="K451"/>
      <c r="L451"/>
      <c r="M451"/>
      <c r="N451"/>
      <c r="O451"/>
      <c r="P451"/>
      <c r="Q451"/>
      <c r="R451"/>
      <c r="S451"/>
      <c r="T451"/>
      <c r="U451"/>
      <c r="V451"/>
      <c r="W451"/>
      <c r="X451"/>
      <c r="Y451"/>
      <c r="Z451"/>
      <c r="AA451"/>
      <c r="AB451"/>
      <c r="AC451"/>
      <c r="AD451"/>
      <c r="AE451"/>
      <c r="AF451"/>
      <c r="AG451"/>
      <c r="AH451"/>
      <c r="AI451"/>
      <c r="AJ451"/>
      <c r="AK451"/>
      <c r="AL451"/>
      <c r="AM451"/>
      <c r="AN451"/>
      <c r="AO451"/>
      <c r="AP451"/>
      <c r="AQ451"/>
      <c r="AR451"/>
      <c r="AS451"/>
      <c r="AT451"/>
      <c r="AU451"/>
      <c r="AV451"/>
      <c r="AW451"/>
      <c r="AX451"/>
      <c r="AY451"/>
      <c r="AZ451"/>
      <c r="BA451"/>
      <c r="BB451"/>
      <c r="BC451"/>
      <c r="BD451"/>
      <c r="BE451"/>
      <c r="BF451"/>
      <c r="BG451"/>
      <c r="BH451"/>
      <c r="BI451"/>
      <c r="BJ451"/>
      <c r="BK451"/>
      <c r="BL451"/>
      <c r="BM451"/>
      <c r="BN451"/>
      <c r="BO451"/>
      <c r="BP451"/>
      <c r="BQ451"/>
      <c r="BR451"/>
      <c r="BS451"/>
      <c r="BT451"/>
      <c r="BU451"/>
      <c r="BV451"/>
      <c r="BW451"/>
      <c r="BX451"/>
      <c r="BY451"/>
      <c r="BZ451"/>
      <c r="CA451"/>
      <c r="CB451"/>
      <c r="CC451"/>
    </row>
    <row r="452" spans="1:81" x14ac:dyDescent="0.25">
      <c r="A452"/>
      <c r="B452"/>
      <c r="C452"/>
      <c r="D452"/>
      <c r="E452"/>
      <c r="F452"/>
      <c r="G452"/>
      <c r="H452"/>
      <c r="I452"/>
      <c r="J452"/>
      <c r="K452"/>
      <c r="L452"/>
      <c r="M452"/>
      <c r="N452"/>
      <c r="O452"/>
      <c r="P452"/>
      <c r="Q452"/>
      <c r="R452"/>
      <c r="S452"/>
      <c r="T452"/>
      <c r="U452"/>
      <c r="V452"/>
      <c r="W452"/>
      <c r="X452"/>
      <c r="Y452"/>
      <c r="Z452"/>
      <c r="AA452"/>
      <c r="AB452"/>
      <c r="AC452"/>
      <c r="AD452"/>
      <c r="AE452"/>
      <c r="AF452"/>
      <c r="AG452"/>
      <c r="AH452"/>
      <c r="AI452"/>
      <c r="AJ452"/>
      <c r="AK452"/>
      <c r="AL452"/>
      <c r="AM452"/>
      <c r="AN452"/>
      <c r="AO452"/>
      <c r="AP452"/>
      <c r="AQ452"/>
      <c r="AR452"/>
      <c r="AS452"/>
      <c r="AT452"/>
      <c r="AU452"/>
      <c r="AV452"/>
      <c r="AW452"/>
      <c r="AX452"/>
      <c r="AY452"/>
      <c r="AZ452"/>
      <c r="BA452"/>
      <c r="BB452"/>
      <c r="BC452"/>
      <c r="BD452"/>
      <c r="BE452"/>
      <c r="BF452"/>
      <c r="BG452"/>
      <c r="BH452"/>
      <c r="BI452"/>
      <c r="BJ452"/>
      <c r="BK452"/>
      <c r="BL452"/>
      <c r="BM452"/>
      <c r="BN452"/>
      <c r="BO452"/>
      <c r="BP452"/>
      <c r="BQ452"/>
      <c r="BR452"/>
      <c r="BS452"/>
      <c r="BT452"/>
      <c r="BU452"/>
      <c r="BV452"/>
      <c r="BW452"/>
      <c r="BX452"/>
      <c r="BY452"/>
      <c r="BZ452"/>
      <c r="CA452"/>
      <c r="CB452"/>
      <c r="CC452"/>
    </row>
    <row r="453" spans="1:81" x14ac:dyDescent="0.25">
      <c r="A453"/>
      <c r="B453"/>
      <c r="C453"/>
      <c r="D453"/>
      <c r="E453"/>
      <c r="F453"/>
      <c r="G453"/>
      <c r="H453"/>
      <c r="I453"/>
      <c r="J453"/>
      <c r="K453"/>
      <c r="L453"/>
      <c r="M453"/>
      <c r="N453"/>
      <c r="O453"/>
      <c r="P453"/>
      <c r="Q453"/>
      <c r="R453"/>
      <c r="S453"/>
      <c r="T453"/>
      <c r="U453"/>
      <c r="V453"/>
      <c r="W453"/>
      <c r="X453"/>
      <c r="Y453"/>
      <c r="Z453"/>
      <c r="AA453"/>
      <c r="AB453"/>
      <c r="AC453"/>
      <c r="AD453"/>
      <c r="AE453"/>
      <c r="AF453"/>
      <c r="AG453"/>
      <c r="AH453"/>
      <c r="AI453"/>
      <c r="AJ453"/>
      <c r="AK453"/>
      <c r="AL453"/>
      <c r="AM453"/>
      <c r="AN453"/>
      <c r="AO453"/>
      <c r="AP453"/>
      <c r="AQ453"/>
      <c r="AR453"/>
      <c r="AS453"/>
      <c r="AT453"/>
      <c r="AU453"/>
      <c r="AV453"/>
      <c r="AW453"/>
      <c r="AX453"/>
      <c r="AY453"/>
      <c r="AZ453"/>
      <c r="BA453"/>
      <c r="BB453"/>
      <c r="BC453"/>
      <c r="BD453"/>
      <c r="BE453"/>
      <c r="BF453"/>
      <c r="BG453"/>
      <c r="BH453"/>
      <c r="BI453"/>
      <c r="BJ453"/>
      <c r="BK453"/>
      <c r="BL453"/>
      <c r="BM453"/>
      <c r="BN453"/>
      <c r="BO453"/>
      <c r="BP453"/>
      <c r="BQ453"/>
      <c r="BR453"/>
      <c r="BS453"/>
      <c r="BT453"/>
      <c r="BU453"/>
      <c r="BV453"/>
      <c r="BW453"/>
      <c r="BX453"/>
      <c r="BY453"/>
      <c r="BZ453"/>
      <c r="CA453"/>
      <c r="CB453"/>
      <c r="CC453"/>
    </row>
    <row r="454" spans="1:81" x14ac:dyDescent="0.25">
      <c r="A454"/>
      <c r="B454"/>
      <c r="C454"/>
      <c r="D454"/>
      <c r="E454"/>
      <c r="F454"/>
      <c r="G454"/>
      <c r="H454"/>
      <c r="I454"/>
      <c r="J454"/>
      <c r="K454"/>
      <c r="L454"/>
      <c r="M454"/>
      <c r="N454"/>
      <c r="O454"/>
      <c r="P454"/>
      <c r="Q454"/>
      <c r="R454"/>
      <c r="S454"/>
      <c r="T454"/>
      <c r="U454"/>
      <c r="V454"/>
      <c r="W454"/>
      <c r="X454"/>
      <c r="Y454"/>
      <c r="Z454"/>
      <c r="AA454"/>
      <c r="AB454"/>
      <c r="AC454"/>
      <c r="AD454"/>
      <c r="AE454"/>
      <c r="AF454"/>
      <c r="AG454"/>
      <c r="AH454"/>
      <c r="AI454"/>
      <c r="AJ454"/>
      <c r="AK454"/>
      <c r="AL454"/>
      <c r="AM454"/>
      <c r="AN454"/>
      <c r="AO454"/>
      <c r="AP454"/>
      <c r="AQ454"/>
      <c r="AR454"/>
      <c r="AS454"/>
      <c r="AT454"/>
      <c r="AU454"/>
      <c r="AV454"/>
      <c r="AW454"/>
      <c r="AX454"/>
      <c r="AY454"/>
      <c r="AZ454"/>
      <c r="BA454"/>
      <c r="BB454"/>
      <c r="BC454"/>
      <c r="BD454"/>
      <c r="BE454"/>
      <c r="BF454"/>
      <c r="BG454"/>
      <c r="BH454"/>
      <c r="BI454"/>
      <c r="BJ454"/>
      <c r="BK454"/>
      <c r="BL454"/>
      <c r="BM454"/>
      <c r="BN454"/>
      <c r="BO454"/>
      <c r="BP454"/>
      <c r="BQ454"/>
      <c r="BR454"/>
      <c r="BS454"/>
      <c r="BT454"/>
      <c r="BU454"/>
      <c r="BV454"/>
      <c r="BW454"/>
      <c r="BX454"/>
      <c r="BY454"/>
      <c r="BZ454"/>
      <c r="CA454"/>
      <c r="CB454"/>
      <c r="CC454"/>
    </row>
    <row r="455" spans="1:81" x14ac:dyDescent="0.25">
      <c r="A455"/>
      <c r="B455"/>
      <c r="C455"/>
      <c r="D455"/>
      <c r="E455"/>
      <c r="F455"/>
      <c r="G455"/>
      <c r="H455"/>
      <c r="I455"/>
      <c r="J455"/>
      <c r="K455"/>
      <c r="L455"/>
      <c r="M455"/>
      <c r="N455"/>
      <c r="O455"/>
      <c r="P455"/>
      <c r="Q455"/>
      <c r="R455"/>
      <c r="S455"/>
      <c r="T455"/>
      <c r="U455"/>
      <c r="V455"/>
      <c r="W455"/>
      <c r="X455"/>
      <c r="Y455"/>
      <c r="Z455"/>
      <c r="AA455"/>
      <c r="AB455"/>
      <c r="AC455"/>
      <c r="AD455"/>
      <c r="AE455"/>
      <c r="AF455"/>
      <c r="AG455"/>
      <c r="AH455"/>
      <c r="AI455"/>
      <c r="AJ455"/>
      <c r="AK455"/>
      <c r="AL455"/>
      <c r="AM455"/>
      <c r="AN455"/>
      <c r="AO455"/>
      <c r="AP455"/>
      <c r="AQ455"/>
      <c r="AR455"/>
      <c r="AS455"/>
      <c r="AT455"/>
      <c r="AU455"/>
      <c r="AV455"/>
      <c r="AW455"/>
      <c r="AX455"/>
      <c r="AY455"/>
      <c r="AZ455"/>
      <c r="BA455"/>
      <c r="BB455"/>
      <c r="BC455"/>
      <c r="BD455"/>
      <c r="BE455"/>
      <c r="BF455"/>
      <c r="BG455"/>
      <c r="BH455"/>
      <c r="BI455"/>
      <c r="BJ455"/>
      <c r="BK455"/>
      <c r="BL455"/>
      <c r="BM455"/>
      <c r="BN455"/>
      <c r="BO455"/>
      <c r="BP455"/>
      <c r="BQ455"/>
      <c r="BR455"/>
      <c r="BS455"/>
      <c r="BT455"/>
      <c r="BU455"/>
      <c r="BV455"/>
      <c r="BW455"/>
      <c r="BX455"/>
      <c r="BY455"/>
      <c r="BZ455"/>
      <c r="CA455"/>
      <c r="CB455"/>
      <c r="CC455"/>
    </row>
    <row r="456" spans="1:81" x14ac:dyDescent="0.25">
      <c r="A456"/>
      <c r="B456"/>
      <c r="C456"/>
      <c r="D456"/>
      <c r="E456"/>
      <c r="F456"/>
      <c r="G456"/>
      <c r="H456"/>
      <c r="I456"/>
      <c r="J456"/>
      <c r="K456"/>
      <c r="L456"/>
      <c r="M456"/>
      <c r="N456"/>
      <c r="O456"/>
      <c r="P456"/>
      <c r="Q456"/>
      <c r="R456"/>
      <c r="S456"/>
      <c r="T456"/>
      <c r="U456"/>
      <c r="V456"/>
      <c r="W456"/>
      <c r="X456"/>
      <c r="Y456"/>
      <c r="Z456"/>
      <c r="AA456"/>
      <c r="AB456"/>
      <c r="AC456"/>
      <c r="AD456"/>
      <c r="AE456"/>
      <c r="AF456"/>
      <c r="AG456"/>
      <c r="AH456"/>
      <c r="AI456"/>
      <c r="AJ456"/>
      <c r="AK456"/>
      <c r="AL456"/>
      <c r="AM456"/>
      <c r="AN456"/>
      <c r="AO456"/>
      <c r="AP456"/>
      <c r="AQ456"/>
      <c r="AR456"/>
      <c r="AS456"/>
      <c r="AT456"/>
      <c r="AU456"/>
      <c r="AV456"/>
      <c r="AW456"/>
      <c r="AX456"/>
      <c r="AY456"/>
      <c r="AZ456"/>
      <c r="BA456"/>
      <c r="BB456"/>
      <c r="BC456"/>
      <c r="BD456"/>
      <c r="BE456"/>
      <c r="BF456"/>
      <c r="BG456"/>
      <c r="BH456"/>
      <c r="BI456"/>
      <c r="BJ456"/>
      <c r="BK456"/>
      <c r="BL456"/>
      <c r="BM456"/>
      <c r="BN456"/>
      <c r="BO456"/>
      <c r="BP456"/>
      <c r="BQ456"/>
      <c r="BR456"/>
      <c r="BS456"/>
      <c r="BT456"/>
      <c r="BU456"/>
      <c r="BV456"/>
      <c r="BW456"/>
      <c r="BX456"/>
      <c r="BY456"/>
      <c r="BZ456"/>
      <c r="CA456"/>
      <c r="CB456"/>
      <c r="CC456"/>
    </row>
    <row r="457" spans="1:81" x14ac:dyDescent="0.25">
      <c r="A457"/>
      <c r="B457"/>
      <c r="C457"/>
      <c r="D457"/>
      <c r="E457"/>
      <c r="F457"/>
      <c r="G457"/>
      <c r="H457"/>
      <c r="I457"/>
      <c r="J457"/>
      <c r="K457"/>
      <c r="L457"/>
      <c r="M457"/>
      <c r="N457"/>
      <c r="O457"/>
      <c r="P457"/>
      <c r="Q457"/>
      <c r="R457"/>
      <c r="S457"/>
      <c r="T457"/>
      <c r="U457"/>
      <c r="V457"/>
      <c r="W457"/>
      <c r="X457"/>
      <c r="Y457"/>
      <c r="Z457"/>
      <c r="AA457"/>
      <c r="AB457"/>
      <c r="AC457"/>
      <c r="AD457"/>
      <c r="AE457"/>
      <c r="AF457"/>
      <c r="AG457"/>
      <c r="AH457"/>
      <c r="AI457"/>
      <c r="AJ457"/>
      <c r="AK457"/>
      <c r="AL457"/>
      <c r="AM457"/>
      <c r="AN457"/>
      <c r="AO457"/>
      <c r="AP457"/>
      <c r="AQ457"/>
      <c r="AR457"/>
      <c r="AS457"/>
      <c r="AT457"/>
      <c r="AU457"/>
      <c r="AV457"/>
      <c r="AW457"/>
      <c r="AX457"/>
      <c r="AY457"/>
      <c r="AZ457"/>
      <c r="BA457"/>
      <c r="BB457"/>
      <c r="BC457"/>
      <c r="BD457"/>
      <c r="BE457"/>
      <c r="BF457"/>
      <c r="BG457"/>
      <c r="BH457"/>
      <c r="BI457"/>
      <c r="BJ457"/>
      <c r="BK457"/>
      <c r="BL457"/>
      <c r="BM457"/>
      <c r="BN457"/>
      <c r="BO457"/>
      <c r="BP457"/>
      <c r="BQ457"/>
      <c r="BR457"/>
      <c r="BS457"/>
      <c r="BT457"/>
      <c r="BU457"/>
      <c r="BV457"/>
      <c r="BW457"/>
      <c r="BX457"/>
      <c r="BY457"/>
      <c r="BZ457"/>
      <c r="CA457"/>
      <c r="CB457"/>
      <c r="CC457"/>
    </row>
    <row r="458" spans="1:81" x14ac:dyDescent="0.25">
      <c r="A458"/>
      <c r="B458"/>
      <c r="C458"/>
      <c r="D458"/>
      <c r="E458"/>
      <c r="F458"/>
      <c r="G458"/>
      <c r="H458"/>
      <c r="I458"/>
      <c r="J458"/>
      <c r="K458"/>
      <c r="L458"/>
      <c r="M458"/>
      <c r="N458"/>
      <c r="O458"/>
      <c r="P458"/>
      <c r="Q458"/>
      <c r="R458"/>
      <c r="S458"/>
      <c r="T458"/>
      <c r="U458"/>
      <c r="V458"/>
      <c r="W458"/>
      <c r="X458"/>
      <c r="Y458"/>
      <c r="Z458"/>
      <c r="AA458"/>
      <c r="AB458"/>
      <c r="AC458"/>
      <c r="AD458"/>
      <c r="AE458"/>
      <c r="AF458"/>
      <c r="AG458"/>
      <c r="AH458"/>
      <c r="AI458"/>
      <c r="AJ458"/>
      <c r="AK458"/>
      <c r="AL458"/>
      <c r="AM458"/>
      <c r="AN458"/>
      <c r="AO458"/>
      <c r="AP458"/>
      <c r="AQ458"/>
      <c r="AR458"/>
      <c r="AS458"/>
      <c r="AT458"/>
      <c r="AU458"/>
      <c r="AV458"/>
      <c r="AW458"/>
      <c r="AX458"/>
      <c r="AY458"/>
      <c r="AZ458"/>
      <c r="BA458"/>
      <c r="BB458"/>
      <c r="BC458"/>
      <c r="BD458"/>
      <c r="BE458"/>
      <c r="BF458"/>
      <c r="BG458"/>
      <c r="BH458"/>
      <c r="BI458"/>
      <c r="BJ458"/>
      <c r="BK458"/>
      <c r="BL458"/>
      <c r="BM458"/>
      <c r="BN458"/>
      <c r="BO458"/>
      <c r="BP458"/>
      <c r="BQ458"/>
      <c r="BR458"/>
      <c r="BS458"/>
      <c r="BT458"/>
      <c r="BU458"/>
      <c r="BV458"/>
      <c r="BW458"/>
      <c r="BX458"/>
      <c r="BY458"/>
      <c r="BZ458"/>
      <c r="CA458"/>
      <c r="CB458"/>
      <c r="CC458"/>
    </row>
    <row r="459" spans="1:81" x14ac:dyDescent="0.25">
      <c r="A459"/>
      <c r="B459"/>
      <c r="C459"/>
      <c r="D459"/>
      <c r="E459"/>
      <c r="F459"/>
      <c r="G459"/>
      <c r="H459"/>
      <c r="I459"/>
      <c r="J459"/>
      <c r="K459"/>
      <c r="L459"/>
      <c r="M459"/>
      <c r="N459"/>
      <c r="O459"/>
      <c r="P459"/>
      <c r="Q459"/>
      <c r="R459"/>
      <c r="S459"/>
      <c r="T459"/>
      <c r="U459"/>
      <c r="V459"/>
      <c r="W459"/>
      <c r="X459"/>
      <c r="Y459"/>
      <c r="Z459"/>
      <c r="AA459"/>
      <c r="AB459"/>
      <c r="AC459"/>
      <c r="AD459"/>
      <c r="AE459"/>
      <c r="AF459"/>
      <c r="AG459"/>
      <c r="AH459"/>
      <c r="AI459"/>
      <c r="AJ459"/>
      <c r="AK459"/>
      <c r="AL459"/>
      <c r="AM459"/>
      <c r="AN459"/>
      <c r="AO459"/>
      <c r="AP459"/>
      <c r="AQ459"/>
      <c r="AR459"/>
      <c r="AS459"/>
      <c r="AT459"/>
      <c r="AU459"/>
      <c r="AV459"/>
      <c r="AW459"/>
      <c r="AX459"/>
      <c r="AY459"/>
      <c r="AZ459"/>
      <c r="BA459"/>
      <c r="BB459"/>
      <c r="BC459"/>
      <c r="BD459"/>
      <c r="BE459"/>
      <c r="BF459"/>
      <c r="BG459"/>
      <c r="BH459"/>
      <c r="BI459"/>
      <c r="BJ459"/>
      <c r="BK459"/>
      <c r="BL459"/>
      <c r="BM459"/>
      <c r="BN459"/>
      <c r="BO459"/>
      <c r="BP459"/>
      <c r="BQ459"/>
      <c r="BR459"/>
      <c r="BS459"/>
      <c r="BT459"/>
      <c r="BU459"/>
      <c r="BV459"/>
      <c r="BW459"/>
      <c r="BX459"/>
      <c r="BY459"/>
      <c r="BZ459"/>
      <c r="CA459"/>
      <c r="CB459"/>
      <c r="CC459"/>
    </row>
    <row r="460" spans="1:81" x14ac:dyDescent="0.25">
      <c r="A460"/>
      <c r="B460"/>
      <c r="C460"/>
      <c r="D460"/>
      <c r="E460"/>
      <c r="F460"/>
      <c r="G460"/>
      <c r="H460"/>
      <c r="I460"/>
      <c r="J460"/>
      <c r="K460"/>
      <c r="L460"/>
      <c r="M460"/>
      <c r="N460"/>
      <c r="O460"/>
      <c r="P460"/>
      <c r="Q460"/>
      <c r="R460"/>
      <c r="S460"/>
      <c r="T460"/>
      <c r="U460"/>
      <c r="V460"/>
      <c r="W460"/>
      <c r="X460"/>
      <c r="Y460"/>
      <c r="Z460"/>
      <c r="AA460"/>
      <c r="AB460"/>
      <c r="AC460"/>
      <c r="AD460"/>
      <c r="AE460"/>
      <c r="AF460"/>
      <c r="AG460"/>
      <c r="AH460"/>
      <c r="AI460"/>
      <c r="AJ460"/>
      <c r="AK460"/>
      <c r="AL460"/>
      <c r="AM460"/>
      <c r="AN460"/>
      <c r="AO460"/>
      <c r="AP460"/>
      <c r="AQ460"/>
      <c r="AR460"/>
      <c r="AS460"/>
      <c r="AT460"/>
      <c r="AU460"/>
      <c r="AV460"/>
      <c r="AW460"/>
      <c r="AX460"/>
      <c r="AY460"/>
      <c r="AZ460"/>
      <c r="BA460"/>
      <c r="BB460"/>
      <c r="BC460"/>
      <c r="BD460"/>
      <c r="BE460"/>
      <c r="BF460"/>
      <c r="BG460"/>
      <c r="BH460"/>
      <c r="BI460"/>
      <c r="BJ460"/>
      <c r="BK460"/>
      <c r="BL460"/>
      <c r="BM460"/>
      <c r="BN460"/>
      <c r="BO460"/>
      <c r="BP460"/>
      <c r="BQ460"/>
      <c r="BR460"/>
      <c r="BS460"/>
      <c r="BT460"/>
      <c r="BU460"/>
      <c r="BV460"/>
      <c r="BW460"/>
      <c r="BX460"/>
      <c r="BY460"/>
      <c r="BZ460"/>
      <c r="CA460"/>
      <c r="CB460"/>
      <c r="CC460"/>
    </row>
    <row r="461" spans="1:81" x14ac:dyDescent="0.25">
      <c r="A461"/>
      <c r="B461"/>
      <c r="C461"/>
      <c r="D461"/>
      <c r="E461"/>
      <c r="F461"/>
      <c r="G461"/>
      <c r="H461"/>
      <c r="I461"/>
      <c r="J461"/>
      <c r="K461"/>
      <c r="L461"/>
      <c r="M461"/>
      <c r="N461"/>
      <c r="O461"/>
      <c r="P461"/>
      <c r="Q461"/>
      <c r="R461"/>
      <c r="S461"/>
      <c r="T461"/>
      <c r="U461"/>
      <c r="V461"/>
      <c r="W461"/>
      <c r="X461"/>
      <c r="Y461"/>
      <c r="Z461"/>
      <c r="AA461"/>
      <c r="AB461"/>
      <c r="AC461"/>
      <c r="AD461"/>
      <c r="AE461"/>
      <c r="AF461"/>
      <c r="AG461"/>
      <c r="AH461"/>
      <c r="AI461"/>
      <c r="AJ461"/>
      <c r="AK461"/>
      <c r="AL461"/>
      <c r="AM461"/>
      <c r="AN461"/>
      <c r="AO461"/>
      <c r="AP461"/>
      <c r="AQ461"/>
      <c r="AR461"/>
      <c r="AS461"/>
      <c r="AT461"/>
      <c r="AU461"/>
      <c r="AV461"/>
      <c r="AW461"/>
      <c r="AX461"/>
      <c r="AY461"/>
      <c r="AZ461"/>
      <c r="BA461"/>
      <c r="BB461"/>
      <c r="BC461"/>
      <c r="BD461"/>
      <c r="BE461"/>
      <c r="BF461"/>
      <c r="BG461"/>
      <c r="BH461"/>
      <c r="BI461"/>
      <c r="BJ461"/>
      <c r="BK461"/>
      <c r="BL461"/>
      <c r="BM461"/>
      <c r="BN461"/>
      <c r="BO461"/>
      <c r="BP461"/>
      <c r="BQ461"/>
      <c r="BR461"/>
      <c r="BS461"/>
      <c r="BT461"/>
      <c r="BU461"/>
      <c r="BV461"/>
      <c r="BW461"/>
      <c r="BX461"/>
      <c r="BY461"/>
      <c r="BZ461"/>
      <c r="CA461"/>
      <c r="CB461"/>
      <c r="CC461"/>
    </row>
    <row r="462" spans="1:81" x14ac:dyDescent="0.25">
      <c r="A462"/>
      <c r="B462"/>
      <c r="C462"/>
      <c r="D462"/>
      <c r="E462"/>
      <c r="F462"/>
      <c r="G462"/>
      <c r="H462"/>
      <c r="I462"/>
      <c r="J462"/>
      <c r="K462"/>
      <c r="L462"/>
      <c r="M462"/>
      <c r="N462"/>
      <c r="O462"/>
      <c r="P462"/>
      <c r="Q462"/>
      <c r="R462"/>
      <c r="S462"/>
      <c r="T462"/>
      <c r="U462"/>
      <c r="V462"/>
      <c r="W462"/>
      <c r="X462"/>
      <c r="Y462"/>
      <c r="Z462"/>
      <c r="AA462"/>
      <c r="AB462"/>
      <c r="AC462"/>
      <c r="AD462"/>
      <c r="AE462"/>
      <c r="AF462"/>
      <c r="AG462"/>
      <c r="AH462"/>
      <c r="AI462"/>
      <c r="AJ462"/>
      <c r="AK462"/>
      <c r="AL462"/>
      <c r="AM462"/>
      <c r="AN462"/>
      <c r="AO462"/>
      <c r="AP462"/>
      <c r="AQ462"/>
      <c r="AR462"/>
      <c r="AS462"/>
      <c r="AT462"/>
      <c r="AU462"/>
      <c r="AV462"/>
      <c r="AW462"/>
      <c r="AX462"/>
      <c r="AY462"/>
      <c r="AZ462"/>
      <c r="BA462"/>
      <c r="BB462"/>
      <c r="BC462"/>
      <c r="BD462"/>
      <c r="BE462"/>
      <c r="BF462"/>
      <c r="BG462"/>
      <c r="BH462"/>
      <c r="BI462"/>
      <c r="BJ462"/>
      <c r="BK462"/>
      <c r="BL462"/>
      <c r="BM462"/>
      <c r="BN462"/>
      <c r="BO462"/>
      <c r="BP462"/>
      <c r="BQ462"/>
      <c r="BR462"/>
      <c r="BS462"/>
      <c r="BT462"/>
      <c r="BU462"/>
      <c r="BV462"/>
      <c r="BW462"/>
      <c r="BX462"/>
      <c r="BY462"/>
      <c r="BZ462"/>
      <c r="CA462"/>
      <c r="CB462"/>
      <c r="CC462"/>
    </row>
    <row r="463" spans="1:81" x14ac:dyDescent="0.25">
      <c r="A463"/>
      <c r="B463"/>
      <c r="C463"/>
      <c r="D463"/>
      <c r="E463"/>
      <c r="F463"/>
      <c r="G463"/>
      <c r="H463"/>
      <c r="I463"/>
      <c r="J463"/>
      <c r="K463"/>
      <c r="L463"/>
      <c r="M463"/>
      <c r="N463"/>
      <c r="O463"/>
      <c r="P463"/>
      <c r="Q463"/>
      <c r="R463"/>
      <c r="S463"/>
      <c r="T463"/>
      <c r="U463"/>
      <c r="V463"/>
      <c r="W463"/>
      <c r="X463"/>
      <c r="Y463"/>
      <c r="Z463"/>
      <c r="AA463"/>
      <c r="AB463"/>
      <c r="AC463"/>
      <c r="AD463"/>
      <c r="AE463"/>
      <c r="AF463"/>
      <c r="AG463"/>
      <c r="AH463"/>
      <c r="AI463"/>
      <c r="AJ463"/>
      <c r="AK463"/>
      <c r="AL463"/>
      <c r="AM463"/>
      <c r="AN463"/>
      <c r="AO463"/>
      <c r="AP463"/>
      <c r="AQ463"/>
      <c r="AR463"/>
      <c r="AS463"/>
      <c r="AT463"/>
      <c r="AU463"/>
      <c r="AV463"/>
      <c r="AW463"/>
      <c r="AX463"/>
      <c r="AY463"/>
      <c r="AZ463"/>
      <c r="BA463"/>
      <c r="BB463"/>
      <c r="BC463"/>
      <c r="BD463"/>
      <c r="BE463"/>
      <c r="BF463"/>
      <c r="BG463"/>
      <c r="BH463"/>
      <c r="BI463"/>
      <c r="BJ463"/>
      <c r="BK463"/>
      <c r="BL463"/>
      <c r="BM463"/>
      <c r="BN463"/>
      <c r="BO463"/>
      <c r="BP463"/>
      <c r="BQ463"/>
      <c r="BR463"/>
      <c r="BS463"/>
      <c r="BT463"/>
      <c r="BU463"/>
      <c r="BV463"/>
      <c r="BW463"/>
      <c r="BX463"/>
      <c r="BY463"/>
      <c r="BZ463"/>
      <c r="CA463"/>
      <c r="CB463"/>
      <c r="CC463"/>
    </row>
    <row r="464" spans="1:81" x14ac:dyDescent="0.25">
      <c r="A464"/>
      <c r="B464"/>
      <c r="C464"/>
      <c r="D464"/>
      <c r="E464"/>
      <c r="F464"/>
      <c r="G464"/>
      <c r="H464"/>
      <c r="I464"/>
      <c r="J464"/>
      <c r="K464"/>
      <c r="L464"/>
      <c r="M464"/>
      <c r="N464"/>
      <c r="O464"/>
      <c r="P464"/>
      <c r="Q464"/>
      <c r="R464"/>
      <c r="S464"/>
      <c r="T464"/>
      <c r="U464"/>
      <c r="V464"/>
      <c r="W464"/>
      <c r="X464"/>
      <c r="Y464"/>
      <c r="Z464"/>
      <c r="AA464"/>
      <c r="AB464"/>
      <c r="AC464"/>
      <c r="AD464"/>
      <c r="AE464"/>
      <c r="AF464"/>
      <c r="AG464"/>
      <c r="AH464"/>
      <c r="AI464"/>
      <c r="AJ464"/>
      <c r="AK464"/>
      <c r="AL464"/>
      <c r="AM464"/>
      <c r="AN464"/>
      <c r="AO464"/>
      <c r="AP464"/>
      <c r="AQ464"/>
      <c r="AR464"/>
      <c r="AS464"/>
      <c r="AT464"/>
      <c r="AU464"/>
      <c r="AV464"/>
      <c r="AW464"/>
      <c r="AX464"/>
      <c r="AY464"/>
      <c r="AZ464"/>
      <c r="BA464"/>
      <c r="BB464"/>
      <c r="BC464"/>
      <c r="BD464"/>
      <c r="BE464"/>
      <c r="BF464"/>
      <c r="BG464"/>
      <c r="BH464"/>
      <c r="BI464"/>
      <c r="BJ464"/>
      <c r="BK464"/>
      <c r="BL464"/>
      <c r="BM464"/>
      <c r="BN464"/>
      <c r="BO464"/>
      <c r="BP464"/>
      <c r="BQ464"/>
      <c r="BR464"/>
      <c r="BS464"/>
      <c r="BT464"/>
      <c r="BU464"/>
      <c r="BV464"/>
      <c r="BW464"/>
      <c r="BX464"/>
      <c r="BY464"/>
      <c r="BZ464"/>
      <c r="CA464"/>
      <c r="CB464"/>
      <c r="CC464"/>
    </row>
    <row r="465" spans="1:81" x14ac:dyDescent="0.25">
      <c r="A465"/>
      <c r="B465"/>
      <c r="C465"/>
      <c r="D465"/>
      <c r="E465"/>
      <c r="F465"/>
      <c r="G465"/>
      <c r="H465"/>
      <c r="I465"/>
      <c r="J465"/>
      <c r="K465"/>
      <c r="L465"/>
      <c r="M465"/>
      <c r="N465"/>
      <c r="O465"/>
      <c r="P465"/>
      <c r="Q465"/>
      <c r="R465"/>
      <c r="S465"/>
      <c r="T465"/>
      <c r="U465"/>
      <c r="V465"/>
      <c r="W465"/>
      <c r="X465"/>
      <c r="Y465"/>
      <c r="Z465"/>
      <c r="AA465"/>
      <c r="AB465"/>
      <c r="AC465"/>
      <c r="AD465"/>
      <c r="AE465"/>
      <c r="AF465"/>
      <c r="AG465"/>
      <c r="AH465"/>
      <c r="AI465"/>
      <c r="AJ465"/>
      <c r="AK465"/>
      <c r="AL465"/>
      <c r="AM465"/>
      <c r="AN465"/>
      <c r="AO465"/>
      <c r="AP465"/>
      <c r="AQ465"/>
      <c r="AR465"/>
      <c r="AS465"/>
      <c r="AT465"/>
      <c r="AU465"/>
      <c r="AV465"/>
      <c r="AW465"/>
      <c r="AX465"/>
      <c r="AY465"/>
      <c r="AZ465"/>
      <c r="BA465"/>
      <c r="BB465"/>
      <c r="BC465"/>
      <c r="BD465"/>
      <c r="BE465"/>
      <c r="BF465"/>
      <c r="BG465"/>
      <c r="BH465"/>
      <c r="BI465"/>
      <c r="BJ465"/>
      <c r="BK465"/>
      <c r="BL465"/>
      <c r="BM465"/>
      <c r="BN465"/>
      <c r="BO465"/>
      <c r="BP465"/>
      <c r="BQ465"/>
      <c r="BR465"/>
      <c r="BS465"/>
      <c r="BT465"/>
      <c r="BU465"/>
      <c r="BV465"/>
      <c r="BW465"/>
      <c r="BX465"/>
      <c r="BY465"/>
      <c r="BZ465"/>
      <c r="CA465"/>
      <c r="CB465"/>
      <c r="CC465"/>
    </row>
    <row r="466" spans="1:81" x14ac:dyDescent="0.25">
      <c r="A466"/>
      <c r="B466"/>
      <c r="C466"/>
      <c r="D466"/>
      <c r="E466"/>
      <c r="F466"/>
      <c r="G466"/>
      <c r="H466"/>
      <c r="I466"/>
      <c r="J466"/>
      <c r="K466"/>
      <c r="L466"/>
      <c r="M466"/>
      <c r="N466"/>
      <c r="O466"/>
      <c r="P466"/>
      <c r="Q466"/>
      <c r="R466"/>
      <c r="S466"/>
      <c r="T466"/>
      <c r="U466"/>
      <c r="V466"/>
      <c r="W466"/>
      <c r="X466"/>
      <c r="Y466"/>
      <c r="Z466"/>
      <c r="AA466"/>
      <c r="AB466"/>
      <c r="AC466"/>
      <c r="AD466"/>
      <c r="AE466"/>
      <c r="AF466"/>
      <c r="AG466"/>
      <c r="AH466"/>
      <c r="AI466"/>
      <c r="AJ466"/>
      <c r="AK466"/>
      <c r="AL466"/>
      <c r="AM466"/>
      <c r="AN466"/>
      <c r="AO466"/>
      <c r="AP466"/>
      <c r="AQ466"/>
      <c r="AR466"/>
      <c r="AS466"/>
      <c r="AT466"/>
      <c r="AU466"/>
      <c r="AV466"/>
      <c r="AW466"/>
      <c r="AX466"/>
      <c r="AY466"/>
      <c r="AZ466"/>
      <c r="BA466"/>
      <c r="BB466"/>
      <c r="BC466"/>
      <c r="BD466"/>
      <c r="BE466"/>
      <c r="BF466"/>
      <c r="BG466"/>
      <c r="BH466"/>
      <c r="BI466"/>
      <c r="BJ466"/>
      <c r="BK466"/>
      <c r="BL466"/>
      <c r="BM466"/>
      <c r="BN466"/>
      <c r="BO466"/>
      <c r="BP466"/>
      <c r="BQ466"/>
      <c r="BR466"/>
      <c r="BS466"/>
      <c r="BT466"/>
      <c r="BU466"/>
      <c r="BV466"/>
      <c r="BW466"/>
      <c r="BX466"/>
      <c r="BY466"/>
      <c r="BZ466"/>
      <c r="CA466"/>
      <c r="CB466"/>
      <c r="CC466"/>
    </row>
    <row r="467" spans="1:81" x14ac:dyDescent="0.25">
      <c r="A467"/>
      <c r="B467"/>
      <c r="C467"/>
      <c r="D467"/>
      <c r="E467"/>
      <c r="F467"/>
      <c r="G467"/>
      <c r="H467"/>
      <c r="I467"/>
      <c r="J467"/>
      <c r="K467"/>
      <c r="L467"/>
      <c r="M467"/>
      <c r="N467"/>
      <c r="O467"/>
      <c r="P467"/>
      <c r="Q467"/>
      <c r="R467"/>
      <c r="S467"/>
      <c r="T467"/>
      <c r="U467"/>
      <c r="V467"/>
      <c r="W467"/>
      <c r="X467"/>
      <c r="Y467"/>
      <c r="Z467"/>
      <c r="AA467"/>
      <c r="AB467"/>
      <c r="AC467"/>
      <c r="AD467"/>
      <c r="AE467"/>
      <c r="AF467"/>
      <c r="AG467"/>
      <c r="AH467"/>
      <c r="AI467"/>
      <c r="AJ467"/>
      <c r="AK467"/>
      <c r="AL467"/>
      <c r="AM467"/>
      <c r="AN467"/>
      <c r="AO467"/>
      <c r="AP467"/>
      <c r="AQ467"/>
      <c r="AR467"/>
      <c r="AS467"/>
      <c r="AT467"/>
      <c r="AU467"/>
      <c r="AV467"/>
      <c r="AW467"/>
      <c r="AX467"/>
      <c r="AY467"/>
      <c r="AZ467"/>
      <c r="BA467"/>
      <c r="BB467"/>
      <c r="BC467"/>
      <c r="BD467"/>
      <c r="BE467"/>
      <c r="BF467"/>
      <c r="BG467"/>
      <c r="BH467"/>
      <c r="BI467"/>
      <c r="BJ467"/>
      <c r="BK467"/>
      <c r="BL467"/>
      <c r="BM467"/>
      <c r="BN467"/>
      <c r="BO467"/>
      <c r="BP467"/>
      <c r="BQ467"/>
      <c r="BR467"/>
      <c r="BS467"/>
      <c r="BT467"/>
      <c r="BU467"/>
      <c r="BV467"/>
      <c r="BW467"/>
      <c r="BX467"/>
      <c r="BY467"/>
      <c r="BZ467"/>
      <c r="CA467"/>
      <c r="CB467"/>
      <c r="CC467"/>
    </row>
    <row r="468" spans="1:81" x14ac:dyDescent="0.25">
      <c r="A468"/>
      <c r="B468"/>
      <c r="C468"/>
      <c r="D468"/>
      <c r="E468"/>
      <c r="F468"/>
      <c r="G468"/>
      <c r="H468"/>
      <c r="I468"/>
      <c r="J468"/>
      <c r="K468"/>
      <c r="L468"/>
      <c r="M468"/>
      <c r="N468"/>
      <c r="O468"/>
      <c r="P468"/>
      <c r="Q468"/>
      <c r="R468"/>
      <c r="S468"/>
      <c r="T468"/>
      <c r="U468"/>
      <c r="V468"/>
      <c r="W468"/>
      <c r="X468"/>
      <c r="Y468"/>
      <c r="Z468"/>
      <c r="AA468"/>
      <c r="AB468"/>
      <c r="AC468"/>
      <c r="AD468"/>
      <c r="AE468"/>
      <c r="AF468"/>
      <c r="AG468"/>
      <c r="AH468"/>
      <c r="AI468"/>
      <c r="AJ468"/>
      <c r="AK468"/>
      <c r="AL468"/>
      <c r="AM468"/>
      <c r="AN468"/>
      <c r="AO468"/>
      <c r="AP468"/>
      <c r="AQ468"/>
      <c r="AR468"/>
      <c r="AS468"/>
      <c r="AT468"/>
      <c r="AU468"/>
      <c r="AV468"/>
      <c r="AW468"/>
      <c r="AX468"/>
      <c r="AY468"/>
      <c r="AZ468"/>
      <c r="BA468"/>
      <c r="BB468"/>
      <c r="BC468"/>
      <c r="BD468"/>
      <c r="BE468"/>
      <c r="BF468"/>
      <c r="BG468"/>
      <c r="BH468"/>
      <c r="BI468"/>
      <c r="BJ468"/>
      <c r="BK468"/>
      <c r="BL468"/>
      <c r="BM468"/>
      <c r="BN468"/>
      <c r="BO468"/>
      <c r="BP468"/>
      <c r="BQ468"/>
      <c r="BR468"/>
      <c r="BS468"/>
      <c r="BT468"/>
      <c r="BU468"/>
      <c r="BV468"/>
      <c r="BW468"/>
      <c r="BX468"/>
      <c r="BY468"/>
      <c r="BZ468"/>
      <c r="CA468"/>
      <c r="CB468"/>
      <c r="CC468"/>
    </row>
    <row r="469" spans="1:81" x14ac:dyDescent="0.25">
      <c r="A469"/>
      <c r="B469"/>
      <c r="C469"/>
      <c r="D469"/>
      <c r="E469"/>
      <c r="F469"/>
      <c r="G469"/>
      <c r="H469"/>
      <c r="I469"/>
      <c r="J469"/>
      <c r="K469"/>
      <c r="L469"/>
      <c r="M469"/>
      <c r="N469"/>
      <c r="O469"/>
      <c r="P469"/>
      <c r="Q469"/>
      <c r="R469"/>
      <c r="S469"/>
      <c r="T469"/>
      <c r="U469"/>
      <c r="V469"/>
      <c r="W469"/>
      <c r="X469"/>
      <c r="Y469"/>
      <c r="Z469"/>
      <c r="AA469"/>
      <c r="AB469"/>
      <c r="AC469"/>
      <c r="AD469"/>
      <c r="AE469"/>
      <c r="AF469"/>
      <c r="AG469"/>
      <c r="AH469"/>
      <c r="AI469"/>
      <c r="AJ469"/>
      <c r="AK469"/>
      <c r="AL469"/>
      <c r="AM469"/>
      <c r="AN469"/>
      <c r="AO469"/>
      <c r="AP469"/>
      <c r="AQ469"/>
      <c r="AR469"/>
      <c r="AS469"/>
      <c r="AT469"/>
      <c r="AU469"/>
      <c r="AV469"/>
      <c r="AW469"/>
      <c r="AX469"/>
      <c r="AY469"/>
      <c r="AZ469"/>
      <c r="BA469"/>
      <c r="BB469"/>
      <c r="BC469"/>
      <c r="BD469"/>
      <c r="BE469"/>
      <c r="BF469"/>
      <c r="BG469"/>
      <c r="BH469"/>
      <c r="BI469"/>
      <c r="BJ469"/>
      <c r="BK469"/>
      <c r="BL469"/>
      <c r="BM469"/>
      <c r="BN469"/>
      <c r="BO469"/>
      <c r="BP469"/>
      <c r="BQ469"/>
      <c r="BR469"/>
      <c r="BS469"/>
      <c r="BT469"/>
      <c r="BU469"/>
      <c r="BV469"/>
      <c r="BW469"/>
      <c r="BX469"/>
      <c r="BY469"/>
      <c r="BZ469"/>
      <c r="CA469"/>
      <c r="CB469"/>
      <c r="CC469"/>
    </row>
    <row r="470" spans="1:81" x14ac:dyDescent="0.25">
      <c r="A470"/>
      <c r="B470"/>
      <c r="C470"/>
      <c r="D470"/>
      <c r="E470"/>
      <c r="F470"/>
      <c r="G470"/>
      <c r="H470"/>
      <c r="I470"/>
      <c r="J470"/>
      <c r="K470"/>
      <c r="L470"/>
      <c r="M470"/>
      <c r="N470"/>
      <c r="O470"/>
      <c r="P470"/>
      <c r="Q470"/>
      <c r="R470"/>
      <c r="S470"/>
      <c r="T470"/>
      <c r="U470"/>
      <c r="V470"/>
      <c r="W470"/>
      <c r="X470"/>
      <c r="Y470"/>
      <c r="Z470"/>
      <c r="AA470"/>
      <c r="AB470"/>
      <c r="AC470"/>
      <c r="AD470"/>
      <c r="AE470"/>
      <c r="AF470"/>
      <c r="AG470"/>
      <c r="AH470"/>
      <c r="AI470"/>
      <c r="AJ470"/>
      <c r="AK470"/>
      <c r="AL470"/>
      <c r="AM470"/>
      <c r="AN470"/>
      <c r="AO470"/>
      <c r="AP470"/>
      <c r="AQ470"/>
      <c r="AR470"/>
      <c r="AS470"/>
      <c r="AT470"/>
      <c r="AU470"/>
      <c r="AV470"/>
      <c r="AW470"/>
      <c r="AX470"/>
      <c r="AY470"/>
      <c r="AZ470"/>
      <c r="BA470"/>
      <c r="BB470"/>
      <c r="BC470"/>
      <c r="BD470"/>
      <c r="BE470"/>
      <c r="BF470"/>
      <c r="BG470"/>
      <c r="BH470"/>
      <c r="BI470"/>
      <c r="BJ470"/>
      <c r="BK470"/>
      <c r="BL470"/>
      <c r="BM470"/>
      <c r="BN470"/>
      <c r="BO470"/>
      <c r="BP470"/>
      <c r="BQ470"/>
      <c r="BR470"/>
      <c r="BS470"/>
      <c r="BT470"/>
      <c r="BU470"/>
      <c r="BV470"/>
      <c r="BW470"/>
      <c r="BX470"/>
      <c r="BY470"/>
      <c r="BZ470"/>
      <c r="CA470"/>
      <c r="CB470"/>
      <c r="CC470"/>
    </row>
    <row r="471" spans="1:81" x14ac:dyDescent="0.25">
      <c r="A471"/>
      <c r="B471"/>
      <c r="C471"/>
      <c r="D471"/>
      <c r="E471"/>
      <c r="F471"/>
      <c r="G471"/>
      <c r="H471"/>
      <c r="I471"/>
      <c r="J471"/>
      <c r="K471"/>
      <c r="L471"/>
      <c r="M471"/>
      <c r="N471"/>
      <c r="O471"/>
      <c r="P471"/>
      <c r="Q471"/>
      <c r="R471"/>
      <c r="S471"/>
      <c r="T471"/>
      <c r="U471"/>
      <c r="V471"/>
      <c r="W471"/>
      <c r="X471"/>
      <c r="Y471"/>
      <c r="Z471"/>
      <c r="AA471"/>
      <c r="AB471"/>
      <c r="AC471"/>
      <c r="AD471"/>
      <c r="AE471"/>
      <c r="AF471"/>
      <c r="AG471"/>
      <c r="AH471"/>
      <c r="AI471"/>
      <c r="AJ471"/>
      <c r="AK471"/>
      <c r="AL471"/>
      <c r="AM471"/>
      <c r="AN471"/>
      <c r="AO471"/>
      <c r="AP471"/>
      <c r="AQ471"/>
      <c r="AR471"/>
      <c r="AS471"/>
      <c r="AT471"/>
      <c r="AU471"/>
      <c r="AV471"/>
      <c r="AW471"/>
      <c r="AX471"/>
      <c r="AY471"/>
      <c r="AZ471"/>
      <c r="BA471"/>
      <c r="BB471"/>
      <c r="BC471"/>
      <c r="BD471"/>
      <c r="BE471"/>
      <c r="BF471"/>
      <c r="BG471"/>
      <c r="BH471"/>
      <c r="BI471"/>
      <c r="BJ471"/>
      <c r="BK471"/>
      <c r="BL471"/>
      <c r="BM471"/>
      <c r="BN471"/>
      <c r="BO471"/>
      <c r="BP471"/>
      <c r="BQ471"/>
      <c r="BR471"/>
      <c r="BS471"/>
      <c r="BT471"/>
      <c r="BU471"/>
      <c r="BV471"/>
      <c r="BW471"/>
      <c r="BX471"/>
      <c r="BY471"/>
      <c r="BZ471"/>
      <c r="CA471"/>
      <c r="CB471"/>
      <c r="CC471"/>
    </row>
    <row r="472" spans="1:81" x14ac:dyDescent="0.25">
      <c r="A472"/>
      <c r="B472"/>
      <c r="C472"/>
      <c r="D472"/>
      <c r="E472"/>
      <c r="F472"/>
      <c r="G472"/>
      <c r="H472"/>
      <c r="I472"/>
      <c r="J472"/>
      <c r="K472"/>
      <c r="L472"/>
      <c r="M472"/>
      <c r="N472"/>
      <c r="O472"/>
      <c r="P472"/>
      <c r="Q472"/>
      <c r="R472"/>
      <c r="S472"/>
      <c r="T472"/>
      <c r="U472"/>
      <c r="V472"/>
      <c r="W472"/>
      <c r="X472"/>
      <c r="Y472"/>
      <c r="Z472"/>
      <c r="AA472"/>
      <c r="AB472"/>
      <c r="AC472"/>
      <c r="AD472"/>
      <c r="AE472"/>
      <c r="AF472"/>
      <c r="AG472"/>
      <c r="AH472"/>
      <c r="AI472"/>
      <c r="AJ472"/>
      <c r="AK472"/>
      <c r="AL472"/>
      <c r="AM472"/>
      <c r="AN472"/>
      <c r="AO472"/>
      <c r="AP472"/>
      <c r="AQ472"/>
      <c r="AR472"/>
      <c r="AS472"/>
      <c r="AT472"/>
      <c r="AU472"/>
      <c r="AV472"/>
      <c r="AW472"/>
      <c r="AX472"/>
      <c r="AY472"/>
      <c r="AZ472"/>
      <c r="BA472"/>
      <c r="BB472"/>
      <c r="BC472"/>
      <c r="BD472"/>
      <c r="BE472"/>
      <c r="BF472"/>
      <c r="BG472"/>
      <c r="BH472"/>
      <c r="BI472"/>
      <c r="BJ472"/>
      <c r="BK472"/>
      <c r="BL472"/>
      <c r="BM472"/>
      <c r="BN472"/>
      <c r="BO472"/>
      <c r="BP472"/>
      <c r="BQ472"/>
      <c r="BR472"/>
      <c r="BS472"/>
      <c r="BT472"/>
      <c r="BU472"/>
      <c r="BV472"/>
      <c r="BW472"/>
      <c r="BX472"/>
      <c r="BY472"/>
      <c r="BZ472"/>
      <c r="CA472"/>
      <c r="CB472"/>
      <c r="CC472"/>
    </row>
    <row r="473" spans="1:81" x14ac:dyDescent="0.25">
      <c r="A473"/>
      <c r="B473"/>
      <c r="C473"/>
      <c r="D473"/>
      <c r="E473"/>
      <c r="F473"/>
      <c r="G473"/>
      <c r="H473"/>
      <c r="I473"/>
      <c r="J473"/>
      <c r="K473"/>
      <c r="L473"/>
      <c r="M473"/>
      <c r="N473"/>
      <c r="O473"/>
      <c r="P473"/>
      <c r="Q473"/>
      <c r="R473"/>
      <c r="S473"/>
      <c r="T473"/>
      <c r="U473"/>
      <c r="V473"/>
      <c r="W473"/>
      <c r="X473"/>
      <c r="Y473"/>
      <c r="Z473"/>
      <c r="AA473"/>
      <c r="AB473"/>
      <c r="AC473"/>
      <c r="AD473"/>
      <c r="AE473"/>
      <c r="AF473"/>
      <c r="AG473"/>
      <c r="AH473"/>
      <c r="AI473"/>
      <c r="AJ473"/>
      <c r="AK473"/>
      <c r="AL473"/>
      <c r="AM473"/>
      <c r="AN473"/>
      <c r="AO473"/>
      <c r="AP473"/>
      <c r="AQ473"/>
      <c r="AR473"/>
      <c r="AS473"/>
      <c r="AT473"/>
      <c r="AU473"/>
      <c r="AV473"/>
      <c r="AW473"/>
      <c r="AX473"/>
      <c r="AY473"/>
      <c r="AZ473"/>
      <c r="BA473"/>
      <c r="BB473"/>
      <c r="BC473"/>
      <c r="BD473"/>
      <c r="BE473"/>
      <c r="BF473"/>
      <c r="BG473"/>
      <c r="BH473"/>
      <c r="BI473"/>
      <c r="BJ473"/>
      <c r="BK473"/>
      <c r="BL473"/>
      <c r="BM473"/>
      <c r="BN473"/>
      <c r="BO473"/>
      <c r="BP473"/>
      <c r="BQ473"/>
      <c r="BR473"/>
      <c r="BS473"/>
      <c r="BT473"/>
      <c r="BU473"/>
      <c r="BV473"/>
      <c r="BW473"/>
      <c r="BX473"/>
      <c r="BY473"/>
      <c r="BZ473"/>
      <c r="CA473"/>
      <c r="CB473"/>
      <c r="CC473"/>
    </row>
    <row r="474" spans="1:81" x14ac:dyDescent="0.25">
      <c r="A474"/>
      <c r="B474"/>
      <c r="C474"/>
      <c r="D474"/>
      <c r="E474"/>
      <c r="F474"/>
      <c r="G474"/>
      <c r="H474"/>
      <c r="I474"/>
      <c r="J474"/>
      <c r="K474"/>
      <c r="L474"/>
      <c r="M474"/>
      <c r="N474"/>
      <c r="O474"/>
      <c r="P474"/>
      <c r="Q474"/>
      <c r="R474"/>
      <c r="S474"/>
      <c r="T474"/>
      <c r="U474"/>
      <c r="V474"/>
      <c r="W474"/>
      <c r="X474"/>
      <c r="Y474"/>
      <c r="Z474"/>
      <c r="AA474"/>
      <c r="AB474"/>
      <c r="AC474"/>
      <c r="AD474"/>
      <c r="AE474"/>
      <c r="AF474"/>
      <c r="AG474"/>
      <c r="AH474"/>
      <c r="AI474"/>
      <c r="AJ474"/>
      <c r="AK474"/>
      <c r="AL474"/>
      <c r="AM474"/>
      <c r="AN474"/>
      <c r="AO474"/>
      <c r="AP474"/>
      <c r="AQ474"/>
      <c r="AR474"/>
      <c r="AS474"/>
      <c r="AT474"/>
      <c r="AU474"/>
      <c r="AV474"/>
      <c r="AW474"/>
      <c r="AX474"/>
      <c r="AY474"/>
      <c r="AZ474"/>
      <c r="BA474"/>
      <c r="BB474"/>
      <c r="BC474"/>
      <c r="BD474"/>
      <c r="BE474"/>
      <c r="BF474"/>
      <c r="BG474"/>
      <c r="BH474"/>
      <c r="BI474"/>
      <c r="BJ474"/>
      <c r="BK474"/>
      <c r="BL474"/>
      <c r="BM474"/>
      <c r="BN474"/>
      <c r="BO474"/>
      <c r="BP474"/>
      <c r="BQ474"/>
      <c r="BR474"/>
      <c r="BS474"/>
      <c r="BT474"/>
      <c r="BU474"/>
      <c r="BV474"/>
      <c r="BW474"/>
      <c r="BX474"/>
      <c r="BY474"/>
      <c r="BZ474"/>
      <c r="CA474"/>
      <c r="CB474"/>
      <c r="CC474"/>
    </row>
    <row r="475" spans="1:81" x14ac:dyDescent="0.25">
      <c r="A475"/>
      <c r="B475"/>
      <c r="C475"/>
      <c r="D475"/>
      <c r="E475"/>
      <c r="F475"/>
      <c r="G475"/>
      <c r="H475"/>
      <c r="I475"/>
      <c r="J475"/>
      <c r="K475"/>
      <c r="L475"/>
      <c r="M475"/>
      <c r="N475"/>
      <c r="O475"/>
      <c r="P475"/>
      <c r="Q475"/>
      <c r="R475"/>
      <c r="S475"/>
      <c r="T475"/>
      <c r="U475"/>
      <c r="V475"/>
      <c r="W475"/>
      <c r="X475"/>
      <c r="Y475"/>
      <c r="Z475"/>
      <c r="AA475"/>
      <c r="AB475"/>
      <c r="AC475"/>
      <c r="AD475"/>
      <c r="AE475"/>
      <c r="AF475"/>
      <c r="AG475"/>
      <c r="AH475"/>
      <c r="AI475"/>
      <c r="AJ475"/>
      <c r="AK475"/>
      <c r="AL475"/>
      <c r="AM475"/>
      <c r="AN475"/>
      <c r="AO475"/>
      <c r="AP475"/>
      <c r="AQ475"/>
      <c r="AR475"/>
      <c r="AS475"/>
      <c r="AT475"/>
      <c r="AU475"/>
      <c r="AV475"/>
      <c r="AW475"/>
      <c r="AX475"/>
      <c r="AY475"/>
      <c r="AZ475"/>
      <c r="BA475"/>
      <c r="BB475"/>
      <c r="BC475"/>
      <c r="BD475"/>
      <c r="BE475"/>
      <c r="BF475"/>
      <c r="BG475"/>
      <c r="BH475"/>
      <c r="BI475"/>
      <c r="BJ475"/>
      <c r="BK475"/>
      <c r="BL475"/>
      <c r="BM475"/>
      <c r="BN475"/>
      <c r="BO475"/>
      <c r="BP475"/>
      <c r="BQ475"/>
      <c r="BR475"/>
      <c r="BS475"/>
      <c r="BT475"/>
      <c r="BU475"/>
      <c r="BV475"/>
      <c r="BW475"/>
      <c r="BX475"/>
      <c r="BY475"/>
      <c r="BZ475"/>
      <c r="CA475"/>
      <c r="CB475"/>
      <c r="CC475"/>
    </row>
    <row r="476" spans="1:81" x14ac:dyDescent="0.25">
      <c r="A476"/>
      <c r="B476"/>
      <c r="C476"/>
      <c r="D476"/>
      <c r="E476"/>
      <c r="F476"/>
      <c r="G476"/>
      <c r="H476"/>
      <c r="I476"/>
      <c r="J476"/>
      <c r="K476"/>
      <c r="L476"/>
      <c r="M476"/>
      <c r="N476"/>
      <c r="O476"/>
      <c r="P476"/>
      <c r="Q476"/>
      <c r="R476"/>
      <c r="S476"/>
      <c r="T476"/>
      <c r="U476"/>
      <c r="V476"/>
      <c r="W476"/>
      <c r="X476"/>
      <c r="Y476"/>
      <c r="Z476"/>
      <c r="AA476"/>
      <c r="AB476"/>
      <c r="AC476"/>
      <c r="AD476"/>
      <c r="AE476"/>
      <c r="AF476"/>
      <c r="AG476"/>
      <c r="AH476"/>
      <c r="AI476"/>
      <c r="AJ476"/>
      <c r="AK476"/>
      <c r="AL476"/>
      <c r="AM476"/>
      <c r="AN476"/>
      <c r="AO476"/>
      <c r="AP476"/>
      <c r="AQ476"/>
      <c r="AR476"/>
      <c r="AS476"/>
      <c r="AT476"/>
      <c r="AU476"/>
      <c r="AV476"/>
      <c r="AW476"/>
      <c r="AX476"/>
      <c r="AY476"/>
      <c r="AZ476"/>
      <c r="BA476"/>
      <c r="BB476"/>
      <c r="BC476"/>
      <c r="BD476"/>
      <c r="BE476"/>
      <c r="BF476"/>
      <c r="BG476"/>
      <c r="BH476"/>
      <c r="BI476"/>
      <c r="BJ476"/>
      <c r="BK476"/>
      <c r="BL476"/>
      <c r="BM476"/>
      <c r="BN476"/>
      <c r="BO476"/>
      <c r="BP476"/>
      <c r="BQ476"/>
      <c r="BR476"/>
      <c r="BS476"/>
      <c r="BT476"/>
      <c r="BU476"/>
      <c r="BV476"/>
      <c r="BW476"/>
      <c r="BX476"/>
      <c r="BY476"/>
      <c r="BZ476"/>
      <c r="CA476"/>
      <c r="CB476"/>
      <c r="CC476"/>
    </row>
    <row r="477" spans="1:81" x14ac:dyDescent="0.25">
      <c r="A477"/>
      <c r="B477"/>
      <c r="C477"/>
      <c r="D477"/>
      <c r="E477"/>
      <c r="F477"/>
      <c r="G477"/>
      <c r="H477"/>
      <c r="I477"/>
      <c r="J477"/>
      <c r="K477"/>
      <c r="L477"/>
      <c r="M477"/>
      <c r="N477"/>
      <c r="O477"/>
      <c r="P477"/>
      <c r="Q477"/>
      <c r="R477"/>
      <c r="S477"/>
      <c r="T477"/>
      <c r="U477"/>
      <c r="V477"/>
      <c r="W477"/>
      <c r="X477"/>
      <c r="Y477"/>
      <c r="Z477"/>
      <c r="AA477"/>
      <c r="AB477"/>
      <c r="AC477"/>
      <c r="AD477"/>
      <c r="AE477"/>
      <c r="AF477"/>
      <c r="AG477"/>
      <c r="AH477"/>
      <c r="AI477"/>
      <c r="AJ477"/>
      <c r="AK477"/>
      <c r="AL477"/>
      <c r="AM477"/>
      <c r="AN477"/>
      <c r="AO477"/>
      <c r="AP477"/>
      <c r="AQ477"/>
      <c r="AR477"/>
      <c r="AS477"/>
      <c r="AT477"/>
      <c r="AU477"/>
      <c r="AV477"/>
      <c r="AW477"/>
      <c r="AX477"/>
      <c r="AY477"/>
      <c r="AZ477"/>
      <c r="BA477"/>
      <c r="BB477"/>
      <c r="BC477"/>
      <c r="BD477"/>
      <c r="BE477"/>
      <c r="BF477"/>
      <c r="BG477"/>
      <c r="BH477"/>
      <c r="BI477"/>
      <c r="BJ477"/>
      <c r="BK477"/>
      <c r="BL477"/>
      <c r="BM477"/>
      <c r="BN477"/>
      <c r="BO477"/>
      <c r="BP477"/>
      <c r="BQ477"/>
      <c r="BR477"/>
      <c r="BS477"/>
      <c r="BT477"/>
      <c r="BU477"/>
      <c r="BV477"/>
      <c r="BW477"/>
      <c r="BX477"/>
      <c r="BY477"/>
      <c r="BZ477"/>
      <c r="CA477"/>
      <c r="CB477"/>
      <c r="CC477"/>
    </row>
    <row r="478" spans="1:81" x14ac:dyDescent="0.25">
      <c r="A478"/>
      <c r="B478"/>
      <c r="C478"/>
      <c r="D478"/>
      <c r="E478"/>
      <c r="F478"/>
      <c r="G478"/>
      <c r="H478"/>
      <c r="I478"/>
      <c r="J478"/>
      <c r="K478"/>
      <c r="L478"/>
      <c r="M478"/>
      <c r="N478"/>
      <c r="O478"/>
      <c r="P478"/>
      <c r="Q478"/>
      <c r="R478"/>
      <c r="S478"/>
      <c r="T478"/>
      <c r="U478"/>
      <c r="V478"/>
      <c r="W478"/>
      <c r="X478"/>
      <c r="Y478"/>
      <c r="Z478"/>
      <c r="AA478"/>
      <c r="AB478"/>
      <c r="AC478"/>
      <c r="AD478"/>
      <c r="AE478"/>
      <c r="AF478"/>
      <c r="AG478"/>
      <c r="AH478"/>
      <c r="AI478"/>
      <c r="AJ478"/>
      <c r="AK478"/>
      <c r="AL478"/>
      <c r="AM478"/>
      <c r="AN478"/>
      <c r="AO478"/>
      <c r="AP478"/>
      <c r="AQ478"/>
      <c r="AR478"/>
      <c r="AS478"/>
      <c r="AT478"/>
      <c r="AU478"/>
      <c r="AV478"/>
      <c r="AW478"/>
      <c r="AX478"/>
      <c r="AY478"/>
      <c r="AZ478"/>
      <c r="BA478"/>
      <c r="BB478"/>
      <c r="BC478"/>
      <c r="BD478"/>
      <c r="BE478"/>
      <c r="BF478"/>
      <c r="BG478"/>
      <c r="BH478"/>
      <c r="BI478"/>
      <c r="BJ478"/>
      <c r="BK478"/>
      <c r="BL478"/>
      <c r="BM478"/>
      <c r="BN478"/>
      <c r="BO478"/>
      <c r="BP478"/>
      <c r="BQ478"/>
      <c r="BR478"/>
      <c r="BS478"/>
      <c r="BT478"/>
      <c r="BU478"/>
      <c r="BV478"/>
      <c r="BW478"/>
      <c r="BX478"/>
      <c r="BY478"/>
      <c r="BZ478"/>
      <c r="CA478"/>
      <c r="CB478"/>
      <c r="CC478"/>
    </row>
    <row r="479" spans="1:81" x14ac:dyDescent="0.25">
      <c r="A479"/>
      <c r="B479"/>
      <c r="C479"/>
      <c r="D479"/>
      <c r="E479"/>
      <c r="F479"/>
      <c r="G479"/>
      <c r="H479"/>
      <c r="I479"/>
      <c r="J479"/>
      <c r="K479"/>
      <c r="L479"/>
      <c r="M479"/>
      <c r="N479"/>
      <c r="O479"/>
      <c r="P479"/>
      <c r="Q479"/>
      <c r="R479"/>
      <c r="S479"/>
      <c r="T479"/>
      <c r="U479"/>
      <c r="V479"/>
      <c r="W479"/>
      <c r="X479"/>
      <c r="Y479"/>
      <c r="Z479"/>
      <c r="AA479"/>
      <c r="AB479"/>
      <c r="AC479"/>
      <c r="AD479"/>
      <c r="AE479"/>
      <c r="AF479"/>
      <c r="AG479"/>
      <c r="AH479"/>
      <c r="AI479"/>
      <c r="AJ479"/>
      <c r="AK479"/>
      <c r="AL479"/>
      <c r="AM479"/>
      <c r="AN479"/>
      <c r="AO479"/>
      <c r="AP479"/>
      <c r="AQ479"/>
      <c r="AR479"/>
      <c r="AS479"/>
      <c r="AT479"/>
      <c r="AU479"/>
      <c r="AV479"/>
      <c r="AW479"/>
      <c r="AX479"/>
      <c r="AY479"/>
      <c r="AZ479"/>
      <c r="BA479"/>
      <c r="BB479"/>
      <c r="BC479"/>
      <c r="BD479"/>
      <c r="BE479"/>
      <c r="BF479"/>
      <c r="BG479"/>
      <c r="BH479"/>
      <c r="BI479"/>
      <c r="BJ479"/>
      <c r="BK479"/>
      <c r="BL479"/>
      <c r="BM479"/>
      <c r="BN479"/>
      <c r="BO479"/>
      <c r="BP479"/>
      <c r="BQ479"/>
      <c r="BR479"/>
      <c r="BS479"/>
      <c r="BT479"/>
      <c r="BU479"/>
      <c r="BV479"/>
      <c r="BW479"/>
      <c r="BX479"/>
      <c r="BY479"/>
      <c r="BZ479"/>
      <c r="CA479"/>
      <c r="CB479"/>
      <c r="CC479"/>
    </row>
    <row r="480" spans="1:81" x14ac:dyDescent="0.25">
      <c r="A480"/>
      <c r="B480"/>
      <c r="C480"/>
      <c r="D480"/>
      <c r="E480"/>
      <c r="F480"/>
      <c r="G480"/>
      <c r="H480"/>
      <c r="I480"/>
      <c r="J480"/>
      <c r="K480"/>
      <c r="L480"/>
      <c r="M480"/>
      <c r="N480"/>
      <c r="O480"/>
      <c r="P480"/>
      <c r="Q480"/>
      <c r="R480"/>
      <c r="S480"/>
      <c r="T480"/>
      <c r="U480"/>
      <c r="V480"/>
      <c r="W480"/>
      <c r="X480"/>
      <c r="Y480"/>
      <c r="Z480"/>
      <c r="AA480"/>
      <c r="AB480"/>
      <c r="AC480"/>
      <c r="AD480"/>
      <c r="AE480"/>
      <c r="AF480"/>
      <c r="AG480"/>
      <c r="AH480"/>
      <c r="AI480"/>
      <c r="AJ480"/>
      <c r="AK480"/>
      <c r="AL480"/>
      <c r="AM480"/>
      <c r="AN480"/>
      <c r="AO480"/>
      <c r="AP480"/>
      <c r="AQ480"/>
      <c r="AR480"/>
      <c r="AS480"/>
      <c r="AT480"/>
      <c r="AU480"/>
      <c r="AV480"/>
      <c r="AW480"/>
      <c r="AX480"/>
      <c r="AY480"/>
      <c r="AZ480"/>
      <c r="BA480"/>
      <c r="BB480"/>
      <c r="BC480"/>
      <c r="BD480"/>
      <c r="BE480"/>
      <c r="BF480"/>
      <c r="BG480"/>
      <c r="BH480"/>
      <c r="BI480"/>
      <c r="BJ480"/>
      <c r="BK480"/>
      <c r="BL480"/>
      <c r="BM480"/>
      <c r="BN480"/>
      <c r="BO480"/>
      <c r="BP480"/>
      <c r="BQ480"/>
      <c r="BR480"/>
      <c r="BS480"/>
      <c r="BT480"/>
      <c r="BU480"/>
      <c r="BV480"/>
      <c r="BW480"/>
      <c r="BX480"/>
      <c r="BY480"/>
      <c r="BZ480"/>
      <c r="CA480"/>
      <c r="CB480"/>
      <c r="CC480"/>
    </row>
    <row r="481" spans="1:81" x14ac:dyDescent="0.25">
      <c r="A481"/>
      <c r="B481"/>
      <c r="C481"/>
      <c r="D481"/>
      <c r="E481"/>
      <c r="F481"/>
      <c r="G481"/>
      <c r="H481"/>
      <c r="I481"/>
      <c r="J481"/>
      <c r="K481"/>
      <c r="L481"/>
      <c r="M481"/>
      <c r="N481"/>
      <c r="O481"/>
      <c r="P481"/>
      <c r="Q481"/>
      <c r="R481"/>
      <c r="S481"/>
      <c r="T481"/>
      <c r="U481"/>
      <c r="V481"/>
      <c r="W481"/>
      <c r="X481"/>
      <c r="Y481"/>
      <c r="Z481"/>
      <c r="AA481"/>
      <c r="AB481"/>
      <c r="AC481"/>
      <c r="AD481"/>
      <c r="AE481"/>
      <c r="AF481"/>
      <c r="AG481"/>
      <c r="AH481"/>
      <c r="AI481"/>
      <c r="AJ481"/>
      <c r="AK481"/>
      <c r="AL481"/>
      <c r="AM481"/>
      <c r="AN481"/>
      <c r="AO481"/>
      <c r="AP481"/>
      <c r="AQ481"/>
      <c r="AR481"/>
      <c r="AS481"/>
      <c r="AT481"/>
      <c r="AU481"/>
      <c r="AV481"/>
      <c r="AW481"/>
      <c r="AX481"/>
      <c r="AY481"/>
      <c r="AZ481"/>
      <c r="BA481"/>
      <c r="BB481"/>
      <c r="BC481"/>
      <c r="BD481"/>
      <c r="BE481"/>
      <c r="BF481"/>
      <c r="BG481"/>
      <c r="BH481"/>
      <c r="BI481"/>
      <c r="BJ481"/>
      <c r="BK481"/>
      <c r="BL481"/>
      <c r="BM481"/>
      <c r="BN481"/>
      <c r="BO481"/>
      <c r="BP481"/>
      <c r="BQ481"/>
      <c r="BR481"/>
      <c r="BS481"/>
      <c r="BT481"/>
      <c r="BU481"/>
      <c r="BV481"/>
      <c r="BW481"/>
      <c r="BX481"/>
      <c r="BY481"/>
      <c r="BZ481"/>
      <c r="CA481"/>
      <c r="CB481"/>
      <c r="CC481"/>
    </row>
    <row r="482" spans="1:81" x14ac:dyDescent="0.25">
      <c r="A482"/>
      <c r="B482"/>
      <c r="C482"/>
      <c r="D482"/>
      <c r="E482"/>
      <c r="F482"/>
      <c r="G482"/>
      <c r="H482"/>
      <c r="I482"/>
      <c r="J482"/>
      <c r="K482"/>
      <c r="L482"/>
      <c r="M482"/>
      <c r="N482"/>
      <c r="O482"/>
      <c r="P482"/>
      <c r="Q482"/>
      <c r="R482"/>
      <c r="S482"/>
      <c r="T482"/>
      <c r="U482"/>
      <c r="V482"/>
      <c r="W482"/>
      <c r="X482"/>
      <c r="Y482"/>
      <c r="Z482"/>
      <c r="AA482"/>
      <c r="AB482"/>
      <c r="AC482"/>
      <c r="AD482"/>
      <c r="AE482"/>
      <c r="AF482"/>
      <c r="AG482"/>
      <c r="AH482"/>
      <c r="AI482"/>
      <c r="AJ482"/>
      <c r="AK482"/>
      <c r="AL482"/>
      <c r="AM482"/>
      <c r="AN482"/>
      <c r="AO482"/>
      <c r="AP482"/>
      <c r="AQ482"/>
      <c r="AR482"/>
      <c r="AS482"/>
      <c r="AT482"/>
      <c r="AU482"/>
      <c r="AV482"/>
      <c r="AW482"/>
      <c r="AX482"/>
      <c r="AY482"/>
      <c r="AZ482"/>
      <c r="BA482"/>
      <c r="BB482"/>
      <c r="BC482"/>
      <c r="BD482"/>
      <c r="BE482"/>
      <c r="BF482"/>
      <c r="BG482"/>
      <c r="BH482"/>
      <c r="BI482"/>
      <c r="BJ482"/>
      <c r="BK482"/>
      <c r="BL482"/>
      <c r="BM482"/>
      <c r="BN482"/>
      <c r="BO482"/>
      <c r="BP482"/>
      <c r="BQ482"/>
      <c r="BR482"/>
      <c r="BS482"/>
      <c r="BT482"/>
      <c r="BU482"/>
      <c r="BV482"/>
      <c r="BW482"/>
      <c r="BX482"/>
      <c r="BY482"/>
      <c r="BZ482"/>
      <c r="CA482"/>
      <c r="CB482"/>
      <c r="CC482"/>
    </row>
    <row r="483" spans="1:81" x14ac:dyDescent="0.25">
      <c r="A483"/>
      <c r="B483"/>
      <c r="C483"/>
      <c r="D483"/>
      <c r="E483"/>
      <c r="F483"/>
      <c r="G483"/>
      <c r="H483"/>
      <c r="I483"/>
      <c r="J483"/>
      <c r="K483"/>
      <c r="L483"/>
      <c r="M483"/>
      <c r="N483"/>
      <c r="O483"/>
      <c r="P483"/>
      <c r="Q483"/>
      <c r="R483"/>
      <c r="S483"/>
      <c r="T483"/>
      <c r="U483"/>
      <c r="V483"/>
      <c r="W483"/>
      <c r="X483"/>
      <c r="Y483"/>
      <c r="Z483"/>
      <c r="AA483"/>
      <c r="AB483"/>
      <c r="AC483"/>
      <c r="AD483"/>
      <c r="AE483"/>
      <c r="AF483"/>
      <c r="AG483"/>
      <c r="AH483"/>
      <c r="AI483"/>
      <c r="AJ483"/>
      <c r="AK483"/>
      <c r="AL483"/>
      <c r="AM483"/>
      <c r="AN483"/>
      <c r="AO483"/>
      <c r="AP483"/>
      <c r="AQ483"/>
      <c r="AR483"/>
      <c r="AS483"/>
      <c r="AT483"/>
      <c r="AU483"/>
      <c r="AV483"/>
      <c r="AW483"/>
      <c r="AX483"/>
      <c r="AY483"/>
      <c r="AZ483"/>
      <c r="BA483"/>
      <c r="BB483"/>
      <c r="BC483"/>
      <c r="BD483"/>
      <c r="BE483"/>
      <c r="BF483"/>
      <c r="BG483"/>
      <c r="BH483"/>
      <c r="BI483"/>
      <c r="BJ483"/>
      <c r="BK483"/>
      <c r="BL483"/>
      <c r="BM483"/>
      <c r="BN483"/>
      <c r="BO483"/>
      <c r="BP483"/>
      <c r="BQ483"/>
      <c r="BR483"/>
      <c r="BS483"/>
      <c r="BT483"/>
      <c r="BU483"/>
      <c r="BV483"/>
      <c r="BW483"/>
      <c r="BX483"/>
      <c r="BY483"/>
      <c r="BZ483"/>
      <c r="CA483"/>
      <c r="CB483"/>
      <c r="CC483"/>
    </row>
    <row r="484" spans="1:81" x14ac:dyDescent="0.25">
      <c r="A484"/>
      <c r="B484"/>
      <c r="C484"/>
      <c r="D484"/>
      <c r="E484"/>
      <c r="F484"/>
      <c r="G484"/>
      <c r="H484"/>
      <c r="I484"/>
      <c r="J484"/>
      <c r="K484"/>
      <c r="L484"/>
      <c r="M484"/>
      <c r="N484"/>
      <c r="O484"/>
      <c r="P484"/>
      <c r="Q484"/>
      <c r="R484"/>
      <c r="S484"/>
      <c r="T484"/>
      <c r="U484"/>
      <c r="V484"/>
      <c r="W484"/>
      <c r="X484"/>
      <c r="Y484"/>
      <c r="Z484"/>
      <c r="AA484"/>
      <c r="AB484"/>
      <c r="AC484"/>
      <c r="AD484"/>
      <c r="AE484"/>
      <c r="AF484"/>
      <c r="AG484"/>
      <c r="AH484"/>
      <c r="AI484"/>
      <c r="AJ484"/>
      <c r="AK484"/>
      <c r="AL484"/>
      <c r="AM484"/>
      <c r="AN484"/>
      <c r="AO484"/>
      <c r="AP484"/>
      <c r="AQ484"/>
      <c r="AR484"/>
      <c r="AS484"/>
      <c r="AT484"/>
      <c r="AU484"/>
      <c r="AV484"/>
      <c r="AW484"/>
      <c r="AX484"/>
      <c r="AY484"/>
      <c r="AZ484"/>
      <c r="BA484"/>
      <c r="BB484"/>
      <c r="BC484"/>
      <c r="BD484"/>
      <c r="BE484"/>
      <c r="BF484"/>
      <c r="BG484"/>
      <c r="BH484"/>
      <c r="BI484"/>
      <c r="BJ484"/>
      <c r="BK484"/>
      <c r="BL484"/>
      <c r="BM484"/>
      <c r="BN484"/>
      <c r="BO484"/>
      <c r="BP484"/>
      <c r="BQ484"/>
      <c r="BR484"/>
      <c r="BS484"/>
      <c r="BT484"/>
      <c r="BU484"/>
      <c r="BV484"/>
      <c r="BW484"/>
      <c r="BX484"/>
      <c r="BY484"/>
      <c r="BZ484"/>
      <c r="CA484"/>
      <c r="CB484"/>
      <c r="CC484"/>
    </row>
    <row r="485" spans="1:81" x14ac:dyDescent="0.25">
      <c r="A485"/>
      <c r="B485"/>
      <c r="C485"/>
      <c r="D485"/>
      <c r="E485"/>
      <c r="F485"/>
      <c r="G485"/>
      <c r="H485"/>
      <c r="I485"/>
      <c r="J485"/>
      <c r="K485"/>
      <c r="L485"/>
      <c r="M485"/>
      <c r="N485"/>
      <c r="O485"/>
      <c r="P485"/>
      <c r="Q485"/>
      <c r="R485"/>
      <c r="S485"/>
      <c r="T485"/>
      <c r="U485"/>
      <c r="V485"/>
      <c r="W485"/>
      <c r="X485"/>
      <c r="Y485"/>
      <c r="Z485"/>
      <c r="AA485"/>
      <c r="AB485"/>
      <c r="AC485"/>
      <c r="AD485"/>
      <c r="AE485"/>
      <c r="AF485"/>
      <c r="AG485"/>
      <c r="AH485"/>
      <c r="AI485"/>
      <c r="AJ485"/>
      <c r="AK485"/>
      <c r="AL485"/>
      <c r="AM485"/>
      <c r="AN485"/>
      <c r="AO485"/>
      <c r="AP485"/>
      <c r="AQ485"/>
      <c r="AR485"/>
      <c r="AS485"/>
      <c r="AT485"/>
      <c r="AU485"/>
      <c r="AV485"/>
      <c r="AW485"/>
      <c r="AX485"/>
      <c r="AY485"/>
      <c r="AZ485"/>
      <c r="BA485"/>
      <c r="BB485"/>
      <c r="BC485"/>
      <c r="BD485"/>
      <c r="BE485"/>
      <c r="BF485"/>
      <c r="BG485"/>
      <c r="BH485"/>
      <c r="BI485"/>
      <c r="BJ485"/>
      <c r="BK485"/>
      <c r="BL485"/>
      <c r="BM485"/>
      <c r="BN485"/>
      <c r="BO485"/>
      <c r="BP485"/>
      <c r="BQ485"/>
      <c r="BR485"/>
      <c r="BS485"/>
      <c r="BT485"/>
      <c r="BU485"/>
      <c r="BV485"/>
      <c r="BW485"/>
      <c r="BX485"/>
      <c r="BY485"/>
      <c r="BZ485"/>
      <c r="CA485"/>
      <c r="CB485"/>
      <c r="CC485"/>
    </row>
    <row r="486" spans="1:81" x14ac:dyDescent="0.25">
      <c r="A486"/>
      <c r="B486"/>
      <c r="C486"/>
      <c r="D486"/>
      <c r="E486"/>
      <c r="F486"/>
      <c r="G486"/>
      <c r="H486"/>
      <c r="I486"/>
      <c r="J486"/>
      <c r="K486"/>
      <c r="L486"/>
      <c r="M486"/>
      <c r="N486"/>
      <c r="O486"/>
      <c r="P486"/>
      <c r="Q486"/>
      <c r="R486"/>
      <c r="S486"/>
      <c r="T486"/>
      <c r="U486"/>
      <c r="V486"/>
      <c r="W486"/>
      <c r="X486"/>
      <c r="Y486"/>
      <c r="Z486"/>
      <c r="AA486"/>
      <c r="AB486"/>
      <c r="AC486"/>
      <c r="AD486"/>
      <c r="AE486"/>
      <c r="AF486"/>
      <c r="AG486"/>
      <c r="AH486"/>
      <c r="AI486"/>
      <c r="AJ486"/>
      <c r="AK486"/>
      <c r="AL486"/>
      <c r="AM486"/>
      <c r="AN486"/>
      <c r="AO486"/>
      <c r="AP486"/>
      <c r="AQ486"/>
      <c r="AR486"/>
      <c r="AS486"/>
      <c r="AT486"/>
      <c r="AU486"/>
      <c r="AV486"/>
      <c r="AW486"/>
      <c r="AX486"/>
      <c r="AY486"/>
      <c r="AZ486"/>
      <c r="BA486"/>
      <c r="BB486"/>
      <c r="BC486"/>
      <c r="BD486"/>
      <c r="BE486"/>
      <c r="BF486"/>
      <c r="BG486"/>
      <c r="BH486"/>
      <c r="BI486"/>
      <c r="BJ486"/>
      <c r="BK486"/>
      <c r="BL486"/>
      <c r="BM486"/>
      <c r="BN486"/>
      <c r="BO486"/>
      <c r="BP486"/>
      <c r="BQ486"/>
      <c r="BR486"/>
      <c r="BS486"/>
      <c r="BT486"/>
      <c r="BU486"/>
      <c r="BV486"/>
      <c r="BW486"/>
      <c r="BX486"/>
      <c r="BY486"/>
      <c r="BZ486"/>
      <c r="CA486"/>
      <c r="CB486"/>
      <c r="CC486"/>
    </row>
    <row r="487" spans="1:81" x14ac:dyDescent="0.25">
      <c r="A487"/>
      <c r="B487"/>
      <c r="C487"/>
      <c r="D487"/>
      <c r="E487"/>
      <c r="F487"/>
      <c r="G487"/>
      <c r="H487"/>
      <c r="I487"/>
      <c r="J487"/>
      <c r="K487"/>
      <c r="L487"/>
      <c r="M487"/>
      <c r="N487"/>
      <c r="O487"/>
      <c r="P487"/>
      <c r="Q487"/>
      <c r="R487"/>
      <c r="S487"/>
      <c r="T487"/>
      <c r="U487"/>
      <c r="V487"/>
      <c r="W487"/>
      <c r="X487"/>
      <c r="Y487"/>
      <c r="Z487"/>
      <c r="AA487"/>
      <c r="AB487"/>
      <c r="AC487"/>
      <c r="AD487"/>
      <c r="AE487"/>
      <c r="AF487"/>
      <c r="AG487"/>
      <c r="AH487"/>
      <c r="AI487"/>
      <c r="AJ487"/>
      <c r="AK487"/>
      <c r="AL487"/>
      <c r="AM487"/>
      <c r="AN487"/>
      <c r="AO487"/>
      <c r="AP487"/>
      <c r="AQ487"/>
      <c r="AR487"/>
      <c r="AS487"/>
      <c r="AT487"/>
      <c r="AU487"/>
      <c r="AV487"/>
      <c r="AW487"/>
      <c r="AX487"/>
      <c r="AY487"/>
      <c r="AZ487"/>
      <c r="BA487"/>
      <c r="BB487"/>
      <c r="BC487"/>
      <c r="BD487"/>
      <c r="BE487"/>
      <c r="BF487"/>
      <c r="BG487"/>
      <c r="BH487"/>
      <c r="BI487"/>
      <c r="BJ487"/>
      <c r="BK487"/>
      <c r="BL487"/>
      <c r="BM487"/>
      <c r="BN487"/>
      <c r="BO487"/>
      <c r="BP487"/>
      <c r="BQ487"/>
      <c r="BR487"/>
      <c r="BS487"/>
      <c r="BT487"/>
      <c r="BU487"/>
      <c r="BV487"/>
      <c r="BW487"/>
      <c r="BX487"/>
      <c r="BY487"/>
      <c r="BZ487"/>
      <c r="CA487"/>
      <c r="CB487"/>
      <c r="CC487"/>
    </row>
    <row r="488" spans="1:81" x14ac:dyDescent="0.25">
      <c r="A488"/>
      <c r="B488"/>
      <c r="C488"/>
      <c r="D488"/>
      <c r="E488"/>
      <c r="F488"/>
      <c r="G488"/>
      <c r="H488"/>
      <c r="I488"/>
      <c r="J488"/>
      <c r="K488"/>
      <c r="L488"/>
      <c r="M488"/>
      <c r="N488"/>
      <c r="O488"/>
      <c r="P488"/>
      <c r="Q488"/>
      <c r="R488"/>
      <c r="S488"/>
      <c r="T488"/>
      <c r="U488"/>
      <c r="V488"/>
      <c r="W488"/>
      <c r="X488"/>
      <c r="Y488"/>
      <c r="Z488"/>
      <c r="AA488"/>
      <c r="AB488"/>
      <c r="AC488"/>
      <c r="AD488"/>
      <c r="AE488"/>
      <c r="AF488"/>
      <c r="AG488"/>
      <c r="AH488"/>
      <c r="AI488"/>
      <c r="AJ488"/>
      <c r="AK488"/>
      <c r="AL488"/>
      <c r="AM488"/>
      <c r="AN488"/>
      <c r="AO488"/>
      <c r="AP488"/>
      <c r="AQ488"/>
      <c r="AR488"/>
      <c r="AS488"/>
      <c r="AT488"/>
      <c r="AU488"/>
      <c r="AV488"/>
      <c r="AW488"/>
      <c r="AX488"/>
      <c r="AY488"/>
      <c r="AZ488"/>
      <c r="BA488"/>
      <c r="BB488"/>
      <c r="BC488"/>
      <c r="BD488"/>
      <c r="BE488"/>
      <c r="BF488"/>
      <c r="BG488"/>
      <c r="BH488"/>
      <c r="BI488"/>
      <c r="BJ488"/>
      <c r="BK488"/>
      <c r="BL488"/>
      <c r="BM488"/>
      <c r="BN488"/>
      <c r="BO488"/>
      <c r="BP488"/>
      <c r="BQ488"/>
      <c r="BR488"/>
      <c r="BS488"/>
      <c r="BT488"/>
      <c r="BU488"/>
      <c r="BV488"/>
      <c r="BW488"/>
      <c r="BX488"/>
      <c r="BY488"/>
      <c r="BZ488"/>
      <c r="CA488"/>
      <c r="CB488"/>
      <c r="CC488"/>
    </row>
    <row r="489" spans="1:81" x14ac:dyDescent="0.25">
      <c r="A489"/>
      <c r="B489"/>
      <c r="C489"/>
      <c r="D489"/>
      <c r="E489"/>
      <c r="F489"/>
      <c r="G489"/>
      <c r="H489"/>
      <c r="I489"/>
      <c r="J489"/>
      <c r="K489"/>
      <c r="L489"/>
      <c r="M489"/>
      <c r="N489"/>
      <c r="O489"/>
      <c r="P489"/>
      <c r="Q489"/>
      <c r="R489"/>
      <c r="S489"/>
      <c r="T489"/>
      <c r="U489"/>
      <c r="V489"/>
      <c r="W489"/>
      <c r="X489"/>
      <c r="Y489"/>
      <c r="Z489"/>
      <c r="AA489"/>
      <c r="AB489"/>
      <c r="AC489"/>
      <c r="AD489"/>
      <c r="AE489"/>
      <c r="AF489"/>
      <c r="AG489"/>
      <c r="AH489"/>
      <c r="AI489"/>
      <c r="AJ489"/>
      <c r="AK489"/>
      <c r="AL489"/>
      <c r="AM489"/>
      <c r="AN489"/>
      <c r="AO489"/>
      <c r="AP489"/>
      <c r="AQ489"/>
      <c r="AR489"/>
      <c r="AS489"/>
      <c r="AT489"/>
      <c r="AU489"/>
      <c r="AV489"/>
      <c r="AW489"/>
      <c r="AX489"/>
      <c r="AY489"/>
      <c r="AZ489"/>
      <c r="BA489"/>
      <c r="BB489"/>
      <c r="BC489"/>
      <c r="BD489"/>
      <c r="BE489"/>
      <c r="BF489"/>
      <c r="BG489"/>
      <c r="BH489"/>
      <c r="BI489"/>
      <c r="BJ489"/>
      <c r="BK489"/>
      <c r="BL489"/>
      <c r="BM489"/>
      <c r="BN489"/>
      <c r="BO489"/>
      <c r="BP489"/>
      <c r="BQ489"/>
      <c r="BR489"/>
      <c r="BS489"/>
      <c r="BT489"/>
      <c r="BU489"/>
      <c r="BV489"/>
      <c r="BW489"/>
      <c r="BX489"/>
      <c r="BY489"/>
      <c r="BZ489"/>
      <c r="CA489"/>
      <c r="CB489"/>
      <c r="CC489"/>
    </row>
    <row r="490" spans="1:81" x14ac:dyDescent="0.25">
      <c r="A490"/>
      <c r="B490"/>
      <c r="C490"/>
      <c r="D490"/>
      <c r="E490"/>
      <c r="F490"/>
      <c r="G490"/>
      <c r="H490"/>
      <c r="I490"/>
      <c r="J490"/>
      <c r="K490"/>
      <c r="L490"/>
      <c r="M490"/>
      <c r="N490"/>
      <c r="O490"/>
      <c r="P490"/>
      <c r="Q490"/>
      <c r="R490"/>
      <c r="S490"/>
      <c r="T490"/>
      <c r="U490"/>
      <c r="V490"/>
      <c r="W490"/>
      <c r="X490"/>
      <c r="Y490"/>
      <c r="Z490"/>
      <c r="AA490"/>
      <c r="AB490"/>
      <c r="AC490"/>
      <c r="AD490"/>
      <c r="AE490"/>
      <c r="AF490"/>
      <c r="AG490"/>
      <c r="AH490"/>
      <c r="AI490"/>
      <c r="AJ490"/>
      <c r="AK490"/>
      <c r="AL490"/>
      <c r="AM490"/>
      <c r="AN490"/>
      <c r="AO490"/>
      <c r="AP490"/>
      <c r="AQ490"/>
      <c r="AR490"/>
      <c r="AS490"/>
      <c r="AT490"/>
      <c r="AU490"/>
      <c r="AV490"/>
      <c r="AW490"/>
      <c r="AX490"/>
      <c r="AY490"/>
      <c r="AZ490"/>
      <c r="BA490"/>
      <c r="BB490"/>
      <c r="BC490"/>
      <c r="BD490"/>
      <c r="BE490"/>
      <c r="BF490"/>
      <c r="BG490"/>
      <c r="BH490"/>
      <c r="BI490"/>
      <c r="BJ490"/>
      <c r="BK490"/>
      <c r="BL490"/>
      <c r="BM490"/>
      <c r="BN490"/>
      <c r="BO490"/>
      <c r="BP490"/>
      <c r="BQ490"/>
      <c r="BR490"/>
      <c r="BS490"/>
      <c r="BT490"/>
      <c r="BU490"/>
      <c r="BV490"/>
      <c r="BW490"/>
      <c r="BX490"/>
      <c r="BY490"/>
      <c r="BZ490"/>
      <c r="CA490"/>
      <c r="CB490"/>
      <c r="CC490"/>
    </row>
    <row r="491" spans="1:81" x14ac:dyDescent="0.25">
      <c r="A491"/>
      <c r="B491"/>
      <c r="C491"/>
      <c r="D491"/>
      <c r="E491"/>
      <c r="F491"/>
      <c r="G491"/>
      <c r="H491"/>
      <c r="I491"/>
      <c r="J491"/>
      <c r="K491"/>
      <c r="L491"/>
      <c r="M491"/>
      <c r="N491"/>
      <c r="O491"/>
      <c r="P491"/>
      <c r="Q491"/>
      <c r="R491"/>
      <c r="S491"/>
      <c r="T491"/>
      <c r="U491"/>
      <c r="V491"/>
      <c r="W491"/>
      <c r="X491"/>
      <c r="Y491"/>
      <c r="Z491"/>
      <c r="AA491"/>
      <c r="AB491"/>
      <c r="AC491"/>
      <c r="AD491"/>
      <c r="AE491"/>
      <c r="AF491"/>
      <c r="AG491"/>
      <c r="AH491"/>
      <c r="AI491"/>
      <c r="AJ491"/>
      <c r="AK491"/>
      <c r="AL491"/>
      <c r="AM491"/>
      <c r="AN491"/>
      <c r="AO491"/>
      <c r="AP491"/>
      <c r="AQ491"/>
      <c r="AR491"/>
      <c r="AS491"/>
      <c r="AT491"/>
      <c r="AU491"/>
      <c r="AV491"/>
      <c r="AW491"/>
      <c r="AX491"/>
      <c r="AY491"/>
      <c r="AZ491"/>
      <c r="BA491"/>
      <c r="BB491"/>
      <c r="BC491"/>
      <c r="BD491"/>
      <c r="BE491"/>
      <c r="BF491"/>
      <c r="BG491"/>
      <c r="BH491"/>
      <c r="BI491"/>
      <c r="BJ491"/>
      <c r="BK491"/>
      <c r="BL491"/>
      <c r="BM491"/>
      <c r="BN491"/>
      <c r="BO491"/>
      <c r="BP491"/>
      <c r="BQ491"/>
      <c r="BR491"/>
      <c r="BS491"/>
      <c r="BT491"/>
      <c r="BU491"/>
      <c r="BV491"/>
      <c r="BW491"/>
      <c r="BX491"/>
      <c r="BY491"/>
      <c r="BZ491"/>
      <c r="CA491"/>
      <c r="CB491"/>
      <c r="CC491"/>
    </row>
    <row r="492" spans="1:81" x14ac:dyDescent="0.25">
      <c r="A492"/>
      <c r="B492"/>
      <c r="C492"/>
      <c r="D492"/>
      <c r="E492"/>
      <c r="F492"/>
      <c r="G492"/>
      <c r="H492"/>
      <c r="I492"/>
      <c r="J492"/>
      <c r="K492"/>
      <c r="L492"/>
      <c r="M492"/>
      <c r="N492"/>
      <c r="O492"/>
      <c r="P492"/>
      <c r="Q492"/>
      <c r="R492"/>
      <c r="S492"/>
      <c r="T492"/>
      <c r="U492"/>
      <c r="V492"/>
      <c r="W492"/>
      <c r="X492"/>
      <c r="Y492"/>
      <c r="Z492"/>
      <c r="AA492"/>
      <c r="AB492"/>
      <c r="AC492"/>
      <c r="AD492"/>
      <c r="AE492"/>
      <c r="AF492"/>
      <c r="AG492"/>
      <c r="AH492"/>
      <c r="AI492"/>
      <c r="AJ492"/>
      <c r="AK492"/>
      <c r="AL492"/>
      <c r="AM492"/>
      <c r="AN492"/>
      <c r="AO492"/>
      <c r="AP492"/>
      <c r="AQ492"/>
      <c r="AR492"/>
      <c r="AS492"/>
      <c r="AT492"/>
      <c r="AU492"/>
      <c r="AV492"/>
      <c r="AW492"/>
      <c r="AX492"/>
      <c r="AY492"/>
      <c r="AZ492"/>
      <c r="BA492"/>
      <c r="BB492"/>
      <c r="BC492"/>
      <c r="BD492"/>
      <c r="BE492"/>
      <c r="BF492"/>
      <c r="BG492"/>
      <c r="BH492"/>
      <c r="BI492"/>
      <c r="BJ492"/>
      <c r="BK492"/>
      <c r="BL492"/>
      <c r="BM492"/>
      <c r="BN492"/>
      <c r="BO492"/>
      <c r="BP492"/>
      <c r="BQ492"/>
      <c r="BR492"/>
      <c r="BS492"/>
      <c r="BT492"/>
      <c r="BU492"/>
      <c r="BV492"/>
      <c r="BW492"/>
      <c r="BX492"/>
      <c r="BY492"/>
      <c r="BZ492"/>
      <c r="CA492"/>
      <c r="CB492"/>
      <c r="CC492"/>
    </row>
    <row r="493" spans="1:81" x14ac:dyDescent="0.25">
      <c r="A493"/>
      <c r="B493"/>
      <c r="C493"/>
      <c r="D493"/>
      <c r="E493"/>
      <c r="F493"/>
      <c r="G493"/>
      <c r="H493"/>
      <c r="I493"/>
      <c r="J493"/>
      <c r="K493"/>
      <c r="L493"/>
      <c r="M493"/>
      <c r="N493"/>
      <c r="O493"/>
      <c r="P493"/>
      <c r="Q493"/>
      <c r="R493"/>
      <c r="S493"/>
      <c r="T493"/>
      <c r="U493"/>
      <c r="V493"/>
      <c r="W493"/>
      <c r="X493"/>
      <c r="Y493"/>
      <c r="Z493"/>
      <c r="AA493"/>
      <c r="AB493"/>
      <c r="AC493"/>
      <c r="AD493"/>
      <c r="AE493"/>
      <c r="AF493"/>
      <c r="AG493"/>
      <c r="AH493"/>
      <c r="AI493"/>
      <c r="AJ493"/>
      <c r="AK493"/>
      <c r="AL493"/>
      <c r="AM493"/>
      <c r="AN493"/>
      <c r="AO493"/>
      <c r="AP493"/>
      <c r="AQ493"/>
      <c r="AR493"/>
      <c r="AS493"/>
      <c r="AT493"/>
      <c r="AU493"/>
      <c r="AV493"/>
      <c r="AW493"/>
      <c r="AX493"/>
      <c r="AY493"/>
      <c r="AZ493"/>
      <c r="BA493"/>
      <c r="BB493"/>
      <c r="BC493"/>
      <c r="BD493"/>
      <c r="BE493"/>
      <c r="BF493"/>
      <c r="BG493"/>
      <c r="BH493"/>
      <c r="BI493"/>
      <c r="BJ493"/>
      <c r="BK493"/>
      <c r="BL493"/>
      <c r="BM493"/>
      <c r="BN493"/>
      <c r="BO493"/>
      <c r="BP493"/>
      <c r="BQ493"/>
      <c r="BR493"/>
      <c r="BS493"/>
      <c r="BT493"/>
      <c r="BU493"/>
      <c r="BV493"/>
      <c r="BW493"/>
      <c r="BX493"/>
      <c r="BY493"/>
      <c r="BZ493"/>
      <c r="CA493"/>
      <c r="CB493"/>
      <c r="CC493"/>
    </row>
    <row r="494" spans="1:81" x14ac:dyDescent="0.25">
      <c r="A494"/>
      <c r="B494"/>
      <c r="C494"/>
      <c r="D494"/>
      <c r="E494"/>
      <c r="F494"/>
      <c r="G494"/>
      <c r="H494"/>
      <c r="I494"/>
      <c r="J494"/>
      <c r="K494"/>
      <c r="L494"/>
      <c r="M494"/>
      <c r="N494"/>
      <c r="O494"/>
      <c r="P494"/>
      <c r="Q494"/>
      <c r="R494"/>
      <c r="S494"/>
      <c r="T494"/>
      <c r="U494"/>
      <c r="V494"/>
      <c r="W494"/>
      <c r="X494"/>
      <c r="Y494"/>
      <c r="Z494"/>
      <c r="AA494"/>
      <c r="AB494"/>
      <c r="AC494"/>
      <c r="AD494"/>
      <c r="AE494"/>
      <c r="AF494"/>
      <c r="AG494"/>
      <c r="AH494"/>
      <c r="AI494"/>
      <c r="AJ494"/>
      <c r="AK494"/>
      <c r="AL494"/>
      <c r="AM494"/>
      <c r="AN494"/>
      <c r="AO494"/>
      <c r="AP494"/>
      <c r="AQ494"/>
      <c r="AR494"/>
      <c r="AS494"/>
      <c r="AT494"/>
      <c r="AU494"/>
      <c r="AV494"/>
      <c r="AW494"/>
      <c r="AX494"/>
      <c r="AY494"/>
      <c r="AZ494"/>
      <c r="BA494"/>
      <c r="BB494"/>
      <c r="BC494"/>
      <c r="BD494"/>
      <c r="BE494"/>
      <c r="BF494"/>
      <c r="BG494"/>
      <c r="BH494"/>
      <c r="BI494"/>
      <c r="BJ494"/>
      <c r="BK494"/>
      <c r="BL494"/>
      <c r="BM494"/>
      <c r="BN494"/>
      <c r="BO494"/>
      <c r="BP494"/>
      <c r="BQ494"/>
      <c r="BR494"/>
      <c r="BS494"/>
      <c r="BT494"/>
      <c r="BU494"/>
      <c r="BV494"/>
      <c r="BW494"/>
      <c r="BX494"/>
      <c r="BY494"/>
      <c r="BZ494"/>
      <c r="CA494"/>
      <c r="CB494"/>
      <c r="CC494"/>
    </row>
    <row r="495" spans="1:81" x14ac:dyDescent="0.25">
      <c r="A495"/>
      <c r="B495"/>
      <c r="C495"/>
      <c r="D495"/>
      <c r="E495"/>
      <c r="F495"/>
      <c r="G495"/>
      <c r="H495"/>
      <c r="I495"/>
      <c r="J495"/>
      <c r="K495"/>
      <c r="L495"/>
      <c r="M495"/>
      <c r="N495"/>
      <c r="O495"/>
      <c r="P495"/>
      <c r="Q495"/>
      <c r="R495"/>
      <c r="S495"/>
      <c r="T495"/>
      <c r="U495"/>
      <c r="V495"/>
      <c r="W495"/>
      <c r="X495"/>
      <c r="Y495"/>
      <c r="Z495"/>
      <c r="AA495"/>
      <c r="AB495"/>
      <c r="AC495"/>
      <c r="AD495"/>
      <c r="AE495"/>
      <c r="AF495"/>
      <c r="AG495"/>
      <c r="AH495"/>
      <c r="AI495"/>
      <c r="AJ495"/>
      <c r="AK495"/>
      <c r="AL495"/>
      <c r="AM495"/>
      <c r="AN495"/>
      <c r="AO495"/>
      <c r="AP495"/>
      <c r="AQ495"/>
      <c r="AR495"/>
      <c r="AS495"/>
      <c r="AT495"/>
      <c r="AU495"/>
      <c r="AV495"/>
      <c r="AW495"/>
      <c r="AX495"/>
      <c r="AY495"/>
      <c r="AZ495"/>
      <c r="BA495"/>
      <c r="BB495"/>
      <c r="BC495"/>
      <c r="BD495"/>
      <c r="BE495"/>
      <c r="BF495"/>
      <c r="BG495"/>
      <c r="BH495"/>
      <c r="BI495"/>
      <c r="BJ495"/>
      <c r="BK495"/>
      <c r="BL495"/>
      <c r="BM495"/>
      <c r="BN495"/>
      <c r="BO495"/>
      <c r="BP495"/>
      <c r="BQ495"/>
      <c r="BR495"/>
      <c r="BS495"/>
      <c r="BT495"/>
      <c r="BU495"/>
      <c r="BV495"/>
      <c r="BW495"/>
      <c r="BX495"/>
      <c r="BY495"/>
      <c r="BZ495"/>
      <c r="CA495"/>
      <c r="CB495"/>
      <c r="CC495"/>
    </row>
    <row r="496" spans="1:81" x14ac:dyDescent="0.25">
      <c r="A496"/>
      <c r="B496"/>
      <c r="C496"/>
      <c r="D496"/>
      <c r="E496"/>
      <c r="F496"/>
      <c r="G496"/>
      <c r="H496"/>
      <c r="I496"/>
      <c r="J496"/>
      <c r="K496"/>
      <c r="L496"/>
      <c r="M496"/>
      <c r="N496"/>
      <c r="O496"/>
      <c r="P496"/>
      <c r="Q496"/>
      <c r="R496"/>
      <c r="S496"/>
      <c r="T496"/>
      <c r="U496"/>
      <c r="V496"/>
      <c r="W496"/>
      <c r="X496"/>
      <c r="Y496"/>
      <c r="Z496"/>
      <c r="AA496"/>
      <c r="AB496"/>
      <c r="AC496"/>
      <c r="AD496"/>
      <c r="AE496"/>
      <c r="AF496"/>
      <c r="AG496"/>
      <c r="AH496"/>
      <c r="AI496"/>
      <c r="AJ496"/>
      <c r="AK496"/>
      <c r="AL496"/>
      <c r="AM496"/>
      <c r="AN496"/>
      <c r="AO496"/>
      <c r="AP496"/>
      <c r="AQ496"/>
      <c r="AR496"/>
      <c r="AS496"/>
      <c r="AT496"/>
      <c r="AU496"/>
      <c r="AV496"/>
      <c r="AW496"/>
      <c r="AX496"/>
      <c r="AY496"/>
      <c r="AZ496"/>
      <c r="BA496"/>
      <c r="BB496"/>
      <c r="BC496"/>
      <c r="BD496"/>
      <c r="BE496"/>
      <c r="BF496"/>
      <c r="BG496"/>
      <c r="BH496"/>
      <c r="BI496"/>
      <c r="BJ496"/>
      <c r="BK496"/>
      <c r="BL496"/>
      <c r="BM496"/>
      <c r="BN496"/>
      <c r="BO496"/>
      <c r="BP496"/>
      <c r="BQ496"/>
      <c r="BR496"/>
      <c r="BS496"/>
      <c r="BT496"/>
      <c r="BU496"/>
      <c r="BV496"/>
      <c r="BW496"/>
      <c r="BX496"/>
      <c r="BY496"/>
      <c r="BZ496"/>
      <c r="CA496"/>
      <c r="CB496"/>
      <c r="CC496"/>
    </row>
    <row r="497" spans="1:81" x14ac:dyDescent="0.25">
      <c r="A497"/>
      <c r="B497"/>
      <c r="C497"/>
      <c r="D497"/>
      <c r="E497"/>
      <c r="F497"/>
      <c r="G497"/>
      <c r="H497"/>
      <c r="I497"/>
      <c r="J497"/>
      <c r="K497"/>
      <c r="L497"/>
      <c r="M497"/>
      <c r="N497"/>
      <c r="O497"/>
      <c r="P497"/>
      <c r="Q497"/>
      <c r="R497"/>
      <c r="S497"/>
      <c r="T497"/>
      <c r="U497"/>
      <c r="V497"/>
      <c r="W497"/>
      <c r="X497"/>
      <c r="Y497"/>
      <c r="Z497"/>
      <c r="AA497"/>
      <c r="AB497"/>
      <c r="AC497"/>
      <c r="AD497"/>
      <c r="AE497"/>
      <c r="AF497"/>
      <c r="AG497"/>
      <c r="AH497"/>
      <c r="AI497"/>
      <c r="AJ497"/>
      <c r="AK497"/>
      <c r="AL497"/>
      <c r="AM497"/>
      <c r="AN497"/>
      <c r="AO497"/>
      <c r="AP497"/>
      <c r="AQ497"/>
      <c r="AR497"/>
      <c r="AS497"/>
      <c r="AT497"/>
      <c r="AU497"/>
      <c r="AV497"/>
      <c r="AW497"/>
      <c r="AX497"/>
      <c r="AY497"/>
      <c r="AZ497"/>
      <c r="BA497"/>
      <c r="BB497"/>
      <c r="BC497"/>
      <c r="BD497"/>
      <c r="BE497"/>
      <c r="BF497"/>
      <c r="BG497"/>
      <c r="BH497"/>
      <c r="BI497"/>
      <c r="BJ497"/>
      <c r="BK497"/>
      <c r="BL497"/>
      <c r="BM497"/>
      <c r="BN497"/>
      <c r="BO497"/>
      <c r="BP497"/>
      <c r="BQ497"/>
      <c r="BR497"/>
      <c r="BS497"/>
      <c r="BT497"/>
      <c r="BU497"/>
      <c r="BV497"/>
      <c r="BW497"/>
      <c r="BX497"/>
      <c r="BY497"/>
      <c r="BZ497"/>
      <c r="CA497"/>
      <c r="CB497"/>
      <c r="CC497"/>
    </row>
    <row r="498" spans="1:81" x14ac:dyDescent="0.25">
      <c r="A498"/>
      <c r="B498"/>
      <c r="C498"/>
      <c r="D498"/>
      <c r="E498"/>
      <c r="F498"/>
      <c r="G498"/>
      <c r="H498"/>
      <c r="I498"/>
      <c r="J498"/>
      <c r="K498"/>
      <c r="L498"/>
      <c r="M498"/>
      <c r="N498"/>
      <c r="O498"/>
      <c r="P498"/>
      <c r="Q498"/>
      <c r="R498"/>
      <c r="S498"/>
      <c r="T498"/>
      <c r="U498"/>
      <c r="V498"/>
      <c r="W498"/>
      <c r="X498"/>
      <c r="Y498"/>
      <c r="Z498"/>
      <c r="AA498"/>
      <c r="AB498"/>
      <c r="AC498"/>
      <c r="AD498"/>
      <c r="AE498"/>
      <c r="AF498"/>
      <c r="AG498"/>
      <c r="AH498"/>
      <c r="AI498"/>
      <c r="AJ498"/>
      <c r="AK498"/>
      <c r="AL498"/>
      <c r="AM498"/>
      <c r="AN498"/>
      <c r="AO498"/>
      <c r="AP498"/>
      <c r="AQ498"/>
      <c r="AR498"/>
      <c r="AS498"/>
      <c r="AT498"/>
      <c r="AU498"/>
      <c r="AV498"/>
      <c r="AW498"/>
      <c r="AX498"/>
      <c r="AY498"/>
      <c r="AZ498"/>
      <c r="BA498"/>
      <c r="BB498"/>
      <c r="BC498"/>
      <c r="BD498"/>
      <c r="BE498"/>
      <c r="BF498"/>
      <c r="BG498"/>
      <c r="BH498"/>
      <c r="BI498"/>
      <c r="BJ498"/>
      <c r="BK498"/>
      <c r="BL498"/>
      <c r="BM498"/>
      <c r="BN498"/>
      <c r="BO498"/>
      <c r="BP498"/>
      <c r="BQ498"/>
      <c r="BR498"/>
      <c r="BS498"/>
      <c r="BT498"/>
      <c r="BU498"/>
      <c r="BV498"/>
      <c r="BW498"/>
      <c r="BX498"/>
      <c r="BY498"/>
      <c r="BZ498"/>
      <c r="CA498"/>
      <c r="CB498"/>
      <c r="CC498"/>
    </row>
    <row r="499" spans="1:81" x14ac:dyDescent="0.25">
      <c r="A499"/>
      <c r="B499"/>
      <c r="C499"/>
      <c r="D499"/>
      <c r="E499"/>
      <c r="F499"/>
      <c r="G499"/>
      <c r="H499"/>
      <c r="I499"/>
      <c r="J499"/>
      <c r="K499"/>
      <c r="L499"/>
      <c r="M499"/>
      <c r="N499"/>
      <c r="O499"/>
      <c r="P499"/>
      <c r="Q499"/>
      <c r="R499"/>
      <c r="S499"/>
      <c r="T499"/>
      <c r="U499"/>
      <c r="V499"/>
      <c r="W499"/>
      <c r="X499"/>
      <c r="Y499"/>
      <c r="Z499"/>
      <c r="AA499"/>
      <c r="AB499"/>
      <c r="AC499"/>
      <c r="AD499"/>
      <c r="AE499"/>
      <c r="AF499"/>
      <c r="AG499"/>
      <c r="AH499"/>
      <c r="AI499"/>
      <c r="AJ499"/>
      <c r="AK499"/>
      <c r="AL499"/>
      <c r="AM499"/>
      <c r="AN499"/>
      <c r="AO499"/>
      <c r="AP499"/>
      <c r="AQ499"/>
      <c r="AR499"/>
      <c r="AS499"/>
      <c r="AT499"/>
      <c r="AU499"/>
      <c r="AV499"/>
      <c r="AW499"/>
      <c r="AX499"/>
      <c r="AY499"/>
      <c r="AZ499"/>
      <c r="BA499"/>
      <c r="BB499"/>
      <c r="BC499"/>
      <c r="BD499"/>
      <c r="BE499"/>
      <c r="BF499"/>
      <c r="BG499"/>
      <c r="BH499"/>
      <c r="BI499"/>
      <c r="BJ499"/>
      <c r="BK499"/>
      <c r="BL499"/>
      <c r="BM499"/>
      <c r="BN499"/>
      <c r="BO499"/>
      <c r="BP499"/>
      <c r="BQ499"/>
      <c r="BR499"/>
      <c r="BS499"/>
      <c r="BT499"/>
      <c r="BU499"/>
      <c r="BV499"/>
      <c r="BW499"/>
      <c r="BX499"/>
      <c r="BY499"/>
      <c r="BZ499"/>
      <c r="CA499"/>
      <c r="CB499"/>
      <c r="CC499"/>
    </row>
    <row r="500" spans="1:81" x14ac:dyDescent="0.25">
      <c r="A500"/>
      <c r="B500"/>
      <c r="C500"/>
      <c r="D500"/>
      <c r="E500"/>
      <c r="F500"/>
      <c r="G500"/>
      <c r="H500"/>
      <c r="I500"/>
      <c r="J500"/>
      <c r="K500"/>
      <c r="L500"/>
      <c r="M500"/>
      <c r="N500"/>
      <c r="O500"/>
      <c r="P500"/>
      <c r="Q500"/>
      <c r="R500"/>
      <c r="S500"/>
      <c r="T500"/>
      <c r="U500"/>
      <c r="V500"/>
      <c r="W500"/>
      <c r="X500"/>
      <c r="Y500"/>
      <c r="Z500"/>
      <c r="AA500"/>
      <c r="AB500"/>
      <c r="AC500"/>
      <c r="AD500"/>
      <c r="AE500"/>
      <c r="AF500"/>
      <c r="AG500"/>
      <c r="AH500"/>
      <c r="AI500"/>
      <c r="AJ500"/>
      <c r="AK500"/>
      <c r="AL500"/>
      <c r="AM500"/>
      <c r="AN500"/>
      <c r="AO500"/>
      <c r="AP500"/>
      <c r="AQ500"/>
      <c r="AR500"/>
      <c r="AS500"/>
      <c r="AT500"/>
      <c r="AU500"/>
      <c r="AV500"/>
      <c r="AW500"/>
      <c r="AX500"/>
      <c r="AY500"/>
      <c r="AZ500"/>
      <c r="BA500"/>
      <c r="BB500"/>
      <c r="BC500"/>
      <c r="BD500"/>
      <c r="BE500"/>
      <c r="BF500"/>
      <c r="BG500"/>
      <c r="BH500"/>
      <c r="BI500"/>
      <c r="BJ500"/>
      <c r="BK500"/>
      <c r="BL500"/>
      <c r="BM500"/>
      <c r="BN500"/>
      <c r="BO500"/>
      <c r="BP500"/>
      <c r="BQ500"/>
      <c r="BR500"/>
      <c r="BS500"/>
      <c r="BT500"/>
      <c r="BU500"/>
      <c r="BV500"/>
      <c r="BW500"/>
      <c r="BX500"/>
      <c r="BY500"/>
      <c r="BZ500"/>
      <c r="CA500"/>
      <c r="CB500"/>
      <c r="CC500"/>
    </row>
    <row r="501" spans="1:81" x14ac:dyDescent="0.25">
      <c r="A501"/>
      <c r="B501"/>
      <c r="C501"/>
      <c r="D501"/>
      <c r="E501"/>
      <c r="F501"/>
      <c r="G501"/>
      <c r="H501"/>
      <c r="I501"/>
      <c r="J501"/>
      <c r="K501"/>
      <c r="L501"/>
      <c r="M501"/>
      <c r="N501"/>
      <c r="O501"/>
      <c r="P501"/>
      <c r="Q501"/>
      <c r="R501"/>
      <c r="S501"/>
      <c r="T501"/>
      <c r="U501"/>
      <c r="V501"/>
      <c r="W501"/>
      <c r="X501"/>
      <c r="Y501"/>
      <c r="Z501"/>
      <c r="AA501"/>
      <c r="AB501"/>
      <c r="AC501"/>
      <c r="AD501"/>
      <c r="AE501"/>
      <c r="AF501"/>
      <c r="AG501"/>
      <c r="AH501"/>
      <c r="AI501"/>
      <c r="AJ501"/>
      <c r="AK501"/>
      <c r="AL501"/>
      <c r="AM501"/>
      <c r="AN501"/>
      <c r="AO501"/>
      <c r="AP501"/>
      <c r="AQ501"/>
      <c r="AR501"/>
      <c r="AS501"/>
      <c r="AT501"/>
      <c r="AU501"/>
      <c r="AV501"/>
      <c r="AW501"/>
      <c r="AX501"/>
      <c r="AY501"/>
      <c r="AZ501"/>
      <c r="BA501"/>
      <c r="BB501"/>
      <c r="BC501"/>
      <c r="BD501"/>
      <c r="BE501"/>
      <c r="BF501"/>
      <c r="BG501"/>
      <c r="BH501"/>
      <c r="BI501"/>
      <c r="BJ501"/>
      <c r="BK501"/>
      <c r="BL501"/>
      <c r="BM501"/>
      <c r="BN501"/>
      <c r="BO501"/>
      <c r="BP501"/>
      <c r="BQ501"/>
      <c r="BR501"/>
      <c r="BS501"/>
      <c r="BT501"/>
      <c r="BU501"/>
      <c r="BV501"/>
      <c r="BW501"/>
      <c r="BX501"/>
      <c r="BY501"/>
      <c r="BZ501"/>
      <c r="CA501"/>
      <c r="CB501"/>
      <c r="CC501"/>
    </row>
    <row r="502" spans="1:81" x14ac:dyDescent="0.25">
      <c r="A502"/>
      <c r="B502"/>
      <c r="C502"/>
      <c r="D502"/>
      <c r="E502"/>
      <c r="F502"/>
      <c r="G502"/>
      <c r="H502"/>
      <c r="I502"/>
      <c r="J502"/>
      <c r="K502"/>
      <c r="L502"/>
      <c r="M502"/>
      <c r="N502"/>
      <c r="O502"/>
      <c r="P502"/>
      <c r="Q502"/>
      <c r="R502"/>
      <c r="S502"/>
      <c r="T502"/>
      <c r="U502"/>
      <c r="V502"/>
      <c r="W502"/>
      <c r="X502"/>
      <c r="Y502"/>
      <c r="Z502"/>
      <c r="AA502"/>
      <c r="AB502"/>
      <c r="AC502"/>
      <c r="AD502"/>
      <c r="AE502"/>
      <c r="AF502"/>
      <c r="AG502"/>
      <c r="AH502"/>
      <c r="AI502"/>
      <c r="AJ502"/>
      <c r="AK502"/>
      <c r="AL502"/>
      <c r="AM502"/>
      <c r="AN502"/>
      <c r="AO502"/>
      <c r="AP502"/>
      <c r="AQ502"/>
      <c r="AR502"/>
      <c r="AS502"/>
      <c r="AT502"/>
      <c r="AU502"/>
      <c r="AV502"/>
      <c r="AW502"/>
      <c r="AX502"/>
      <c r="AY502"/>
      <c r="AZ502"/>
      <c r="BA502"/>
      <c r="BB502"/>
      <c r="BC502"/>
      <c r="BD502"/>
      <c r="BE502"/>
      <c r="BF502"/>
      <c r="BG502"/>
      <c r="BH502"/>
      <c r="BI502"/>
      <c r="BJ502"/>
      <c r="BK502"/>
      <c r="BL502"/>
      <c r="BM502"/>
      <c r="BN502"/>
      <c r="BO502"/>
      <c r="BP502"/>
      <c r="BQ502"/>
      <c r="BR502"/>
      <c r="BS502"/>
      <c r="BT502"/>
      <c r="BU502"/>
      <c r="BV502"/>
      <c r="BW502"/>
      <c r="BX502"/>
      <c r="BY502"/>
      <c r="BZ502"/>
      <c r="CA502"/>
      <c r="CB502"/>
      <c r="CC502"/>
    </row>
    <row r="503" spans="1:81" x14ac:dyDescent="0.25">
      <c r="A503"/>
      <c r="B503"/>
      <c r="C503"/>
      <c r="D503"/>
      <c r="E503"/>
      <c r="F503"/>
      <c r="G503"/>
      <c r="H503"/>
      <c r="I503"/>
      <c r="J503"/>
      <c r="K503"/>
      <c r="L503"/>
      <c r="M503"/>
      <c r="N503"/>
      <c r="O503"/>
      <c r="P503"/>
      <c r="Q503"/>
      <c r="R503"/>
      <c r="S503"/>
      <c r="T503"/>
      <c r="U503"/>
      <c r="V503"/>
      <c r="W503"/>
      <c r="X503"/>
      <c r="Y503"/>
      <c r="Z503"/>
      <c r="AA503"/>
      <c r="AB503"/>
      <c r="AC503"/>
      <c r="AD503"/>
      <c r="AE503"/>
      <c r="AF503"/>
      <c r="AG503"/>
      <c r="AH503"/>
      <c r="AI503"/>
      <c r="AJ503"/>
      <c r="AK503"/>
      <c r="AL503"/>
      <c r="AM503"/>
      <c r="AN503"/>
      <c r="AO503"/>
      <c r="AP503"/>
      <c r="AQ503"/>
      <c r="AR503"/>
      <c r="AS503"/>
      <c r="AT503"/>
      <c r="AU503"/>
      <c r="AV503"/>
      <c r="AW503"/>
      <c r="AX503"/>
      <c r="AY503"/>
      <c r="AZ503"/>
      <c r="BA503"/>
      <c r="BB503"/>
      <c r="BC503"/>
      <c r="BD503"/>
      <c r="BE503"/>
      <c r="BF503"/>
      <c r="BG503"/>
      <c r="BH503"/>
      <c r="BI503"/>
      <c r="BJ503"/>
      <c r="BK503"/>
      <c r="BL503"/>
      <c r="BM503"/>
      <c r="BN503"/>
      <c r="BO503"/>
      <c r="BP503"/>
      <c r="BQ503"/>
      <c r="BR503"/>
      <c r="BS503"/>
      <c r="BT503"/>
      <c r="BU503"/>
      <c r="BV503"/>
      <c r="BW503"/>
      <c r="BX503"/>
      <c r="BY503"/>
      <c r="BZ503"/>
      <c r="CA503"/>
      <c r="CB503"/>
      <c r="CC503"/>
    </row>
    <row r="504" spans="1:81" x14ac:dyDescent="0.25">
      <c r="A504"/>
      <c r="B504"/>
      <c r="C504"/>
      <c r="D504"/>
      <c r="E504"/>
      <c r="F504"/>
      <c r="G504"/>
      <c r="H504"/>
      <c r="I504"/>
      <c r="J504"/>
      <c r="K504"/>
      <c r="L504"/>
      <c r="M504"/>
      <c r="N504"/>
      <c r="O504"/>
      <c r="P504"/>
      <c r="Q504"/>
      <c r="R504"/>
      <c r="S504"/>
      <c r="T504"/>
      <c r="U504"/>
      <c r="V504"/>
      <c r="W504"/>
      <c r="X504"/>
      <c r="Y504"/>
      <c r="Z504"/>
      <c r="AA504"/>
      <c r="AB504"/>
      <c r="AC504"/>
      <c r="AD504"/>
      <c r="AE504"/>
      <c r="AF504"/>
      <c r="AG504"/>
      <c r="AH504"/>
      <c r="AI504"/>
      <c r="AJ504"/>
      <c r="AK504"/>
      <c r="AL504"/>
      <c r="AM504"/>
      <c r="AN504"/>
      <c r="AO504"/>
      <c r="AP504"/>
      <c r="AQ504"/>
      <c r="AR504"/>
      <c r="AS504"/>
      <c r="AT504"/>
      <c r="AU504"/>
      <c r="AV504"/>
      <c r="AW504"/>
      <c r="AX504"/>
      <c r="AY504"/>
      <c r="AZ504"/>
      <c r="BA504"/>
      <c r="BB504"/>
      <c r="BC504"/>
      <c r="BD504"/>
      <c r="BE504"/>
      <c r="BF504"/>
      <c r="BG504"/>
      <c r="BH504"/>
      <c r="BI504"/>
      <c r="BJ504"/>
      <c r="BK504"/>
      <c r="BL504"/>
      <c r="BM504"/>
      <c r="BN504"/>
      <c r="BO504"/>
      <c r="BP504"/>
      <c r="BQ504"/>
      <c r="BR504"/>
      <c r="BS504"/>
      <c r="BT504"/>
      <c r="BU504"/>
      <c r="BV504"/>
      <c r="BW504"/>
      <c r="BX504"/>
      <c r="BY504"/>
      <c r="BZ504"/>
      <c r="CA504"/>
      <c r="CB504"/>
      <c r="CC504"/>
    </row>
    <row r="505" spans="1:81" x14ac:dyDescent="0.25">
      <c r="A505"/>
      <c r="B505"/>
      <c r="C505"/>
      <c r="D505"/>
      <c r="E505"/>
      <c r="F505"/>
      <c r="G505"/>
      <c r="H505"/>
      <c r="I505"/>
      <c r="J505"/>
      <c r="K505"/>
      <c r="L505"/>
      <c r="M505"/>
      <c r="N505"/>
      <c r="O505"/>
      <c r="P505"/>
      <c r="Q505"/>
      <c r="R505"/>
      <c r="S505"/>
      <c r="T505"/>
      <c r="U505"/>
      <c r="V505"/>
      <c r="W505"/>
      <c r="X505"/>
      <c r="Y505"/>
      <c r="Z505"/>
      <c r="AA505"/>
      <c r="AB505"/>
      <c r="AC505"/>
      <c r="AD505"/>
      <c r="AE505"/>
      <c r="AF505"/>
      <c r="AG505"/>
      <c r="AH505"/>
      <c r="AI505"/>
      <c r="AJ505"/>
      <c r="AK505"/>
      <c r="AL505"/>
      <c r="AM505"/>
      <c r="AN505"/>
      <c r="AO505"/>
      <c r="AP505"/>
      <c r="AQ505"/>
      <c r="AR505"/>
      <c r="AS505"/>
      <c r="AT505"/>
      <c r="AU505"/>
      <c r="AV505"/>
      <c r="AW505"/>
      <c r="AX505"/>
      <c r="AY505"/>
      <c r="AZ505"/>
      <c r="BA505"/>
      <c r="BB505"/>
      <c r="BC505"/>
      <c r="BD505"/>
      <c r="BE505"/>
      <c r="BF505"/>
      <c r="BG505"/>
      <c r="BH505"/>
      <c r="BI505"/>
      <c r="BJ505"/>
      <c r="BK505"/>
      <c r="BL505"/>
      <c r="BM505"/>
      <c r="BN505"/>
      <c r="BO505"/>
      <c r="BP505"/>
      <c r="BQ505"/>
      <c r="BR505"/>
      <c r="BS505"/>
      <c r="BT505"/>
      <c r="BU505"/>
      <c r="BV505"/>
      <c r="BW505"/>
      <c r="BX505"/>
      <c r="BY505"/>
      <c r="BZ505"/>
      <c r="CA505"/>
      <c r="CB505"/>
      <c r="CC505"/>
    </row>
    <row r="506" spans="1:81" x14ac:dyDescent="0.25">
      <c r="A506"/>
      <c r="B506"/>
      <c r="C506"/>
      <c r="D506"/>
      <c r="E506"/>
      <c r="F506"/>
      <c r="G506"/>
      <c r="H506"/>
      <c r="I506"/>
      <c r="J506"/>
      <c r="K506"/>
      <c r="L506"/>
      <c r="M506"/>
      <c r="N506"/>
      <c r="O506"/>
      <c r="P506"/>
      <c r="Q506"/>
      <c r="R506"/>
      <c r="S506"/>
      <c r="T506"/>
      <c r="U506"/>
      <c r="V506"/>
      <c r="W506"/>
      <c r="X506"/>
      <c r="Y506"/>
      <c r="Z506"/>
      <c r="AA506"/>
      <c r="AB506"/>
      <c r="AC506"/>
      <c r="AD506"/>
      <c r="AE506"/>
      <c r="AF506"/>
      <c r="AG506"/>
      <c r="AH506"/>
      <c r="AI506"/>
      <c r="AJ506"/>
      <c r="AK506"/>
      <c r="AL506"/>
      <c r="AM506"/>
      <c r="AN506"/>
      <c r="AO506"/>
      <c r="AP506"/>
      <c r="AQ506"/>
      <c r="AR506"/>
      <c r="AS506"/>
      <c r="AT506"/>
      <c r="AU506"/>
      <c r="AV506"/>
      <c r="AW506"/>
      <c r="AX506"/>
      <c r="AY506"/>
      <c r="AZ506"/>
      <c r="BA506"/>
      <c r="BB506"/>
      <c r="BC506"/>
      <c r="BD506"/>
      <c r="BE506"/>
      <c r="BF506"/>
      <c r="BG506"/>
      <c r="BH506"/>
      <c r="BI506"/>
      <c r="BJ506"/>
      <c r="BK506"/>
      <c r="BL506"/>
      <c r="BM506"/>
      <c r="BN506"/>
      <c r="BO506"/>
      <c r="BP506"/>
      <c r="BQ506"/>
      <c r="BR506"/>
      <c r="BS506"/>
      <c r="BT506"/>
      <c r="BU506"/>
      <c r="BV506"/>
      <c r="BW506"/>
      <c r="BX506"/>
      <c r="BY506"/>
      <c r="BZ506"/>
      <c r="CA506"/>
      <c r="CB506"/>
      <c r="CC506"/>
    </row>
    <row r="507" spans="1:81" x14ac:dyDescent="0.25">
      <c r="A507"/>
      <c r="B507"/>
      <c r="C507"/>
      <c r="D507"/>
      <c r="E507"/>
      <c r="F507"/>
      <c r="G507"/>
      <c r="H507"/>
      <c r="I507"/>
      <c r="J507"/>
      <c r="K507"/>
      <c r="L507"/>
      <c r="M507"/>
      <c r="N507"/>
      <c r="O507"/>
      <c r="P507"/>
      <c r="Q507"/>
      <c r="R507"/>
      <c r="S507"/>
      <c r="T507"/>
      <c r="U507"/>
      <c r="V507"/>
      <c r="W507"/>
      <c r="X507"/>
      <c r="Y507"/>
      <c r="Z507"/>
      <c r="AA507"/>
      <c r="AB507"/>
      <c r="AC507"/>
      <c r="AD507"/>
      <c r="AE507"/>
      <c r="AF507"/>
      <c r="AG507"/>
      <c r="AH507"/>
      <c r="AI507"/>
      <c r="AJ507"/>
      <c r="AK507"/>
      <c r="AL507"/>
      <c r="AM507"/>
      <c r="AN507"/>
      <c r="AO507"/>
      <c r="AP507"/>
      <c r="AQ507"/>
      <c r="AR507"/>
      <c r="AS507"/>
      <c r="AT507"/>
      <c r="AU507"/>
      <c r="AV507"/>
      <c r="AW507"/>
      <c r="AX507"/>
      <c r="AY507"/>
      <c r="AZ507"/>
      <c r="BA507"/>
      <c r="BB507"/>
      <c r="BC507"/>
      <c r="BD507"/>
      <c r="BE507"/>
      <c r="BF507"/>
      <c r="BG507"/>
      <c r="BH507"/>
      <c r="BI507"/>
      <c r="BJ507"/>
      <c r="BK507"/>
      <c r="BL507"/>
      <c r="BM507"/>
      <c r="BN507"/>
      <c r="BO507"/>
      <c r="BP507"/>
      <c r="BQ507"/>
      <c r="BR507"/>
      <c r="BS507"/>
      <c r="BT507"/>
      <c r="BU507"/>
      <c r="BV507"/>
      <c r="BW507"/>
      <c r="BX507"/>
      <c r="BY507"/>
      <c r="BZ507"/>
      <c r="CA507"/>
      <c r="CB507"/>
      <c r="CC507"/>
    </row>
    <row r="508" spans="1:81" x14ac:dyDescent="0.25">
      <c r="A508"/>
      <c r="B508"/>
      <c r="C508"/>
      <c r="D508"/>
      <c r="E508"/>
      <c r="F508"/>
      <c r="G508"/>
      <c r="H508"/>
      <c r="I508"/>
      <c r="J508"/>
      <c r="K508"/>
      <c r="L508"/>
      <c r="M508"/>
      <c r="N508"/>
      <c r="O508"/>
      <c r="P508"/>
      <c r="Q508"/>
      <c r="R508"/>
      <c r="S508"/>
      <c r="T508"/>
      <c r="U508"/>
      <c r="V508"/>
      <c r="W508"/>
      <c r="X508"/>
      <c r="Y508"/>
      <c r="Z508"/>
      <c r="AA508"/>
      <c r="AB508"/>
      <c r="AC508"/>
      <c r="AD508"/>
      <c r="AE508"/>
      <c r="AF508"/>
      <c r="AG508"/>
      <c r="AH508"/>
      <c r="AI508"/>
      <c r="AJ508"/>
      <c r="AK508"/>
      <c r="AL508"/>
      <c r="AM508"/>
      <c r="AN508"/>
      <c r="AO508"/>
      <c r="AP508"/>
      <c r="AQ508"/>
      <c r="AR508"/>
      <c r="AS508"/>
      <c r="AT508"/>
      <c r="AU508"/>
      <c r="AV508"/>
      <c r="AW508"/>
      <c r="AX508"/>
      <c r="AY508"/>
      <c r="AZ508"/>
      <c r="BA508"/>
      <c r="BB508"/>
      <c r="BC508"/>
      <c r="BD508"/>
      <c r="BE508"/>
      <c r="BF508"/>
      <c r="BG508"/>
      <c r="BH508"/>
      <c r="BI508"/>
      <c r="BJ508"/>
      <c r="BK508"/>
      <c r="BL508"/>
      <c r="BM508"/>
      <c r="BN508"/>
      <c r="BO508"/>
      <c r="BP508"/>
      <c r="BQ508"/>
      <c r="BR508"/>
      <c r="BS508"/>
      <c r="BT508"/>
      <c r="BU508"/>
      <c r="BV508"/>
      <c r="BW508"/>
      <c r="BX508"/>
      <c r="BY508"/>
      <c r="BZ508"/>
      <c r="CA508"/>
      <c r="CB508"/>
      <c r="CC508"/>
    </row>
    <row r="509" spans="1:81" x14ac:dyDescent="0.25">
      <c r="A509"/>
      <c r="B509"/>
      <c r="C509"/>
      <c r="D509"/>
      <c r="E509"/>
      <c r="F509"/>
      <c r="G509"/>
      <c r="H509"/>
      <c r="I509"/>
      <c r="J509"/>
      <c r="K509"/>
      <c r="L509"/>
      <c r="M509"/>
      <c r="N509"/>
      <c r="O509"/>
      <c r="P509"/>
      <c r="Q509"/>
      <c r="R509"/>
      <c r="S509"/>
      <c r="T509"/>
      <c r="U509"/>
      <c r="V509"/>
      <c r="W509"/>
      <c r="X509"/>
      <c r="Y509"/>
      <c r="Z509"/>
      <c r="AA509"/>
      <c r="AB509"/>
      <c r="AC509"/>
      <c r="AD509"/>
      <c r="AE509"/>
      <c r="AF509"/>
      <c r="AG509"/>
      <c r="AH509"/>
      <c r="AI509"/>
      <c r="AJ509"/>
      <c r="AK509"/>
      <c r="AL509"/>
      <c r="AM509"/>
      <c r="AN509"/>
      <c r="AO509"/>
      <c r="AP509"/>
      <c r="AQ509"/>
      <c r="AR509"/>
      <c r="AS509"/>
      <c r="AT509"/>
      <c r="AU509"/>
      <c r="AV509"/>
      <c r="AW509"/>
      <c r="AX509"/>
      <c r="AY509"/>
      <c r="AZ509"/>
      <c r="BA509"/>
      <c r="BB509"/>
      <c r="BC509"/>
      <c r="BD509"/>
      <c r="BE509"/>
      <c r="BF509"/>
      <c r="BG509"/>
      <c r="BH509"/>
      <c r="BI509"/>
      <c r="BJ509"/>
      <c r="BK509"/>
      <c r="BL509"/>
      <c r="BM509"/>
      <c r="BN509"/>
      <c r="BO509"/>
      <c r="BP509"/>
      <c r="BQ509"/>
      <c r="BR509"/>
      <c r="BS509"/>
      <c r="BT509"/>
      <c r="BU509"/>
      <c r="BV509"/>
      <c r="BW509"/>
      <c r="BX509"/>
      <c r="BY509"/>
      <c r="BZ509"/>
      <c r="CA509"/>
      <c r="CB509"/>
      <c r="CC509"/>
    </row>
    <row r="510" spans="1:81" x14ac:dyDescent="0.25">
      <c r="A510"/>
      <c r="B510"/>
      <c r="C510"/>
      <c r="D510"/>
      <c r="E510"/>
      <c r="F510"/>
      <c r="G510"/>
      <c r="H510"/>
      <c r="I510"/>
      <c r="J510"/>
      <c r="K510"/>
      <c r="L510"/>
      <c r="M510"/>
      <c r="N510"/>
      <c r="O510"/>
      <c r="P510"/>
      <c r="Q510"/>
      <c r="R510"/>
      <c r="S510"/>
      <c r="T510"/>
      <c r="U510"/>
      <c r="V510"/>
      <c r="W510"/>
      <c r="X510"/>
      <c r="Y510"/>
      <c r="Z510"/>
      <c r="AA510"/>
      <c r="AB510"/>
      <c r="AC510"/>
      <c r="AD510"/>
      <c r="AE510"/>
      <c r="AF510"/>
      <c r="AG510"/>
      <c r="AH510"/>
      <c r="AI510"/>
      <c r="AJ510"/>
      <c r="AK510"/>
      <c r="AL510"/>
      <c r="AM510"/>
      <c r="AN510"/>
      <c r="AO510"/>
      <c r="AP510"/>
      <c r="AQ510"/>
      <c r="AR510"/>
      <c r="AS510"/>
      <c r="AT510"/>
      <c r="AU510"/>
      <c r="AV510"/>
      <c r="AW510"/>
      <c r="AX510"/>
      <c r="AY510"/>
      <c r="AZ510"/>
      <c r="BA510"/>
      <c r="BB510"/>
      <c r="BC510"/>
      <c r="BD510"/>
      <c r="BE510"/>
      <c r="BF510"/>
      <c r="BG510"/>
      <c r="BH510"/>
      <c r="BI510"/>
      <c r="BJ510"/>
      <c r="BK510"/>
      <c r="BL510"/>
      <c r="BM510"/>
      <c r="BN510"/>
      <c r="BO510"/>
      <c r="BP510"/>
      <c r="BQ510"/>
      <c r="BR510"/>
      <c r="BS510"/>
      <c r="BT510"/>
      <c r="BU510"/>
      <c r="BV510"/>
      <c r="BW510"/>
      <c r="BX510"/>
      <c r="BY510"/>
      <c r="BZ510"/>
      <c r="CA510"/>
      <c r="CB510"/>
      <c r="CC510"/>
    </row>
    <row r="511" spans="1:81" x14ac:dyDescent="0.25">
      <c r="A511"/>
      <c r="B511"/>
      <c r="C511"/>
      <c r="D511"/>
      <c r="E511"/>
      <c r="F511"/>
      <c r="G511"/>
      <c r="H511"/>
      <c r="I511"/>
      <c r="J511"/>
      <c r="K511"/>
      <c r="L511"/>
      <c r="M511"/>
      <c r="N511"/>
      <c r="O511"/>
      <c r="P511"/>
      <c r="Q511"/>
      <c r="R511"/>
      <c r="S511"/>
      <c r="T511"/>
      <c r="U511"/>
      <c r="V511"/>
      <c r="W511"/>
      <c r="X511"/>
      <c r="Y511"/>
      <c r="Z511"/>
      <c r="AA511"/>
      <c r="AB511"/>
      <c r="AC511"/>
      <c r="AD511"/>
      <c r="AE511"/>
      <c r="AF511"/>
      <c r="AG511"/>
      <c r="AH511"/>
      <c r="AI511"/>
      <c r="AJ511"/>
      <c r="AK511"/>
      <c r="AL511"/>
      <c r="AM511"/>
      <c r="AN511"/>
      <c r="AO511"/>
      <c r="AP511"/>
      <c r="AQ511"/>
      <c r="AR511"/>
      <c r="AS511"/>
      <c r="AT511"/>
      <c r="AU511"/>
      <c r="AV511"/>
      <c r="AW511"/>
      <c r="AX511"/>
      <c r="AY511"/>
      <c r="AZ511"/>
      <c r="BA511"/>
      <c r="BB511"/>
      <c r="BC511"/>
      <c r="BD511"/>
      <c r="BE511"/>
      <c r="BF511"/>
      <c r="BG511"/>
      <c r="BH511"/>
      <c r="BI511"/>
      <c r="BJ511"/>
      <c r="BK511"/>
      <c r="BL511"/>
      <c r="BM511"/>
      <c r="BN511"/>
      <c r="BO511"/>
      <c r="BP511"/>
      <c r="BQ511"/>
      <c r="BR511"/>
      <c r="BS511"/>
      <c r="BT511"/>
      <c r="BU511"/>
      <c r="BV511"/>
      <c r="BW511"/>
      <c r="BX511"/>
      <c r="BY511"/>
      <c r="BZ511"/>
      <c r="CA511"/>
      <c r="CB511"/>
      <c r="CC511"/>
    </row>
    <row r="512" spans="1:81" x14ac:dyDescent="0.25">
      <c r="A512"/>
      <c r="B512"/>
      <c r="C512"/>
      <c r="D512"/>
      <c r="E512"/>
      <c r="F512"/>
      <c r="G512"/>
      <c r="H512"/>
      <c r="I512"/>
      <c r="J512"/>
      <c r="K512"/>
      <c r="L512"/>
      <c r="M512"/>
      <c r="N512"/>
      <c r="O512"/>
      <c r="P512"/>
      <c r="Q512"/>
      <c r="R512"/>
      <c r="S512"/>
      <c r="T512"/>
      <c r="U512"/>
      <c r="V512"/>
      <c r="W512"/>
      <c r="X512"/>
      <c r="Y512"/>
      <c r="Z512"/>
      <c r="AA512"/>
      <c r="AB512"/>
      <c r="AC512"/>
      <c r="AD512"/>
      <c r="AE512"/>
      <c r="AF512"/>
      <c r="AG512"/>
      <c r="AH512"/>
      <c r="AI512"/>
      <c r="AJ512"/>
      <c r="AK512"/>
      <c r="AL512"/>
      <c r="AM512"/>
      <c r="AN512"/>
      <c r="AO512"/>
      <c r="AP512"/>
      <c r="AQ512"/>
      <c r="AR512"/>
      <c r="AS512"/>
      <c r="AT512"/>
      <c r="AU512"/>
      <c r="AV512"/>
      <c r="AW512"/>
      <c r="AX512"/>
      <c r="AY512"/>
      <c r="AZ512"/>
      <c r="BA512"/>
      <c r="BB512"/>
      <c r="BC512"/>
      <c r="BD512"/>
      <c r="BE512"/>
      <c r="BF512"/>
      <c r="BG512"/>
      <c r="BH512"/>
      <c r="BI512"/>
      <c r="BJ512"/>
      <c r="BK512"/>
      <c r="BL512"/>
      <c r="BM512"/>
      <c r="BN512"/>
      <c r="BO512"/>
      <c r="BP512"/>
      <c r="BQ512"/>
      <c r="BR512"/>
      <c r="BS512"/>
      <c r="BT512"/>
      <c r="BU512"/>
      <c r="BV512"/>
      <c r="BW512"/>
      <c r="BX512"/>
      <c r="BY512"/>
      <c r="BZ512"/>
      <c r="CA512"/>
      <c r="CB512"/>
      <c r="CC512"/>
    </row>
    <row r="513" spans="1:81" x14ac:dyDescent="0.25">
      <c r="A513"/>
      <c r="B513"/>
      <c r="C513"/>
      <c r="D513"/>
      <c r="E513"/>
      <c r="F513"/>
      <c r="G513"/>
      <c r="H513"/>
      <c r="I513"/>
      <c r="J513"/>
      <c r="K513"/>
      <c r="L513"/>
      <c r="M513"/>
      <c r="N513"/>
      <c r="O513"/>
      <c r="P513"/>
      <c r="Q513"/>
      <c r="R513"/>
      <c r="S513"/>
      <c r="T513"/>
      <c r="U513"/>
      <c r="V513"/>
      <c r="W513"/>
      <c r="X513"/>
      <c r="Y513"/>
      <c r="Z513"/>
      <c r="AA513"/>
      <c r="AB513"/>
      <c r="AC513"/>
      <c r="AD513"/>
      <c r="AE513"/>
      <c r="AF513"/>
      <c r="AG513"/>
      <c r="AH513"/>
      <c r="AI513"/>
      <c r="AJ513"/>
      <c r="AK513"/>
      <c r="AL513"/>
      <c r="AM513"/>
      <c r="AN513"/>
      <c r="AO513"/>
      <c r="AP513"/>
      <c r="AQ513"/>
      <c r="AR513"/>
      <c r="AS513"/>
      <c r="AT513"/>
      <c r="AU513"/>
      <c r="AV513"/>
      <c r="AW513"/>
      <c r="AX513"/>
      <c r="AY513"/>
      <c r="AZ513"/>
      <c r="BA513"/>
      <c r="BB513"/>
      <c r="BC513"/>
      <c r="BD513"/>
      <c r="BE513"/>
      <c r="BF513"/>
      <c r="BG513"/>
      <c r="BH513"/>
      <c r="BI513"/>
      <c r="BJ513"/>
      <c r="BK513"/>
      <c r="BL513"/>
      <c r="BM513"/>
      <c r="BN513"/>
      <c r="BO513"/>
      <c r="BP513"/>
      <c r="BQ513"/>
      <c r="BR513"/>
      <c r="BS513"/>
      <c r="BT513"/>
      <c r="BU513"/>
      <c r="BV513"/>
      <c r="BW513"/>
      <c r="BX513"/>
      <c r="BY513"/>
      <c r="BZ513"/>
      <c r="CA513"/>
      <c r="CB513"/>
      <c r="CC513"/>
    </row>
    <row r="514" spans="1:81" x14ac:dyDescent="0.25">
      <c r="A514"/>
      <c r="B514"/>
      <c r="C514"/>
      <c r="D514"/>
      <c r="E514"/>
      <c r="F514"/>
      <c r="G514"/>
      <c r="H514"/>
      <c r="I514"/>
      <c r="J514"/>
      <c r="K514"/>
      <c r="L514"/>
      <c r="M514"/>
      <c r="N514"/>
      <c r="O514"/>
      <c r="P514"/>
      <c r="Q514"/>
      <c r="R514"/>
      <c r="S514"/>
      <c r="T514"/>
      <c r="U514"/>
      <c r="V514"/>
      <c r="W514"/>
      <c r="X514"/>
      <c r="Y514"/>
      <c r="Z514"/>
      <c r="AA514"/>
      <c r="AB514"/>
      <c r="AC514"/>
      <c r="AD514"/>
      <c r="AE514"/>
      <c r="AF514"/>
      <c r="AG514"/>
      <c r="AH514"/>
      <c r="AI514"/>
      <c r="AJ514"/>
      <c r="AK514"/>
      <c r="AL514"/>
      <c r="AM514"/>
      <c r="AN514"/>
      <c r="AO514"/>
      <c r="AP514"/>
      <c r="AQ514"/>
      <c r="AR514"/>
      <c r="AS514"/>
      <c r="AT514"/>
      <c r="AU514"/>
      <c r="AV514"/>
      <c r="AW514"/>
      <c r="AX514"/>
      <c r="AY514"/>
      <c r="AZ514"/>
      <c r="BA514"/>
      <c r="BB514"/>
      <c r="BC514"/>
      <c r="BD514"/>
      <c r="BE514"/>
      <c r="BF514"/>
      <c r="BG514"/>
      <c r="BH514"/>
      <c r="BI514"/>
      <c r="BJ514"/>
      <c r="BK514"/>
      <c r="BL514"/>
      <c r="BM514"/>
      <c r="BN514"/>
      <c r="BO514"/>
      <c r="BP514"/>
      <c r="BQ514"/>
      <c r="BR514"/>
      <c r="BS514"/>
      <c r="BT514"/>
      <c r="BU514"/>
      <c r="BV514"/>
      <c r="BW514"/>
      <c r="BX514"/>
      <c r="BY514"/>
      <c r="BZ514"/>
      <c r="CA514"/>
      <c r="CB514"/>
      <c r="CC514"/>
    </row>
    <row r="515" spans="1:81" x14ac:dyDescent="0.25">
      <c r="A515"/>
      <c r="B515"/>
      <c r="C515"/>
      <c r="D515"/>
      <c r="E515"/>
      <c r="F515"/>
      <c r="G515"/>
      <c r="H515"/>
      <c r="I515"/>
      <c r="J515"/>
      <c r="K515"/>
      <c r="L515"/>
      <c r="M515"/>
      <c r="N515"/>
      <c r="O515"/>
      <c r="P515"/>
      <c r="Q515"/>
      <c r="R515"/>
      <c r="S515"/>
      <c r="T515"/>
      <c r="U515"/>
      <c r="V515"/>
      <c r="W515"/>
      <c r="X515"/>
      <c r="Y515"/>
      <c r="Z515"/>
      <c r="AA515"/>
      <c r="AB515"/>
      <c r="AC515"/>
      <c r="AD515"/>
      <c r="AE515"/>
      <c r="AF515"/>
      <c r="AG515"/>
      <c r="AH515"/>
      <c r="AI515"/>
      <c r="AJ515"/>
      <c r="AK515"/>
      <c r="AL515"/>
      <c r="AM515"/>
      <c r="AN515"/>
      <c r="AO515"/>
      <c r="AP515"/>
      <c r="AQ515"/>
      <c r="AR515"/>
      <c r="AS515"/>
      <c r="AT515"/>
      <c r="AU515"/>
      <c r="AV515"/>
      <c r="AW515"/>
      <c r="AX515"/>
      <c r="AY515"/>
      <c r="AZ515"/>
      <c r="BA515"/>
      <c r="BB515"/>
      <c r="BC515"/>
      <c r="BD515"/>
      <c r="BE515"/>
      <c r="BF515"/>
      <c r="BG515"/>
      <c r="BH515"/>
      <c r="BI515"/>
      <c r="BJ515"/>
      <c r="BK515"/>
      <c r="BL515"/>
      <c r="BM515"/>
      <c r="BN515"/>
      <c r="BO515"/>
      <c r="BP515"/>
      <c r="BQ515"/>
      <c r="BR515"/>
      <c r="BS515"/>
      <c r="BT515"/>
      <c r="BU515"/>
      <c r="BV515"/>
      <c r="BW515"/>
      <c r="BX515"/>
      <c r="BY515"/>
      <c r="BZ515"/>
      <c r="CA515"/>
      <c r="CB515"/>
      <c r="CC515"/>
    </row>
    <row r="516" spans="1:81" x14ac:dyDescent="0.25">
      <c r="A516"/>
      <c r="B516"/>
      <c r="C516"/>
      <c r="D516"/>
      <c r="E516"/>
      <c r="F516"/>
      <c r="G516"/>
      <c r="H516"/>
      <c r="I516"/>
      <c r="J516"/>
      <c r="K516"/>
      <c r="L516"/>
      <c r="M516"/>
      <c r="N516"/>
      <c r="O516"/>
      <c r="P516"/>
      <c r="Q516"/>
      <c r="R516"/>
      <c r="S516"/>
      <c r="T516"/>
      <c r="U516"/>
      <c r="V516"/>
      <c r="W516"/>
      <c r="X516"/>
      <c r="Y516"/>
      <c r="Z516"/>
      <c r="AA516"/>
      <c r="AB516"/>
      <c r="AC516"/>
      <c r="AD516"/>
      <c r="AE516"/>
      <c r="AF516"/>
      <c r="AG516"/>
      <c r="AH516"/>
      <c r="AI516"/>
      <c r="AJ516"/>
      <c r="AK516"/>
      <c r="AL516"/>
      <c r="AM516"/>
      <c r="AN516"/>
      <c r="AO516"/>
      <c r="AP516"/>
      <c r="AQ516"/>
      <c r="AR516"/>
      <c r="AS516"/>
      <c r="AT516"/>
      <c r="AU516"/>
      <c r="AV516"/>
      <c r="AW516"/>
      <c r="AX516"/>
      <c r="AY516"/>
      <c r="AZ516"/>
      <c r="BA516"/>
      <c r="BB516"/>
      <c r="BC516"/>
      <c r="BD516"/>
      <c r="BE516"/>
      <c r="BF516"/>
      <c r="BG516"/>
      <c r="BH516"/>
      <c r="BI516"/>
      <c r="BJ516"/>
      <c r="BK516"/>
      <c r="BL516"/>
      <c r="BM516"/>
      <c r="BN516"/>
      <c r="BO516"/>
      <c r="BP516"/>
      <c r="BQ516"/>
      <c r="BR516"/>
      <c r="BS516"/>
      <c r="BT516"/>
      <c r="BU516"/>
      <c r="BV516"/>
      <c r="BW516"/>
      <c r="BX516"/>
      <c r="BY516"/>
      <c r="BZ516"/>
      <c r="CA516"/>
      <c r="CB516"/>
      <c r="CC516"/>
    </row>
    <row r="517" spans="1:81" x14ac:dyDescent="0.25">
      <c r="A517"/>
      <c r="B517"/>
      <c r="C517"/>
      <c r="D517"/>
      <c r="E517"/>
      <c r="F517"/>
      <c r="G517"/>
      <c r="H517"/>
      <c r="I517"/>
      <c r="J517"/>
      <c r="K517"/>
      <c r="L517"/>
      <c r="M517"/>
      <c r="N517"/>
      <c r="O517"/>
      <c r="P517"/>
      <c r="Q517"/>
      <c r="R517"/>
      <c r="S517"/>
      <c r="T517"/>
      <c r="U517"/>
      <c r="V517"/>
      <c r="W517"/>
      <c r="X517"/>
      <c r="Y517"/>
      <c r="Z517"/>
      <c r="AA517"/>
      <c r="AB517"/>
      <c r="AC517"/>
      <c r="AD517"/>
      <c r="AE517"/>
      <c r="AF517"/>
      <c r="AG517"/>
      <c r="AH517"/>
      <c r="AI517"/>
      <c r="AJ517"/>
      <c r="AK517"/>
      <c r="AL517"/>
      <c r="AM517"/>
      <c r="AN517"/>
      <c r="AO517"/>
      <c r="AP517"/>
      <c r="AQ517"/>
      <c r="AR517"/>
      <c r="AS517"/>
      <c r="AT517"/>
      <c r="AU517"/>
      <c r="AV517"/>
      <c r="AW517"/>
      <c r="AX517"/>
      <c r="AY517"/>
      <c r="AZ517"/>
      <c r="BA517"/>
      <c r="BB517"/>
      <c r="BC517"/>
      <c r="BD517"/>
      <c r="BE517"/>
      <c r="BF517"/>
      <c r="BG517"/>
      <c r="BH517"/>
      <c r="BI517"/>
      <c r="BJ517"/>
      <c r="BK517"/>
      <c r="BL517"/>
      <c r="BM517"/>
      <c r="BN517"/>
      <c r="BO517"/>
      <c r="BP517"/>
      <c r="BQ517"/>
      <c r="BR517"/>
      <c r="BS517"/>
      <c r="BT517"/>
      <c r="BU517"/>
      <c r="BV517"/>
      <c r="BW517"/>
      <c r="BX517"/>
      <c r="BY517"/>
      <c r="BZ517"/>
      <c r="CA517"/>
      <c r="CB517"/>
      <c r="CC517"/>
    </row>
    <row r="518" spans="1:81" x14ac:dyDescent="0.25">
      <c r="A518"/>
      <c r="B518"/>
      <c r="C518"/>
      <c r="D518"/>
      <c r="E518"/>
      <c r="F518"/>
      <c r="G518"/>
      <c r="H518"/>
      <c r="I518"/>
      <c r="J518"/>
      <c r="K518"/>
      <c r="L518"/>
      <c r="M518"/>
      <c r="N518"/>
      <c r="O518"/>
      <c r="P518"/>
      <c r="Q518"/>
      <c r="R518"/>
      <c r="S518"/>
      <c r="T518"/>
      <c r="U518"/>
      <c r="V518"/>
      <c r="W518"/>
      <c r="X518"/>
      <c r="Y518"/>
      <c r="Z518"/>
      <c r="AA518"/>
      <c r="AB518"/>
      <c r="AC518"/>
      <c r="AD518"/>
      <c r="AE518"/>
      <c r="AF518"/>
      <c r="AG518"/>
      <c r="AH518"/>
      <c r="AI518"/>
      <c r="AJ518"/>
      <c r="AK518"/>
      <c r="AL518"/>
      <c r="AM518"/>
      <c r="AN518"/>
      <c r="AO518"/>
      <c r="AP518"/>
      <c r="AQ518"/>
      <c r="AR518"/>
      <c r="AS518"/>
      <c r="AT518"/>
      <c r="AU518"/>
      <c r="AV518"/>
      <c r="AW518"/>
      <c r="AX518"/>
      <c r="AY518"/>
      <c r="AZ518"/>
      <c r="BA518"/>
      <c r="BB518"/>
      <c r="BC518"/>
      <c r="BD518"/>
      <c r="BE518"/>
      <c r="BF518"/>
      <c r="BG518"/>
      <c r="BH518"/>
      <c r="BI518"/>
      <c r="BJ518"/>
      <c r="BK518"/>
      <c r="BL518"/>
      <c r="BM518"/>
      <c r="BN518"/>
      <c r="BO518"/>
      <c r="BP518"/>
      <c r="BQ518"/>
      <c r="BR518"/>
      <c r="BS518"/>
      <c r="BT518"/>
      <c r="BU518"/>
      <c r="BV518"/>
      <c r="BW518"/>
      <c r="BX518"/>
      <c r="BY518"/>
      <c r="BZ518"/>
      <c r="CA518"/>
      <c r="CB518"/>
      <c r="CC518"/>
    </row>
    <row r="519" spans="1:81" x14ac:dyDescent="0.25">
      <c r="A519"/>
      <c r="B519"/>
      <c r="C519"/>
      <c r="D519"/>
      <c r="E519"/>
      <c r="F519"/>
      <c r="G519"/>
      <c r="H519"/>
      <c r="I519"/>
      <c r="J519"/>
      <c r="K519"/>
      <c r="L519"/>
      <c r="M519"/>
      <c r="N519"/>
      <c r="O519"/>
      <c r="P519"/>
      <c r="Q519"/>
      <c r="R519"/>
      <c r="S519"/>
      <c r="T519"/>
      <c r="U519"/>
      <c r="V519"/>
      <c r="W519"/>
      <c r="X519"/>
      <c r="Y519"/>
      <c r="Z519"/>
      <c r="AA519"/>
      <c r="AB519"/>
      <c r="AC519"/>
      <c r="AD519"/>
      <c r="AE519"/>
      <c r="AF519"/>
      <c r="AG519"/>
      <c r="AH519"/>
      <c r="AI519"/>
      <c r="AJ519"/>
      <c r="AK519"/>
      <c r="AL519"/>
      <c r="AM519"/>
      <c r="AN519"/>
      <c r="AO519"/>
      <c r="AP519"/>
      <c r="AQ519"/>
      <c r="AR519"/>
      <c r="AS519"/>
      <c r="AT519"/>
      <c r="AU519"/>
      <c r="AV519"/>
      <c r="AW519"/>
      <c r="AX519"/>
      <c r="AY519"/>
      <c r="AZ519"/>
      <c r="BA519"/>
      <c r="BB519"/>
      <c r="BC519"/>
      <c r="BD519"/>
      <c r="BE519"/>
      <c r="BF519"/>
      <c r="BG519"/>
      <c r="BH519"/>
      <c r="BI519"/>
      <c r="BJ519"/>
      <c r="BK519"/>
      <c r="BL519"/>
      <c r="BM519"/>
      <c r="BN519"/>
      <c r="BO519"/>
      <c r="BP519"/>
      <c r="BQ519"/>
      <c r="BR519"/>
      <c r="BS519"/>
      <c r="BT519"/>
      <c r="BU519"/>
      <c r="BV519"/>
      <c r="BW519"/>
      <c r="BX519"/>
      <c r="BY519"/>
      <c r="BZ519"/>
      <c r="CA519"/>
      <c r="CB519"/>
      <c r="CC519"/>
    </row>
    <row r="520" spans="1:81" x14ac:dyDescent="0.25">
      <c r="A520"/>
      <c r="B520"/>
      <c r="C520"/>
      <c r="D520"/>
      <c r="E520"/>
      <c r="F520"/>
      <c r="G520"/>
      <c r="H520"/>
      <c r="I520"/>
      <c r="J520"/>
      <c r="K520"/>
      <c r="L520"/>
      <c r="M520"/>
      <c r="N520"/>
      <c r="O520"/>
      <c r="P520"/>
      <c r="Q520"/>
      <c r="R520"/>
      <c r="S520"/>
      <c r="T520"/>
      <c r="U520"/>
      <c r="V520"/>
      <c r="W520"/>
      <c r="X520"/>
      <c r="Y520"/>
      <c r="Z520"/>
      <c r="AA520"/>
      <c r="AB520"/>
      <c r="AC520"/>
      <c r="AD520"/>
      <c r="AE520"/>
      <c r="AF520"/>
      <c r="AG520"/>
      <c r="AH520"/>
      <c r="AI520"/>
      <c r="AJ520"/>
      <c r="AK520"/>
      <c r="AL520"/>
      <c r="AM520"/>
      <c r="AN520"/>
      <c r="AO520"/>
      <c r="AP520"/>
      <c r="AQ520"/>
      <c r="AR520"/>
      <c r="AS520"/>
      <c r="AT520"/>
      <c r="AU520"/>
      <c r="AV520"/>
      <c r="AW520"/>
      <c r="AX520"/>
      <c r="AY520"/>
      <c r="AZ520"/>
      <c r="BA520"/>
      <c r="BB520"/>
      <c r="BC520"/>
      <c r="BD520"/>
      <c r="BE520"/>
      <c r="BF520"/>
      <c r="BG520"/>
      <c r="BH520"/>
      <c r="BI520"/>
      <c r="BJ520"/>
      <c r="BK520"/>
      <c r="BL520"/>
      <c r="BM520"/>
      <c r="BN520"/>
      <c r="BO520"/>
      <c r="BP520"/>
      <c r="BQ520"/>
      <c r="BR520"/>
      <c r="BS520"/>
      <c r="BT520"/>
      <c r="BU520"/>
      <c r="BV520"/>
      <c r="BW520"/>
      <c r="BX520"/>
      <c r="BY520"/>
      <c r="BZ520"/>
      <c r="CA520"/>
      <c r="CB520"/>
      <c r="CC520"/>
    </row>
    <row r="521" spans="1:81" x14ac:dyDescent="0.25">
      <c r="A521"/>
      <c r="B521"/>
      <c r="C521"/>
      <c r="D521"/>
      <c r="E521"/>
      <c r="F521"/>
      <c r="G521"/>
      <c r="H521"/>
      <c r="I521"/>
      <c r="J521"/>
      <c r="K521"/>
      <c r="L521"/>
      <c r="M521"/>
      <c r="N521"/>
      <c r="O521"/>
      <c r="P521"/>
      <c r="Q521"/>
      <c r="R521"/>
      <c r="S521"/>
      <c r="T521"/>
      <c r="U521"/>
      <c r="V521"/>
      <c r="W521"/>
      <c r="X521"/>
      <c r="Y521"/>
      <c r="Z521"/>
      <c r="AA521"/>
      <c r="AB521"/>
      <c r="AC521"/>
      <c r="AD521"/>
      <c r="AE521"/>
      <c r="AF521"/>
      <c r="AG521"/>
      <c r="AH521"/>
      <c r="AI521"/>
      <c r="AJ521"/>
      <c r="AK521"/>
      <c r="AL521"/>
      <c r="AM521"/>
      <c r="AN521"/>
      <c r="AO521"/>
      <c r="AP521"/>
      <c r="AQ521"/>
      <c r="AR521"/>
      <c r="AS521"/>
      <c r="AT521"/>
      <c r="AU521"/>
      <c r="AV521"/>
      <c r="AW521"/>
      <c r="AX521"/>
      <c r="AY521"/>
      <c r="AZ521"/>
      <c r="BA521"/>
      <c r="BB521"/>
      <c r="BC521"/>
      <c r="BD521"/>
      <c r="BE521"/>
      <c r="BF521"/>
      <c r="BG521"/>
      <c r="BH521"/>
      <c r="BI521"/>
      <c r="BJ521"/>
      <c r="BK521"/>
      <c r="BL521"/>
      <c r="BM521"/>
      <c r="BN521"/>
      <c r="BO521"/>
      <c r="BP521"/>
      <c r="BQ521"/>
      <c r="BR521"/>
      <c r="BS521"/>
      <c r="BT521"/>
      <c r="BU521"/>
      <c r="BV521"/>
      <c r="BW521"/>
      <c r="BX521"/>
      <c r="BY521"/>
      <c r="BZ521"/>
      <c r="CA521"/>
      <c r="CB521"/>
      <c r="CC521"/>
    </row>
    <row r="522" spans="1:81" x14ac:dyDescent="0.25">
      <c r="A522"/>
      <c r="B522"/>
      <c r="C522"/>
      <c r="D522"/>
      <c r="E522"/>
      <c r="F522"/>
      <c r="G522"/>
      <c r="H522"/>
      <c r="I522"/>
      <c r="J522"/>
      <c r="K522"/>
      <c r="L522"/>
      <c r="M522"/>
      <c r="N522"/>
      <c r="O522"/>
      <c r="P522"/>
      <c r="Q522"/>
      <c r="R522"/>
      <c r="S522"/>
      <c r="T522"/>
      <c r="U522"/>
      <c r="V522"/>
      <c r="W522"/>
      <c r="X522"/>
      <c r="Y522"/>
      <c r="Z522"/>
      <c r="AA522"/>
      <c r="AB522"/>
      <c r="AC522"/>
      <c r="AD522"/>
      <c r="AE522"/>
      <c r="AF522"/>
      <c r="AG522"/>
      <c r="AH522"/>
      <c r="AI522"/>
      <c r="AJ522"/>
      <c r="AK522"/>
      <c r="AL522"/>
      <c r="AM522"/>
      <c r="AN522"/>
      <c r="AO522"/>
      <c r="AP522"/>
      <c r="AQ522"/>
      <c r="AR522"/>
      <c r="AS522"/>
      <c r="AT522"/>
      <c r="AU522"/>
      <c r="AV522"/>
      <c r="AW522"/>
      <c r="AX522"/>
      <c r="AY522"/>
      <c r="AZ522"/>
      <c r="BA522"/>
      <c r="BB522"/>
      <c r="BC522"/>
      <c r="BD522"/>
      <c r="BE522"/>
      <c r="BF522"/>
      <c r="BG522"/>
      <c r="BH522"/>
      <c r="BI522"/>
      <c r="BJ522"/>
      <c r="BK522"/>
      <c r="BL522"/>
      <c r="BM522"/>
      <c r="BN522"/>
      <c r="BO522"/>
      <c r="BP522"/>
      <c r="BQ522"/>
      <c r="BR522"/>
      <c r="BS522"/>
      <c r="BT522"/>
      <c r="BU522"/>
      <c r="BV522"/>
      <c r="BW522"/>
      <c r="BX522"/>
      <c r="BY522"/>
      <c r="BZ522"/>
      <c r="CA522"/>
      <c r="CB522"/>
      <c r="CC522"/>
    </row>
    <row r="523" spans="1:81" x14ac:dyDescent="0.25">
      <c r="A523"/>
      <c r="B523"/>
      <c r="C523"/>
      <c r="D523"/>
      <c r="E523"/>
      <c r="F523"/>
      <c r="G523"/>
      <c r="H523"/>
      <c r="I523"/>
      <c r="J523"/>
      <c r="K523"/>
      <c r="L523"/>
      <c r="M523"/>
      <c r="N523"/>
      <c r="O523"/>
      <c r="P523"/>
      <c r="Q523"/>
      <c r="R523"/>
      <c r="S523"/>
      <c r="T523"/>
      <c r="U523"/>
      <c r="V523"/>
      <c r="W523"/>
      <c r="X523"/>
      <c r="Y523"/>
      <c r="Z523"/>
      <c r="AA523"/>
      <c r="AB523"/>
      <c r="AC523"/>
      <c r="AD523"/>
      <c r="AE523"/>
      <c r="AF523"/>
      <c r="AG523"/>
      <c r="AH523"/>
      <c r="AI523"/>
      <c r="AJ523"/>
      <c r="AK523"/>
      <c r="AL523"/>
      <c r="AM523"/>
      <c r="AN523"/>
      <c r="AO523"/>
      <c r="AP523"/>
      <c r="AQ523"/>
      <c r="AR523"/>
      <c r="AS523"/>
      <c r="AT523"/>
      <c r="AU523"/>
      <c r="AV523"/>
      <c r="AW523"/>
      <c r="AX523"/>
      <c r="AY523"/>
      <c r="AZ523"/>
      <c r="BA523"/>
      <c r="BB523"/>
      <c r="BC523"/>
      <c r="BD523"/>
      <c r="BE523"/>
      <c r="BF523"/>
      <c r="BG523"/>
      <c r="BH523"/>
      <c r="BI523"/>
      <c r="BJ523"/>
      <c r="BK523"/>
      <c r="BL523"/>
      <c r="BM523"/>
      <c r="BN523"/>
      <c r="BO523"/>
      <c r="BP523"/>
      <c r="BQ523"/>
      <c r="BR523"/>
      <c r="BS523"/>
      <c r="BT523"/>
      <c r="BU523"/>
      <c r="BV523"/>
      <c r="BW523"/>
      <c r="BX523"/>
      <c r="BY523"/>
      <c r="BZ523"/>
      <c r="CA523"/>
      <c r="CB523"/>
      <c r="CC523"/>
    </row>
    <row r="524" spans="1:81" x14ac:dyDescent="0.25">
      <c r="A524"/>
      <c r="B524"/>
      <c r="C524"/>
      <c r="D524"/>
      <c r="E524"/>
      <c r="F524"/>
      <c r="G524"/>
      <c r="H524"/>
      <c r="I524"/>
      <c r="J524"/>
      <c r="K524"/>
      <c r="L524"/>
      <c r="M524"/>
      <c r="N524"/>
      <c r="O524"/>
      <c r="P524"/>
      <c r="Q524"/>
      <c r="R524"/>
      <c r="S524"/>
      <c r="T524"/>
      <c r="U524"/>
      <c r="V524"/>
      <c r="W524"/>
      <c r="X524"/>
      <c r="Y524"/>
      <c r="Z524"/>
      <c r="AA524"/>
      <c r="AB524"/>
      <c r="AC524"/>
      <c r="AD524"/>
      <c r="AE524"/>
      <c r="AF524"/>
      <c r="AG524"/>
      <c r="AH524"/>
      <c r="AI524"/>
      <c r="AJ524"/>
      <c r="AK524"/>
      <c r="AL524"/>
      <c r="AM524"/>
      <c r="AN524"/>
      <c r="AO524"/>
      <c r="AP524"/>
      <c r="AQ524"/>
      <c r="AR524"/>
      <c r="AS524"/>
      <c r="AT524"/>
      <c r="AU524"/>
      <c r="AV524"/>
      <c r="AW524"/>
      <c r="AX524"/>
      <c r="AY524"/>
      <c r="AZ524"/>
      <c r="BA524"/>
      <c r="BB524"/>
      <c r="BC524"/>
      <c r="BD524"/>
      <c r="BE524"/>
      <c r="BF524"/>
      <c r="BG524"/>
      <c r="BH524"/>
      <c r="BI524"/>
      <c r="BJ524"/>
      <c r="BK524"/>
      <c r="BL524"/>
      <c r="BM524"/>
      <c r="BN524"/>
      <c r="BO524"/>
      <c r="BP524"/>
      <c r="BQ524"/>
      <c r="BR524"/>
      <c r="BS524"/>
      <c r="BT524"/>
      <c r="BU524"/>
      <c r="BV524"/>
      <c r="BW524"/>
      <c r="BX524"/>
      <c r="BY524"/>
      <c r="BZ524"/>
      <c r="CA524"/>
      <c r="CB524"/>
      <c r="CC524"/>
    </row>
    <row r="525" spans="1:81" x14ac:dyDescent="0.25">
      <c r="A525"/>
      <c r="B525"/>
      <c r="C525"/>
      <c r="D525"/>
      <c r="E525"/>
      <c r="F525"/>
      <c r="G525"/>
      <c r="H525"/>
      <c r="I525"/>
      <c r="J525"/>
      <c r="K525"/>
      <c r="L525"/>
      <c r="M525"/>
      <c r="N525"/>
      <c r="O525"/>
      <c r="P525"/>
      <c r="Q525"/>
      <c r="R525"/>
      <c r="S525"/>
      <c r="T525"/>
      <c r="U525"/>
      <c r="V525"/>
      <c r="W525"/>
      <c r="X525"/>
      <c r="Y525"/>
      <c r="Z525"/>
      <c r="AA525"/>
      <c r="AB525"/>
      <c r="AC525"/>
      <c r="AD525"/>
      <c r="AE525"/>
      <c r="AF525"/>
      <c r="AG525"/>
      <c r="AH525"/>
      <c r="AI525"/>
      <c r="AJ525"/>
      <c r="AK525"/>
      <c r="AL525"/>
      <c r="AM525"/>
      <c r="AN525"/>
      <c r="AO525"/>
      <c r="AP525"/>
      <c r="AQ525"/>
      <c r="AR525"/>
      <c r="AS525"/>
      <c r="AT525"/>
      <c r="AU525"/>
      <c r="AV525"/>
      <c r="AW525"/>
      <c r="AX525"/>
      <c r="AY525"/>
      <c r="AZ525"/>
      <c r="BA525"/>
      <c r="BB525"/>
      <c r="BC525"/>
      <c r="BD525"/>
      <c r="BE525"/>
      <c r="BF525"/>
      <c r="BG525"/>
      <c r="BH525"/>
      <c r="BI525"/>
      <c r="BJ525"/>
      <c r="BK525"/>
      <c r="BL525"/>
      <c r="BM525"/>
      <c r="BN525"/>
      <c r="BO525"/>
      <c r="BP525"/>
      <c r="BQ525"/>
      <c r="BR525"/>
      <c r="BS525"/>
      <c r="BT525"/>
      <c r="BU525"/>
      <c r="BV525"/>
      <c r="BW525"/>
      <c r="BX525"/>
      <c r="BY525"/>
      <c r="BZ525"/>
      <c r="CA525"/>
      <c r="CB525"/>
      <c r="CC525"/>
    </row>
    <row r="526" spans="1:81" x14ac:dyDescent="0.25">
      <c r="A526"/>
      <c r="B526"/>
      <c r="C526"/>
      <c r="D526"/>
      <c r="E526"/>
      <c r="F526"/>
      <c r="G526"/>
      <c r="H526"/>
      <c r="I526"/>
      <c r="J526"/>
      <c r="K526"/>
      <c r="L526"/>
      <c r="M526"/>
      <c r="N526"/>
      <c r="O526"/>
      <c r="P526"/>
      <c r="Q526"/>
      <c r="R526"/>
      <c r="S526"/>
      <c r="T526"/>
      <c r="U526"/>
      <c r="V526"/>
      <c r="W526"/>
      <c r="X526"/>
      <c r="Y526"/>
      <c r="Z526"/>
      <c r="AA526"/>
      <c r="AB526"/>
      <c r="AC526"/>
      <c r="AD526"/>
      <c r="AE526"/>
      <c r="AF526"/>
      <c r="AG526"/>
      <c r="AH526"/>
      <c r="AI526"/>
      <c r="AJ526"/>
      <c r="AK526"/>
      <c r="AL526"/>
      <c r="AM526"/>
      <c r="AN526"/>
      <c r="AO526"/>
      <c r="AP526"/>
      <c r="AQ526"/>
      <c r="AR526"/>
      <c r="AS526"/>
      <c r="AT526"/>
      <c r="AU526"/>
      <c r="AV526"/>
      <c r="AW526"/>
      <c r="AX526"/>
      <c r="AY526"/>
      <c r="AZ526"/>
      <c r="BA526"/>
      <c r="BB526"/>
      <c r="BC526"/>
      <c r="BD526"/>
      <c r="BE526"/>
      <c r="BF526"/>
      <c r="BG526"/>
      <c r="BH526"/>
      <c r="BI526"/>
      <c r="BJ526"/>
      <c r="BK526"/>
      <c r="BL526"/>
      <c r="BM526"/>
      <c r="BN526"/>
      <c r="BO526"/>
      <c r="BP526"/>
      <c r="BQ526"/>
      <c r="BR526"/>
      <c r="BS526"/>
      <c r="BT526"/>
      <c r="BU526"/>
      <c r="BV526"/>
      <c r="BW526"/>
      <c r="BX526"/>
      <c r="BY526"/>
      <c r="BZ526"/>
      <c r="CA526"/>
      <c r="CB526"/>
      <c r="CC526"/>
    </row>
    <row r="527" spans="1:81" x14ac:dyDescent="0.25">
      <c r="A527"/>
      <c r="B527"/>
      <c r="C527"/>
      <c r="D527"/>
      <c r="E527"/>
      <c r="F527"/>
      <c r="G527"/>
      <c r="H527"/>
      <c r="I527"/>
      <c r="J527"/>
      <c r="K527"/>
      <c r="L527"/>
      <c r="M527"/>
      <c r="N527"/>
      <c r="O527"/>
      <c r="P527"/>
      <c r="Q527"/>
      <c r="R527"/>
      <c r="S527"/>
      <c r="T527"/>
      <c r="U527"/>
      <c r="V527"/>
      <c r="W527"/>
      <c r="X527"/>
      <c r="Y527"/>
      <c r="Z527"/>
      <c r="AA527"/>
      <c r="AB527"/>
      <c r="AC527"/>
      <c r="AD527"/>
      <c r="AE527"/>
      <c r="AF527"/>
      <c r="AG527"/>
      <c r="AH527"/>
      <c r="AI527"/>
      <c r="AJ527"/>
      <c r="AK527"/>
      <c r="AL527"/>
      <c r="AM527"/>
      <c r="AN527"/>
      <c r="AO527"/>
      <c r="AP527"/>
      <c r="AQ527"/>
      <c r="AR527"/>
      <c r="AS527"/>
      <c r="AT527"/>
      <c r="AU527"/>
      <c r="AV527"/>
      <c r="AW527"/>
      <c r="AX527"/>
      <c r="AY527"/>
      <c r="AZ527"/>
      <c r="BA527"/>
      <c r="BB527"/>
      <c r="BC527"/>
      <c r="BD527"/>
      <c r="BE527"/>
      <c r="BF527"/>
      <c r="BG527"/>
      <c r="BH527"/>
      <c r="BI527"/>
      <c r="BJ527"/>
      <c r="BK527"/>
      <c r="BL527"/>
      <c r="BM527"/>
      <c r="BN527"/>
      <c r="BO527"/>
      <c r="BP527"/>
      <c r="BQ527"/>
      <c r="BR527"/>
      <c r="BS527"/>
      <c r="BT527"/>
      <c r="BU527"/>
      <c r="BV527"/>
      <c r="BW527"/>
      <c r="BX527"/>
      <c r="BY527"/>
      <c r="BZ527"/>
      <c r="CA527"/>
      <c r="CB527"/>
      <c r="CC527"/>
    </row>
    <row r="528" spans="1:81" x14ac:dyDescent="0.25">
      <c r="A528"/>
      <c r="B528"/>
      <c r="C528"/>
      <c r="D528"/>
      <c r="E528"/>
      <c r="F528"/>
      <c r="G528"/>
      <c r="H528"/>
      <c r="I528"/>
      <c r="J528"/>
      <c r="K528"/>
      <c r="L528"/>
      <c r="M528"/>
      <c r="N528"/>
      <c r="O528"/>
      <c r="P528"/>
      <c r="Q528"/>
      <c r="R528"/>
      <c r="S528"/>
      <c r="T528"/>
      <c r="U528"/>
      <c r="V528"/>
      <c r="W528"/>
      <c r="X528"/>
      <c r="Y528"/>
      <c r="Z528"/>
      <c r="AA528"/>
      <c r="AB528"/>
      <c r="AC528"/>
      <c r="AD528"/>
      <c r="AE528"/>
      <c r="AF528"/>
      <c r="AG528"/>
      <c r="AH528"/>
      <c r="AI528"/>
      <c r="AJ528"/>
      <c r="AK528"/>
      <c r="AL528"/>
      <c r="AM528"/>
      <c r="AN528"/>
      <c r="AO528"/>
      <c r="AP528"/>
      <c r="AQ528"/>
      <c r="AR528"/>
      <c r="AS528"/>
      <c r="AT528"/>
      <c r="AU528"/>
      <c r="AV528"/>
      <c r="AW528"/>
      <c r="AX528"/>
      <c r="AY528"/>
      <c r="AZ528"/>
      <c r="BA528"/>
      <c r="BB528"/>
      <c r="BC528"/>
      <c r="BD528"/>
      <c r="BE528"/>
      <c r="BF528"/>
      <c r="BG528"/>
      <c r="BH528"/>
      <c r="BI528"/>
      <c r="BJ528"/>
      <c r="BK528"/>
      <c r="BL528"/>
      <c r="BM528"/>
      <c r="BN528"/>
      <c r="BO528"/>
      <c r="BP528"/>
      <c r="BQ528"/>
      <c r="BR528"/>
      <c r="BS528"/>
      <c r="BT528"/>
      <c r="BU528"/>
      <c r="BV528"/>
      <c r="BW528"/>
      <c r="BX528"/>
      <c r="BY528"/>
      <c r="BZ528"/>
      <c r="CA528"/>
      <c r="CB528"/>
      <c r="CC528"/>
    </row>
    <row r="529" spans="1:81" x14ac:dyDescent="0.25">
      <c r="A529"/>
      <c r="B529"/>
      <c r="C529"/>
      <c r="D529"/>
      <c r="E529"/>
      <c r="F529"/>
      <c r="G529"/>
      <c r="H529"/>
      <c r="I529"/>
      <c r="J529"/>
      <c r="K529"/>
      <c r="L529"/>
      <c r="M529"/>
      <c r="N529"/>
      <c r="O529"/>
      <c r="P529"/>
      <c r="Q529"/>
      <c r="R529"/>
      <c r="S529"/>
      <c r="T529"/>
      <c r="U529"/>
      <c r="V529"/>
      <c r="W529"/>
      <c r="X529"/>
      <c r="Y529"/>
      <c r="Z529"/>
      <c r="AA529"/>
      <c r="AB529"/>
      <c r="AC529"/>
      <c r="AD529"/>
      <c r="AE529"/>
      <c r="AF529"/>
      <c r="AG529"/>
      <c r="AH529"/>
      <c r="AI529"/>
      <c r="AJ529"/>
      <c r="AK529"/>
      <c r="AL529"/>
      <c r="AM529"/>
      <c r="AN529"/>
      <c r="AO529"/>
      <c r="AP529"/>
      <c r="AQ529"/>
      <c r="AR529"/>
      <c r="AS529"/>
      <c r="AT529"/>
      <c r="AU529"/>
      <c r="AV529"/>
      <c r="AW529"/>
      <c r="AX529"/>
      <c r="AY529"/>
      <c r="AZ529"/>
      <c r="BA529"/>
      <c r="BB529"/>
      <c r="BC529"/>
      <c r="BD529"/>
      <c r="BE529"/>
      <c r="BF529"/>
      <c r="BG529"/>
      <c r="BH529"/>
      <c r="BI529"/>
      <c r="BJ529"/>
      <c r="BK529"/>
      <c r="BL529"/>
      <c r="BM529"/>
      <c r="BN529"/>
      <c r="BO529"/>
      <c r="BP529"/>
      <c r="BQ529"/>
      <c r="BR529"/>
      <c r="BS529"/>
      <c r="BT529"/>
      <c r="BU529"/>
      <c r="BV529"/>
      <c r="BW529"/>
      <c r="BX529"/>
      <c r="BY529"/>
      <c r="BZ529"/>
      <c r="CA529"/>
      <c r="CB529"/>
      <c r="CC529"/>
    </row>
    <row r="530" spans="1:81" x14ac:dyDescent="0.25">
      <c r="A530"/>
      <c r="B530"/>
      <c r="C530"/>
      <c r="D530"/>
      <c r="E530"/>
      <c r="F530"/>
      <c r="G530"/>
      <c r="H530"/>
      <c r="I530"/>
      <c r="J530"/>
      <c r="K530"/>
      <c r="L530"/>
      <c r="M530"/>
      <c r="N530"/>
      <c r="O530"/>
      <c r="P530"/>
      <c r="Q530"/>
      <c r="R530"/>
      <c r="S530"/>
      <c r="T530"/>
      <c r="U530"/>
      <c r="V530"/>
      <c r="W530"/>
      <c r="X530"/>
      <c r="Y530"/>
      <c r="Z530"/>
      <c r="AA530"/>
      <c r="AB530"/>
      <c r="AC530"/>
      <c r="AD530"/>
      <c r="AE530"/>
      <c r="AF530"/>
      <c r="AG530"/>
      <c r="AH530"/>
      <c r="AI530"/>
      <c r="AJ530"/>
      <c r="AK530"/>
      <c r="AL530"/>
      <c r="AM530"/>
      <c r="AN530"/>
      <c r="AO530"/>
      <c r="AP530"/>
      <c r="AQ530"/>
      <c r="AR530"/>
      <c r="AS530"/>
      <c r="AT530"/>
      <c r="AU530"/>
      <c r="AV530"/>
      <c r="AW530"/>
      <c r="AX530"/>
      <c r="AY530"/>
      <c r="AZ530"/>
      <c r="BA530"/>
      <c r="BB530"/>
      <c r="BC530"/>
      <c r="BD530"/>
      <c r="BE530"/>
      <c r="BF530"/>
      <c r="BG530"/>
      <c r="BH530"/>
      <c r="BI530"/>
      <c r="BJ530"/>
      <c r="BK530"/>
      <c r="BL530"/>
      <c r="BM530"/>
      <c r="BN530"/>
      <c r="BO530"/>
      <c r="BP530"/>
      <c r="BQ530"/>
      <c r="BR530"/>
      <c r="BS530"/>
      <c r="BT530"/>
      <c r="BU530"/>
      <c r="BV530"/>
      <c r="BW530"/>
      <c r="BX530"/>
      <c r="BY530"/>
      <c r="BZ530"/>
      <c r="CA530"/>
      <c r="CB530"/>
      <c r="CC530"/>
    </row>
    <row r="531" spans="1:81" x14ac:dyDescent="0.25">
      <c r="A531"/>
      <c r="B531"/>
      <c r="C531"/>
      <c r="D531"/>
      <c r="E531"/>
      <c r="F531"/>
      <c r="G531"/>
      <c r="H531"/>
      <c r="I531"/>
      <c r="J531"/>
      <c r="K531"/>
      <c r="L531"/>
      <c r="M531"/>
      <c r="N531"/>
      <c r="O531"/>
      <c r="P531"/>
      <c r="Q531"/>
      <c r="R531"/>
      <c r="S531"/>
      <c r="T531"/>
      <c r="U531"/>
      <c r="V531"/>
      <c r="W531"/>
      <c r="X531"/>
      <c r="Y531"/>
      <c r="Z531"/>
      <c r="AA531"/>
      <c r="AB531"/>
      <c r="AC531"/>
      <c r="AD531"/>
      <c r="AE531"/>
      <c r="AF531"/>
      <c r="AG531"/>
      <c r="AH531"/>
      <c r="AI531"/>
      <c r="AJ531"/>
      <c r="AK531"/>
      <c r="AL531"/>
      <c r="AM531"/>
      <c r="AN531"/>
      <c r="AO531"/>
      <c r="AP531"/>
      <c r="AQ531"/>
      <c r="AR531"/>
      <c r="AS531"/>
      <c r="AT531"/>
      <c r="AU531"/>
      <c r="AV531"/>
      <c r="AW531"/>
      <c r="AX531"/>
      <c r="AY531"/>
      <c r="AZ531"/>
      <c r="BA531"/>
      <c r="BB531"/>
      <c r="BC531"/>
      <c r="BD531"/>
      <c r="BE531"/>
      <c r="BF531"/>
      <c r="BG531"/>
      <c r="BH531"/>
      <c r="BI531"/>
      <c r="BJ531"/>
      <c r="BK531"/>
      <c r="BL531"/>
      <c r="BM531"/>
      <c r="BN531"/>
      <c r="BO531"/>
      <c r="BP531"/>
      <c r="BQ531"/>
      <c r="BR531"/>
      <c r="BS531"/>
      <c r="BT531"/>
      <c r="BU531"/>
      <c r="BV531"/>
      <c r="BW531"/>
      <c r="BX531"/>
      <c r="BY531"/>
      <c r="BZ531"/>
      <c r="CA531"/>
      <c r="CB531"/>
      <c r="CC531"/>
    </row>
    <row r="532" spans="1:81" x14ac:dyDescent="0.25">
      <c r="A532"/>
      <c r="B532"/>
      <c r="C532"/>
      <c r="D532"/>
      <c r="E532"/>
      <c r="F532"/>
      <c r="G532"/>
      <c r="H532"/>
      <c r="I532"/>
      <c r="J532"/>
      <c r="K532"/>
      <c r="L532"/>
      <c r="M532"/>
      <c r="N532"/>
      <c r="O532"/>
      <c r="P532"/>
      <c r="Q532"/>
      <c r="R532"/>
      <c r="S532"/>
      <c r="T532"/>
      <c r="U532"/>
      <c r="V532"/>
      <c r="W532"/>
      <c r="X532"/>
      <c r="Y532"/>
      <c r="Z532"/>
      <c r="AA532"/>
      <c r="AB532"/>
      <c r="AC532"/>
      <c r="AD532"/>
      <c r="AE532"/>
      <c r="AF532"/>
      <c r="AG532"/>
      <c r="AH532"/>
      <c r="AI532"/>
      <c r="AJ532"/>
      <c r="AK532"/>
      <c r="AL532"/>
      <c r="AM532"/>
      <c r="AN532"/>
      <c r="AO532"/>
      <c r="AP532"/>
      <c r="AQ532"/>
      <c r="AR532"/>
      <c r="AS532"/>
      <c r="AT532"/>
      <c r="AU532"/>
      <c r="AV532"/>
      <c r="AW532"/>
      <c r="AX532"/>
      <c r="AY532"/>
      <c r="AZ532"/>
      <c r="BA532"/>
      <c r="BB532"/>
      <c r="BC532"/>
      <c r="BD532"/>
      <c r="BE532"/>
      <c r="BF532"/>
      <c r="BG532"/>
      <c r="BH532"/>
      <c r="BI532"/>
      <c r="BJ532"/>
      <c r="BK532"/>
      <c r="BL532"/>
      <c r="BM532"/>
      <c r="BN532"/>
      <c r="BO532"/>
      <c r="BP532"/>
      <c r="BQ532"/>
      <c r="BR532"/>
      <c r="BS532"/>
      <c r="BT532"/>
      <c r="BU532"/>
      <c r="BV532"/>
      <c r="BW532"/>
      <c r="BX532"/>
      <c r="BY532"/>
      <c r="BZ532"/>
      <c r="CA532"/>
      <c r="CB532"/>
      <c r="CC532"/>
    </row>
    <row r="533" spans="1:81" x14ac:dyDescent="0.25">
      <c r="A533"/>
      <c r="B533"/>
      <c r="C533"/>
      <c r="D533"/>
      <c r="E533"/>
      <c r="F533"/>
      <c r="G533"/>
      <c r="H533"/>
      <c r="I533"/>
      <c r="J533"/>
      <c r="K533"/>
      <c r="L533"/>
      <c r="M533"/>
      <c r="N533"/>
      <c r="O533"/>
      <c r="P533"/>
      <c r="Q533"/>
      <c r="R533"/>
      <c r="S533"/>
      <c r="T533"/>
      <c r="U533"/>
      <c r="V533"/>
      <c r="W533"/>
      <c r="X533"/>
      <c r="Y533"/>
      <c r="Z533"/>
      <c r="AA533"/>
      <c r="AB533"/>
      <c r="AC533"/>
      <c r="AD533"/>
      <c r="AE533"/>
      <c r="AF533"/>
      <c r="AG533"/>
      <c r="AH533"/>
      <c r="AI533"/>
      <c r="AJ533"/>
      <c r="AK533"/>
      <c r="AL533"/>
      <c r="AM533"/>
      <c r="AN533"/>
      <c r="AO533"/>
      <c r="AP533"/>
      <c r="AQ533"/>
      <c r="AR533"/>
      <c r="AS533"/>
      <c r="AT533"/>
      <c r="AU533"/>
      <c r="AV533"/>
      <c r="AW533"/>
      <c r="AX533"/>
      <c r="AY533"/>
      <c r="AZ533"/>
      <c r="BA533"/>
      <c r="BB533"/>
      <c r="BC533"/>
      <c r="BD533"/>
      <c r="BE533"/>
      <c r="BF533"/>
      <c r="BG533"/>
      <c r="BH533"/>
      <c r="BI533"/>
      <c r="BJ533"/>
      <c r="BK533"/>
      <c r="BL533"/>
      <c r="BM533"/>
      <c r="BN533"/>
      <c r="BO533"/>
      <c r="BP533"/>
      <c r="BQ533"/>
      <c r="BR533"/>
      <c r="BS533"/>
      <c r="BT533"/>
      <c r="BU533"/>
      <c r="BV533"/>
      <c r="BW533"/>
      <c r="BX533"/>
      <c r="BY533"/>
      <c r="BZ533"/>
      <c r="CA533"/>
      <c r="CB533"/>
      <c r="CC533"/>
    </row>
    <row r="534" spans="1:81" x14ac:dyDescent="0.25">
      <c r="A534"/>
      <c r="B534"/>
      <c r="C534"/>
      <c r="D534"/>
      <c r="E534"/>
      <c r="F534"/>
      <c r="G534"/>
      <c r="H534"/>
      <c r="I534"/>
      <c r="J534"/>
      <c r="K534"/>
      <c r="L534"/>
      <c r="M534"/>
      <c r="N534"/>
      <c r="O534"/>
      <c r="P534"/>
      <c r="Q534"/>
      <c r="R534"/>
      <c r="S534"/>
      <c r="T534"/>
      <c r="U534"/>
      <c r="V534"/>
      <c r="W534"/>
      <c r="X534"/>
      <c r="Y534"/>
      <c r="Z534"/>
      <c r="AA534"/>
      <c r="AB534"/>
      <c r="AC534"/>
      <c r="AD534"/>
      <c r="AE534"/>
      <c r="AF534"/>
      <c r="AG534"/>
      <c r="AH534"/>
      <c r="AI534"/>
      <c r="AJ534"/>
      <c r="AK534"/>
      <c r="AL534"/>
      <c r="AM534"/>
      <c r="AN534"/>
      <c r="AO534"/>
      <c r="AP534"/>
      <c r="AQ534"/>
      <c r="AR534"/>
      <c r="AS534"/>
      <c r="AT534"/>
      <c r="AU534"/>
      <c r="AV534"/>
      <c r="AW534"/>
      <c r="AX534"/>
      <c r="AY534"/>
      <c r="AZ534"/>
      <c r="BA534"/>
      <c r="BB534"/>
      <c r="BC534"/>
      <c r="BD534"/>
      <c r="BE534"/>
      <c r="BF534"/>
      <c r="BG534"/>
      <c r="BH534"/>
      <c r="BI534"/>
      <c r="BJ534"/>
      <c r="BK534"/>
      <c r="BL534"/>
      <c r="BM534"/>
      <c r="BN534"/>
      <c r="BO534"/>
      <c r="BP534"/>
      <c r="BQ534"/>
      <c r="BR534"/>
      <c r="BS534"/>
      <c r="BT534"/>
      <c r="BU534"/>
      <c r="BV534"/>
      <c r="BW534"/>
      <c r="BX534"/>
      <c r="BY534"/>
      <c r="BZ534"/>
      <c r="CA534"/>
      <c r="CB534"/>
      <c r="CC534"/>
    </row>
    <row r="535" spans="1:81" x14ac:dyDescent="0.25">
      <c r="A535"/>
      <c r="B535"/>
      <c r="C535"/>
      <c r="D535"/>
      <c r="E535"/>
      <c r="F535"/>
      <c r="G535"/>
      <c r="H535"/>
      <c r="I535"/>
      <c r="J535"/>
      <c r="K535"/>
      <c r="L535"/>
      <c r="M535"/>
      <c r="N535"/>
      <c r="O535"/>
      <c r="P535"/>
      <c r="Q535"/>
      <c r="R535"/>
      <c r="S535"/>
      <c r="T535"/>
      <c r="U535"/>
      <c r="V535"/>
      <c r="W535"/>
      <c r="X535"/>
      <c r="Y535"/>
      <c r="Z535"/>
      <c r="AA535"/>
      <c r="AB535"/>
      <c r="AC535"/>
      <c r="AD535"/>
      <c r="AE535"/>
      <c r="AF535"/>
      <c r="AG535"/>
      <c r="AH535"/>
      <c r="AI535"/>
      <c r="AJ535"/>
      <c r="AK535"/>
      <c r="AL535"/>
      <c r="AM535"/>
      <c r="AN535"/>
      <c r="AO535"/>
      <c r="AP535"/>
      <c r="AQ535"/>
      <c r="AR535"/>
      <c r="AS535"/>
      <c r="AT535"/>
      <c r="AU535"/>
      <c r="AV535"/>
      <c r="AW535"/>
      <c r="AX535"/>
      <c r="AY535"/>
      <c r="AZ535"/>
      <c r="BA535"/>
      <c r="BB535"/>
      <c r="BC535"/>
      <c r="BD535"/>
      <c r="BE535"/>
      <c r="BF535"/>
      <c r="BG535"/>
      <c r="BH535"/>
      <c r="BI535"/>
      <c r="BJ535"/>
      <c r="BK535"/>
      <c r="BL535"/>
      <c r="BM535"/>
      <c r="BN535"/>
      <c r="BO535"/>
      <c r="BP535"/>
      <c r="BQ535"/>
      <c r="BR535"/>
      <c r="BS535"/>
      <c r="BT535"/>
      <c r="BU535"/>
      <c r="BV535"/>
      <c r="BW535"/>
      <c r="BX535"/>
      <c r="BY535"/>
      <c r="BZ535"/>
      <c r="CA535"/>
      <c r="CB535"/>
      <c r="CC535"/>
    </row>
    <row r="536" spans="1:81" x14ac:dyDescent="0.25">
      <c r="A536"/>
      <c r="B536"/>
      <c r="C536"/>
      <c r="D536"/>
      <c r="E536"/>
      <c r="F536"/>
      <c r="G536"/>
      <c r="H536"/>
      <c r="I536"/>
      <c r="J536"/>
      <c r="K536"/>
      <c r="L536"/>
      <c r="M536"/>
      <c r="N536"/>
      <c r="O536"/>
      <c r="P536"/>
      <c r="Q536"/>
      <c r="R536"/>
      <c r="S536"/>
      <c r="T536"/>
      <c r="U536"/>
      <c r="V536"/>
      <c r="W536"/>
      <c r="X536"/>
      <c r="Y536"/>
      <c r="Z536"/>
      <c r="AA536"/>
      <c r="AB536"/>
      <c r="AC536"/>
      <c r="AD536"/>
      <c r="AE536"/>
      <c r="AF536"/>
      <c r="AG536"/>
      <c r="AH536"/>
      <c r="AI536"/>
      <c r="AJ536"/>
      <c r="AK536"/>
      <c r="AL536"/>
      <c r="AM536"/>
      <c r="AN536"/>
      <c r="AO536"/>
      <c r="AP536"/>
      <c r="AQ536"/>
      <c r="AR536"/>
      <c r="AS536"/>
      <c r="AT536"/>
      <c r="AU536"/>
      <c r="AV536"/>
      <c r="AW536"/>
      <c r="AX536"/>
      <c r="AY536"/>
      <c r="AZ536"/>
      <c r="BA536"/>
      <c r="BB536"/>
      <c r="BC536"/>
      <c r="BD536"/>
      <c r="BE536"/>
      <c r="BF536"/>
      <c r="BG536"/>
      <c r="BH536"/>
      <c r="BI536"/>
      <c r="BJ536"/>
      <c r="BK536"/>
      <c r="BL536"/>
      <c r="BM536"/>
      <c r="BN536"/>
      <c r="BO536"/>
      <c r="BP536"/>
      <c r="BQ536"/>
      <c r="BR536"/>
      <c r="BS536"/>
      <c r="BT536"/>
      <c r="BU536"/>
      <c r="BV536"/>
      <c r="BW536"/>
      <c r="BX536"/>
      <c r="BY536"/>
      <c r="BZ536"/>
      <c r="CA536"/>
      <c r="CB536"/>
      <c r="CC536"/>
    </row>
    <row r="537" spans="1:81" x14ac:dyDescent="0.25">
      <c r="A537"/>
      <c r="B537"/>
      <c r="C537"/>
      <c r="D537"/>
      <c r="E537"/>
      <c r="F537"/>
      <c r="G537"/>
      <c r="H537"/>
      <c r="I537"/>
      <c r="J537"/>
      <c r="K537"/>
      <c r="L537"/>
      <c r="M537"/>
      <c r="N537"/>
      <c r="O537"/>
      <c r="P537"/>
      <c r="Q537"/>
      <c r="R537"/>
      <c r="S537"/>
      <c r="T537"/>
      <c r="U537"/>
      <c r="V537"/>
      <c r="W537"/>
      <c r="X537"/>
      <c r="Y537"/>
      <c r="Z537"/>
      <c r="AA537"/>
      <c r="AB537"/>
      <c r="AC537"/>
      <c r="AD537"/>
      <c r="AE537"/>
      <c r="AF537"/>
      <c r="AG537"/>
      <c r="AH537"/>
      <c r="AI537"/>
      <c r="AJ537"/>
      <c r="AK537"/>
      <c r="AL537"/>
      <c r="AM537"/>
      <c r="AN537"/>
      <c r="AO537"/>
      <c r="AP537"/>
      <c r="AQ537"/>
      <c r="AR537"/>
      <c r="AS537"/>
      <c r="AT537"/>
      <c r="AU537"/>
      <c r="AV537"/>
      <c r="AW537"/>
      <c r="AX537"/>
      <c r="AY537"/>
      <c r="AZ537"/>
      <c r="BA537"/>
      <c r="BB537"/>
      <c r="BC537"/>
      <c r="BD537"/>
      <c r="BE537"/>
      <c r="BF537"/>
      <c r="BG537"/>
      <c r="BH537"/>
      <c r="BI537"/>
      <c r="BJ537"/>
      <c r="BK537"/>
      <c r="BL537"/>
      <c r="BM537"/>
      <c r="BN537"/>
      <c r="BO537"/>
      <c r="BP537"/>
      <c r="BQ537"/>
      <c r="BR537"/>
      <c r="BS537"/>
      <c r="BT537"/>
      <c r="BU537"/>
      <c r="BV537"/>
      <c r="BW537"/>
      <c r="BX537"/>
      <c r="BY537"/>
      <c r="BZ537"/>
      <c r="CA537"/>
      <c r="CB537"/>
      <c r="CC537"/>
    </row>
    <row r="538" spans="1:81" x14ac:dyDescent="0.25">
      <c r="A538"/>
      <c r="B538"/>
      <c r="C538"/>
      <c r="D538"/>
      <c r="E538"/>
      <c r="F538"/>
      <c r="G538"/>
      <c r="H538"/>
      <c r="I538"/>
      <c r="J538"/>
      <c r="K538"/>
      <c r="L538"/>
      <c r="M538"/>
      <c r="N538"/>
      <c r="O538"/>
      <c r="P538"/>
      <c r="Q538"/>
      <c r="R538"/>
      <c r="S538"/>
      <c r="T538"/>
      <c r="U538"/>
      <c r="V538"/>
      <c r="W538"/>
      <c r="X538"/>
      <c r="Y538"/>
      <c r="Z538"/>
      <c r="AA538"/>
      <c r="AB538"/>
      <c r="AC538"/>
      <c r="AD538"/>
      <c r="AE538"/>
      <c r="AF538"/>
      <c r="AG538"/>
      <c r="AH538"/>
      <c r="AI538"/>
      <c r="AJ538"/>
      <c r="AK538"/>
      <c r="AL538"/>
      <c r="AM538"/>
      <c r="AN538"/>
      <c r="AO538"/>
      <c r="AP538"/>
      <c r="AQ538"/>
      <c r="AR538"/>
      <c r="AS538"/>
      <c r="AT538"/>
      <c r="AU538"/>
      <c r="AV538"/>
      <c r="AW538"/>
      <c r="AX538"/>
      <c r="AY538"/>
      <c r="AZ538"/>
      <c r="BA538"/>
      <c r="BB538"/>
      <c r="BC538"/>
      <c r="BD538"/>
      <c r="BE538"/>
      <c r="BF538"/>
      <c r="BG538"/>
      <c r="BH538"/>
      <c r="BI538"/>
      <c r="BJ538"/>
      <c r="BK538"/>
      <c r="BL538"/>
      <c r="BM538"/>
      <c r="BN538"/>
      <c r="BO538"/>
      <c r="BP538"/>
      <c r="BQ538"/>
      <c r="BR538"/>
      <c r="BS538"/>
      <c r="BT538"/>
      <c r="BU538"/>
      <c r="BV538"/>
      <c r="BW538"/>
      <c r="BX538"/>
      <c r="BY538"/>
      <c r="BZ538"/>
      <c r="CA538"/>
      <c r="CB538"/>
      <c r="CC538"/>
    </row>
    <row r="539" spans="1:81" x14ac:dyDescent="0.25">
      <c r="A539"/>
      <c r="B539"/>
      <c r="C539"/>
      <c r="D539"/>
      <c r="E539"/>
      <c r="F539"/>
      <c r="G539"/>
      <c r="H539"/>
      <c r="I539"/>
      <c r="J539"/>
      <c r="K539"/>
      <c r="L539"/>
      <c r="M539"/>
      <c r="N539"/>
      <c r="O539"/>
      <c r="P539"/>
      <c r="Q539"/>
      <c r="R539"/>
      <c r="S539"/>
      <c r="T539"/>
      <c r="U539"/>
      <c r="V539"/>
      <c r="W539"/>
      <c r="X539"/>
      <c r="Y539"/>
      <c r="Z539"/>
      <c r="AA539"/>
      <c r="AB539"/>
      <c r="AC539"/>
      <c r="AD539"/>
      <c r="AE539"/>
      <c r="AF539"/>
      <c r="AG539"/>
      <c r="AH539"/>
      <c r="AI539"/>
      <c r="AJ539"/>
      <c r="AK539"/>
      <c r="AL539"/>
      <c r="AM539"/>
      <c r="AN539"/>
      <c r="AO539"/>
      <c r="AP539"/>
      <c r="AQ539"/>
      <c r="AR539"/>
      <c r="AS539"/>
      <c r="AT539"/>
      <c r="AU539"/>
      <c r="AV539"/>
      <c r="AW539"/>
      <c r="AX539"/>
      <c r="AY539"/>
      <c r="AZ539"/>
      <c r="BA539"/>
      <c r="BB539"/>
      <c r="BC539"/>
      <c r="BD539"/>
      <c r="BE539"/>
      <c r="BF539"/>
      <c r="BG539"/>
      <c r="BH539"/>
      <c r="BI539"/>
      <c r="BJ539"/>
      <c r="BK539"/>
      <c r="BL539"/>
      <c r="BM539"/>
      <c r="BN539"/>
      <c r="BO539"/>
      <c r="BP539"/>
      <c r="BQ539"/>
      <c r="BR539"/>
      <c r="BS539"/>
      <c r="BT539"/>
      <c r="BU539"/>
      <c r="BV539"/>
      <c r="BW539"/>
      <c r="BX539"/>
      <c r="BY539"/>
      <c r="BZ539"/>
      <c r="CA539"/>
      <c r="CB539"/>
      <c r="CC539"/>
    </row>
    <row r="540" spans="1:81" x14ac:dyDescent="0.25">
      <c r="A540"/>
      <c r="B540"/>
      <c r="C540"/>
      <c r="D540"/>
      <c r="E540"/>
      <c r="F540"/>
      <c r="G540"/>
      <c r="H540"/>
      <c r="I540"/>
      <c r="J540"/>
      <c r="K540"/>
      <c r="L540"/>
      <c r="M540"/>
      <c r="N540"/>
      <c r="O540"/>
      <c r="P540"/>
      <c r="Q540"/>
      <c r="R540"/>
      <c r="S540"/>
      <c r="T540"/>
      <c r="U540"/>
      <c r="V540"/>
      <c r="W540"/>
      <c r="X540"/>
      <c r="Y540"/>
      <c r="Z540"/>
      <c r="AA540"/>
      <c r="AB540"/>
      <c r="AC540"/>
      <c r="AD540"/>
      <c r="AE540"/>
      <c r="AF540"/>
      <c r="AG540"/>
      <c r="AH540"/>
      <c r="AI540"/>
      <c r="AJ540"/>
      <c r="AK540"/>
      <c r="AL540"/>
      <c r="AM540"/>
      <c r="AN540"/>
      <c r="AO540"/>
      <c r="AP540"/>
      <c r="AQ540"/>
      <c r="AR540"/>
      <c r="AS540"/>
      <c r="AT540"/>
      <c r="AU540"/>
      <c r="AV540"/>
      <c r="AW540"/>
      <c r="AX540"/>
      <c r="AY540"/>
      <c r="AZ540"/>
      <c r="BA540"/>
      <c r="BB540"/>
      <c r="BC540"/>
      <c r="BD540"/>
      <c r="BE540"/>
      <c r="BF540"/>
      <c r="BG540"/>
      <c r="BH540"/>
      <c r="BI540"/>
      <c r="BJ540"/>
      <c r="BK540"/>
      <c r="BL540"/>
      <c r="BM540"/>
      <c r="BN540"/>
      <c r="BO540"/>
      <c r="BP540"/>
      <c r="BQ540"/>
      <c r="BR540"/>
      <c r="BS540"/>
      <c r="BT540"/>
      <c r="BU540"/>
      <c r="BV540"/>
      <c r="BW540"/>
      <c r="BX540"/>
      <c r="BY540"/>
      <c r="BZ540"/>
      <c r="CA540"/>
      <c r="CB540"/>
      <c r="CC540"/>
    </row>
    <row r="541" spans="1:81" x14ac:dyDescent="0.25">
      <c r="A541"/>
      <c r="B541"/>
      <c r="C541"/>
      <c r="D541"/>
      <c r="E541"/>
      <c r="F541"/>
      <c r="G541"/>
      <c r="H541"/>
      <c r="I541"/>
      <c r="J541"/>
      <c r="K541"/>
      <c r="L541"/>
      <c r="M541"/>
      <c r="N541"/>
      <c r="O541"/>
      <c r="P541"/>
      <c r="Q541"/>
      <c r="R541"/>
      <c r="S541"/>
      <c r="T541"/>
      <c r="U541"/>
      <c r="V541"/>
      <c r="W541"/>
      <c r="X541"/>
      <c r="Y541"/>
      <c r="Z541"/>
      <c r="AA541"/>
      <c r="AB541"/>
      <c r="AC541"/>
      <c r="AD541"/>
      <c r="AE541"/>
      <c r="AF541"/>
      <c r="AG541"/>
      <c r="AH541"/>
      <c r="AI541"/>
      <c r="AJ541"/>
      <c r="AK541"/>
      <c r="AL541"/>
      <c r="AM541"/>
      <c r="AN541"/>
      <c r="AO541"/>
      <c r="AP541"/>
      <c r="AQ541"/>
      <c r="AR541"/>
      <c r="AS541"/>
      <c r="AT541"/>
      <c r="AU541"/>
      <c r="AV541"/>
      <c r="AW541"/>
      <c r="AX541"/>
      <c r="AY541"/>
      <c r="AZ541"/>
      <c r="BA541"/>
      <c r="BB541"/>
      <c r="BC541"/>
      <c r="BD541"/>
      <c r="BE541"/>
      <c r="BF541"/>
      <c r="BG541"/>
      <c r="BH541"/>
      <c r="BI541"/>
      <c r="BJ541"/>
      <c r="BK541"/>
      <c r="BL541"/>
      <c r="BM541"/>
      <c r="BN541"/>
      <c r="BO541"/>
      <c r="BP541"/>
      <c r="BQ541"/>
      <c r="BR541"/>
      <c r="BS541"/>
      <c r="BT541"/>
      <c r="BU541"/>
      <c r="BV541"/>
      <c r="BW541"/>
      <c r="BX541"/>
      <c r="BY541"/>
      <c r="BZ541"/>
      <c r="CA541"/>
      <c r="CB541"/>
      <c r="CC541"/>
    </row>
    <row r="542" spans="1:81" x14ac:dyDescent="0.25">
      <c r="A542"/>
      <c r="B542"/>
      <c r="C542"/>
      <c r="D542"/>
      <c r="E542"/>
      <c r="F542"/>
      <c r="G542"/>
      <c r="H542"/>
      <c r="I542"/>
      <c r="J542"/>
      <c r="K542"/>
      <c r="L542"/>
      <c r="M542"/>
      <c r="N542"/>
      <c r="O542"/>
      <c r="P542"/>
      <c r="Q542"/>
      <c r="R542"/>
      <c r="S542"/>
      <c r="T542"/>
      <c r="U542"/>
      <c r="V542"/>
      <c r="W542"/>
      <c r="X542"/>
      <c r="Y542"/>
      <c r="Z542"/>
      <c r="AA542"/>
      <c r="AB542"/>
      <c r="AC542"/>
      <c r="AD542"/>
      <c r="AE542"/>
      <c r="AF542"/>
      <c r="AG542"/>
      <c r="AH542"/>
      <c r="AI542"/>
      <c r="AJ542"/>
      <c r="AK542"/>
      <c r="AL542"/>
      <c r="AM542"/>
      <c r="AN542"/>
      <c r="AO542"/>
      <c r="AP542"/>
      <c r="AQ542"/>
      <c r="AR542"/>
      <c r="AS542"/>
      <c r="AT542"/>
      <c r="AU542"/>
      <c r="AV542"/>
      <c r="AW542"/>
      <c r="AX542"/>
      <c r="AY542"/>
      <c r="AZ542"/>
      <c r="BA542"/>
      <c r="BB542"/>
      <c r="BC542"/>
      <c r="BD542"/>
      <c r="BE542"/>
      <c r="BF542"/>
      <c r="BG542"/>
      <c r="BH542"/>
      <c r="BI542"/>
      <c r="BJ542"/>
      <c r="BK542"/>
      <c r="BL542"/>
      <c r="BM542"/>
      <c r="BN542"/>
      <c r="BO542"/>
      <c r="BP542"/>
      <c r="BQ542"/>
      <c r="BR542"/>
      <c r="BS542"/>
      <c r="BT542"/>
      <c r="BU542"/>
      <c r="BV542"/>
      <c r="BW542"/>
      <c r="BX542"/>
      <c r="BY542"/>
      <c r="BZ542"/>
      <c r="CA542"/>
      <c r="CB542"/>
      <c r="CC542"/>
    </row>
    <row r="543" spans="1:81" x14ac:dyDescent="0.25">
      <c r="A543"/>
      <c r="B543"/>
      <c r="C543"/>
      <c r="D543"/>
      <c r="E543"/>
      <c r="F543"/>
      <c r="G543"/>
      <c r="H543"/>
      <c r="I543"/>
      <c r="J543"/>
      <c r="K543"/>
      <c r="L543"/>
      <c r="M543"/>
      <c r="N543"/>
      <c r="O543"/>
      <c r="P543"/>
      <c r="Q543"/>
      <c r="R543"/>
      <c r="S543"/>
      <c r="T543"/>
      <c r="U543"/>
      <c r="V543"/>
      <c r="W543"/>
      <c r="X543"/>
      <c r="Y543"/>
      <c r="Z543"/>
      <c r="AA543"/>
      <c r="AB543"/>
      <c r="AC543"/>
      <c r="AD543"/>
      <c r="AE543"/>
      <c r="AF543"/>
      <c r="AG543"/>
      <c r="AH543"/>
      <c r="AI543"/>
      <c r="AJ543"/>
      <c r="AK543"/>
      <c r="AL543"/>
      <c r="AM543"/>
      <c r="AN543"/>
      <c r="AO543"/>
      <c r="AP543"/>
      <c r="AQ543"/>
      <c r="AR543"/>
      <c r="AS543"/>
      <c r="AT543"/>
      <c r="AU543"/>
      <c r="AV543"/>
      <c r="AW543"/>
      <c r="AX543"/>
      <c r="AY543"/>
      <c r="AZ543"/>
      <c r="BA543"/>
      <c r="BB543"/>
      <c r="BC543"/>
      <c r="BD543"/>
      <c r="BE543"/>
      <c r="BF543"/>
      <c r="BG543"/>
      <c r="BH543"/>
      <c r="BI543"/>
      <c r="BJ543"/>
      <c r="BK543"/>
      <c r="BL543"/>
      <c r="BM543"/>
      <c r="BN543"/>
      <c r="BO543"/>
      <c r="BP543"/>
      <c r="BQ543"/>
      <c r="BR543"/>
      <c r="BS543"/>
      <c r="BT543"/>
      <c r="BU543"/>
      <c r="BV543"/>
      <c r="BW543"/>
      <c r="BX543"/>
      <c r="BY543"/>
      <c r="BZ543"/>
      <c r="CA543"/>
      <c r="CB543"/>
      <c r="CC543"/>
    </row>
    <row r="544" spans="1:81" x14ac:dyDescent="0.25">
      <c r="A544"/>
      <c r="B544"/>
      <c r="C544"/>
      <c r="D544"/>
      <c r="E544"/>
      <c r="F544"/>
      <c r="G544"/>
      <c r="H544"/>
      <c r="I544"/>
      <c r="J544"/>
      <c r="K544"/>
      <c r="L544"/>
      <c r="M544"/>
      <c r="N544"/>
      <c r="O544"/>
      <c r="P544"/>
      <c r="Q544"/>
      <c r="R544"/>
      <c r="S544"/>
      <c r="T544"/>
      <c r="U544"/>
      <c r="V544"/>
      <c r="W544"/>
      <c r="X544"/>
      <c r="Y544"/>
      <c r="Z544"/>
      <c r="AA544"/>
      <c r="AB544"/>
      <c r="AC544"/>
      <c r="AD544"/>
      <c r="AE544"/>
      <c r="AF544"/>
      <c r="AG544"/>
      <c r="AH544"/>
      <c r="AI544"/>
      <c r="AJ544"/>
      <c r="AK544"/>
      <c r="AL544"/>
      <c r="AM544"/>
      <c r="AN544"/>
      <c r="AO544"/>
      <c r="AP544"/>
      <c r="AQ544"/>
      <c r="AR544"/>
      <c r="AS544"/>
      <c r="AT544"/>
      <c r="AU544"/>
      <c r="AV544"/>
      <c r="AW544"/>
      <c r="AX544"/>
      <c r="AY544"/>
      <c r="AZ544"/>
      <c r="BA544"/>
      <c r="BB544"/>
      <c r="BC544"/>
      <c r="BD544"/>
      <c r="BE544"/>
      <c r="BF544"/>
      <c r="BG544"/>
      <c r="BH544"/>
      <c r="BI544"/>
      <c r="BJ544"/>
      <c r="BK544"/>
      <c r="BL544"/>
      <c r="BM544"/>
      <c r="BN544"/>
      <c r="BO544"/>
      <c r="BP544"/>
      <c r="BQ544"/>
      <c r="BR544"/>
      <c r="BS544"/>
      <c r="BT544"/>
      <c r="BU544"/>
      <c r="BV544"/>
      <c r="BW544"/>
      <c r="BX544"/>
      <c r="BY544"/>
      <c r="BZ544"/>
      <c r="CA544"/>
      <c r="CB544"/>
      <c r="CC544"/>
    </row>
    <row r="545" spans="1:81" x14ac:dyDescent="0.25">
      <c r="A545"/>
      <c r="B545"/>
      <c r="C545"/>
      <c r="D545"/>
      <c r="E545"/>
      <c r="F545"/>
      <c r="G545"/>
      <c r="H545"/>
      <c r="I545"/>
      <c r="J545"/>
      <c r="K545"/>
      <c r="L545"/>
      <c r="M545"/>
      <c r="N545"/>
      <c r="O545"/>
      <c r="P545"/>
      <c r="Q545"/>
      <c r="R545"/>
      <c r="S545"/>
      <c r="T545"/>
      <c r="U545"/>
      <c r="V545"/>
      <c r="W545"/>
      <c r="X545"/>
      <c r="Y545"/>
      <c r="Z545"/>
      <c r="AA545"/>
      <c r="AB545"/>
      <c r="AC545"/>
      <c r="AD545"/>
      <c r="AE545"/>
      <c r="AF545"/>
      <c r="AG545"/>
      <c r="AH545"/>
      <c r="AI545"/>
      <c r="AJ545"/>
      <c r="AK545"/>
      <c r="AL545"/>
      <c r="AM545"/>
      <c r="AN545"/>
      <c r="AO545"/>
      <c r="AP545"/>
      <c r="AQ545"/>
      <c r="AR545"/>
      <c r="AS545"/>
      <c r="AT545"/>
      <c r="AU545"/>
      <c r="AV545"/>
      <c r="AW545"/>
      <c r="AX545"/>
      <c r="AY545"/>
      <c r="AZ545"/>
      <c r="BA545"/>
      <c r="BB545"/>
      <c r="BC545"/>
      <c r="BD545"/>
      <c r="BE545"/>
      <c r="BF545"/>
      <c r="BG545"/>
      <c r="BH545"/>
      <c r="BI545"/>
      <c r="BJ545"/>
      <c r="BK545"/>
      <c r="BL545"/>
      <c r="BM545"/>
      <c r="BN545"/>
      <c r="BO545"/>
      <c r="BP545"/>
      <c r="BQ545"/>
      <c r="BR545"/>
      <c r="BS545"/>
      <c r="BT545"/>
      <c r="BU545"/>
      <c r="BV545"/>
      <c r="BW545"/>
      <c r="BX545"/>
      <c r="BY545"/>
      <c r="BZ545"/>
      <c r="CA545"/>
      <c r="CB545"/>
      <c r="CC545"/>
    </row>
    <row r="546" spans="1:81" x14ac:dyDescent="0.25">
      <c r="A546"/>
      <c r="B546"/>
      <c r="C546"/>
      <c r="D546"/>
      <c r="E546"/>
      <c r="F546"/>
      <c r="G546"/>
      <c r="H546"/>
      <c r="I546"/>
      <c r="J546"/>
      <c r="K546"/>
      <c r="L546"/>
      <c r="M546"/>
      <c r="N546"/>
      <c r="O546"/>
      <c r="P546"/>
      <c r="Q546"/>
      <c r="R546"/>
      <c r="S546"/>
      <c r="T546"/>
      <c r="U546"/>
      <c r="V546"/>
      <c r="W546"/>
      <c r="X546"/>
      <c r="Y546"/>
      <c r="Z546"/>
      <c r="AA546"/>
      <c r="AB546"/>
      <c r="AC546"/>
      <c r="AD546"/>
      <c r="AE546"/>
      <c r="AF546"/>
      <c r="AG546"/>
      <c r="AH546"/>
      <c r="AI546"/>
      <c r="AJ546"/>
      <c r="AK546"/>
      <c r="AL546"/>
      <c r="AM546"/>
      <c r="AN546"/>
      <c r="AO546"/>
      <c r="AP546"/>
      <c r="AQ546"/>
      <c r="AR546"/>
      <c r="AS546"/>
      <c r="AT546"/>
      <c r="AU546"/>
      <c r="AV546"/>
      <c r="AW546"/>
      <c r="AX546"/>
      <c r="AY546"/>
      <c r="AZ546"/>
      <c r="BA546"/>
      <c r="BB546"/>
      <c r="BC546"/>
      <c r="BD546"/>
      <c r="BE546"/>
      <c r="BF546"/>
      <c r="BG546"/>
      <c r="BH546"/>
      <c r="BI546"/>
      <c r="BJ546"/>
      <c r="BK546"/>
      <c r="BL546"/>
      <c r="BM546"/>
      <c r="BN546"/>
      <c r="BO546"/>
      <c r="BP546"/>
      <c r="BQ546"/>
      <c r="BR546"/>
      <c r="BS546"/>
      <c r="BT546"/>
      <c r="BU546"/>
      <c r="BV546"/>
      <c r="BW546"/>
      <c r="BX546"/>
      <c r="BY546"/>
      <c r="BZ546"/>
      <c r="CA546"/>
      <c r="CB546"/>
      <c r="CC546"/>
    </row>
    <row r="547" spans="1:81" x14ac:dyDescent="0.25">
      <c r="A547"/>
      <c r="B547"/>
      <c r="C547"/>
      <c r="D547"/>
      <c r="E547"/>
      <c r="F547"/>
      <c r="G547"/>
      <c r="H547"/>
      <c r="I547"/>
      <c r="J547"/>
      <c r="K547"/>
      <c r="L547"/>
      <c r="M547"/>
      <c r="N547"/>
      <c r="O547"/>
      <c r="P547"/>
      <c r="Q547"/>
      <c r="R547"/>
      <c r="S547"/>
      <c r="T547"/>
      <c r="U547"/>
      <c r="V547"/>
      <c r="W547"/>
      <c r="X547"/>
      <c r="Y547"/>
      <c r="Z547"/>
      <c r="AA547"/>
      <c r="AB547"/>
      <c r="AC547"/>
      <c r="AD547"/>
      <c r="AE547"/>
      <c r="AF547"/>
      <c r="AG547"/>
      <c r="AH547"/>
      <c r="AI547"/>
      <c r="AJ547"/>
      <c r="AK547"/>
      <c r="AL547"/>
      <c r="AM547"/>
      <c r="AN547"/>
      <c r="AO547"/>
      <c r="AP547"/>
      <c r="AQ547"/>
      <c r="AR547"/>
      <c r="AS547"/>
      <c r="AT547"/>
      <c r="AU547"/>
      <c r="AV547"/>
      <c r="AW547"/>
      <c r="AX547"/>
      <c r="AY547"/>
      <c r="AZ547"/>
      <c r="BA547"/>
      <c r="BB547"/>
      <c r="BC547"/>
      <c r="BD547"/>
      <c r="BE547"/>
      <c r="BF547"/>
      <c r="BG547"/>
      <c r="BH547"/>
      <c r="BI547"/>
      <c r="BJ547"/>
      <c r="BK547"/>
      <c r="BL547"/>
      <c r="BM547"/>
      <c r="BN547"/>
      <c r="BO547"/>
      <c r="BP547"/>
      <c r="BQ547"/>
      <c r="BR547"/>
      <c r="BS547"/>
      <c r="BT547"/>
      <c r="BU547"/>
      <c r="BV547"/>
      <c r="BW547"/>
      <c r="BX547"/>
      <c r="BY547"/>
      <c r="BZ547"/>
      <c r="CA547"/>
      <c r="CB547"/>
      <c r="CC547"/>
    </row>
    <row r="548" spans="1:81" x14ac:dyDescent="0.25">
      <c r="A548"/>
      <c r="B548"/>
      <c r="C548"/>
      <c r="D548"/>
      <c r="E548"/>
      <c r="F548"/>
      <c r="G548"/>
      <c r="H548"/>
      <c r="I548"/>
      <c r="J548"/>
      <c r="K548"/>
      <c r="L548"/>
      <c r="M548"/>
      <c r="N548"/>
      <c r="O548"/>
      <c r="P548"/>
      <c r="Q548"/>
      <c r="R548"/>
      <c r="S548"/>
      <c r="T548"/>
      <c r="U548"/>
      <c r="V548"/>
      <c r="W548"/>
      <c r="X548"/>
      <c r="Y548"/>
      <c r="Z548"/>
      <c r="AA548"/>
      <c r="AB548"/>
      <c r="AC548"/>
      <c r="AD548"/>
      <c r="AE548"/>
      <c r="AF548"/>
      <c r="AG548"/>
      <c r="AH548"/>
      <c r="AI548"/>
      <c r="AJ548"/>
      <c r="AK548"/>
      <c r="AL548"/>
      <c r="AM548"/>
      <c r="AN548"/>
      <c r="AO548"/>
      <c r="AP548"/>
      <c r="AQ548"/>
      <c r="AR548"/>
      <c r="AS548"/>
      <c r="AT548"/>
      <c r="AU548"/>
      <c r="AV548"/>
      <c r="AW548"/>
      <c r="AX548"/>
      <c r="AY548"/>
      <c r="AZ548"/>
      <c r="BA548"/>
      <c r="BB548"/>
      <c r="BC548"/>
      <c r="BD548"/>
      <c r="BE548"/>
      <c r="BF548"/>
      <c r="BG548"/>
      <c r="BH548"/>
      <c r="BI548"/>
      <c r="BJ548"/>
      <c r="BK548"/>
      <c r="BL548"/>
      <c r="BM548"/>
      <c r="BN548"/>
      <c r="BO548"/>
      <c r="BP548"/>
      <c r="BQ548"/>
      <c r="BR548"/>
      <c r="BS548"/>
      <c r="BT548"/>
      <c r="BU548"/>
      <c r="BV548"/>
      <c r="BW548"/>
      <c r="BX548"/>
      <c r="BY548"/>
      <c r="BZ548"/>
      <c r="CA548"/>
      <c r="CB548"/>
      <c r="CC548"/>
    </row>
    <row r="549" spans="1:81" x14ac:dyDescent="0.25">
      <c r="A549"/>
      <c r="B549"/>
      <c r="C549"/>
      <c r="D549"/>
      <c r="E549"/>
      <c r="F549"/>
      <c r="G549"/>
      <c r="H549"/>
      <c r="I549"/>
      <c r="J549"/>
      <c r="K549"/>
      <c r="L549"/>
      <c r="M549"/>
      <c r="N549"/>
      <c r="O549"/>
      <c r="P549"/>
      <c r="Q549"/>
      <c r="R549"/>
      <c r="S549"/>
      <c r="T549"/>
      <c r="U549"/>
      <c r="V549"/>
      <c r="W549"/>
      <c r="X549"/>
      <c r="Y549"/>
      <c r="Z549"/>
      <c r="AA549"/>
      <c r="AB549"/>
      <c r="AC549"/>
      <c r="AD549"/>
      <c r="AE549"/>
      <c r="AF549"/>
      <c r="AG549"/>
      <c r="AH549"/>
      <c r="AI549"/>
      <c r="AJ549"/>
      <c r="AK549"/>
      <c r="AL549"/>
      <c r="AM549"/>
      <c r="AN549"/>
      <c r="AO549"/>
      <c r="AP549"/>
      <c r="AQ549"/>
      <c r="AR549"/>
      <c r="AS549"/>
      <c r="AT549"/>
      <c r="AU549"/>
      <c r="AV549"/>
      <c r="AW549"/>
      <c r="AX549"/>
      <c r="AY549"/>
      <c r="AZ549"/>
      <c r="BA549"/>
      <c r="BB549"/>
      <c r="BC549"/>
      <c r="BD549"/>
      <c r="BE549"/>
      <c r="BF549"/>
      <c r="BG549"/>
      <c r="BH549"/>
      <c r="BI549"/>
      <c r="BJ549"/>
      <c r="BK549"/>
      <c r="BL549"/>
      <c r="BM549"/>
      <c r="BN549"/>
      <c r="BO549"/>
      <c r="BP549"/>
      <c r="BQ549"/>
      <c r="BR549"/>
      <c r="BS549"/>
      <c r="BT549"/>
      <c r="BU549"/>
      <c r="BV549"/>
      <c r="BW549"/>
      <c r="BX549"/>
      <c r="BY549"/>
      <c r="BZ549"/>
      <c r="CA549"/>
      <c r="CB549"/>
      <c r="CC549"/>
    </row>
    <row r="550" spans="1:81" x14ac:dyDescent="0.25">
      <c r="A550"/>
      <c r="B550"/>
      <c r="C550"/>
      <c r="D550"/>
      <c r="E550"/>
      <c r="F550"/>
      <c r="G550"/>
      <c r="H550"/>
      <c r="I550"/>
      <c r="J550"/>
      <c r="K550"/>
      <c r="L550"/>
      <c r="M550"/>
      <c r="N550"/>
      <c r="O550"/>
      <c r="P550"/>
      <c r="Q550"/>
      <c r="R550"/>
      <c r="S550"/>
      <c r="T550"/>
      <c r="U550"/>
      <c r="V550"/>
      <c r="W550"/>
      <c r="X550"/>
      <c r="Y550"/>
      <c r="Z550"/>
      <c r="AA550"/>
      <c r="AB550"/>
      <c r="AC550"/>
      <c r="AD550"/>
      <c r="AE550"/>
      <c r="AF550"/>
      <c r="AG550"/>
      <c r="AH550"/>
      <c r="AI550"/>
      <c r="AJ550"/>
      <c r="AK550"/>
      <c r="AL550"/>
      <c r="AM550"/>
      <c r="AN550"/>
      <c r="AO550"/>
      <c r="AP550"/>
      <c r="AQ550"/>
      <c r="AR550"/>
      <c r="AS550"/>
      <c r="AT550"/>
      <c r="AU550"/>
      <c r="AV550"/>
      <c r="AW550"/>
      <c r="AX550"/>
      <c r="AY550"/>
      <c r="AZ550"/>
      <c r="BA550"/>
      <c r="BB550"/>
      <c r="BC550"/>
      <c r="BD550"/>
      <c r="BE550"/>
      <c r="BF550"/>
      <c r="BG550"/>
      <c r="BH550"/>
      <c r="BI550"/>
      <c r="BJ550"/>
      <c r="BK550"/>
      <c r="BL550"/>
      <c r="BM550"/>
      <c r="BN550"/>
      <c r="BO550"/>
      <c r="BP550"/>
      <c r="BQ550"/>
      <c r="BR550"/>
      <c r="BS550"/>
      <c r="BT550"/>
      <c r="BU550"/>
      <c r="BV550"/>
      <c r="BW550"/>
      <c r="BX550"/>
      <c r="BY550"/>
      <c r="BZ550"/>
      <c r="CA550"/>
      <c r="CB550"/>
      <c r="CC550"/>
    </row>
    <row r="551" spans="1:81" x14ac:dyDescent="0.25">
      <c r="A551"/>
      <c r="B551"/>
      <c r="C551"/>
      <c r="D551"/>
      <c r="E551"/>
      <c r="F551"/>
      <c r="G551"/>
      <c r="H551"/>
      <c r="I551"/>
      <c r="J551"/>
      <c r="K551"/>
      <c r="L551"/>
      <c r="M551"/>
      <c r="N551"/>
      <c r="O551"/>
      <c r="P551"/>
      <c r="Q551"/>
      <c r="R551"/>
      <c r="S551"/>
      <c r="T551"/>
      <c r="U551"/>
      <c r="V551"/>
      <c r="W551"/>
      <c r="X551"/>
      <c r="Y551"/>
      <c r="Z551"/>
      <c r="AA551"/>
      <c r="AB551"/>
      <c r="AC551"/>
      <c r="AD551"/>
      <c r="AE551"/>
      <c r="AF551"/>
      <c r="AG551"/>
      <c r="AH551"/>
      <c r="AI551"/>
      <c r="AJ551"/>
      <c r="AK551"/>
      <c r="AL551"/>
      <c r="AM551"/>
      <c r="AN551"/>
      <c r="AO551"/>
      <c r="AP551"/>
      <c r="AQ551"/>
      <c r="AR551"/>
      <c r="AS551"/>
      <c r="AT551"/>
      <c r="AU551"/>
      <c r="AV551"/>
      <c r="AW551"/>
      <c r="AX551"/>
      <c r="AY551"/>
      <c r="AZ551"/>
      <c r="BA551"/>
      <c r="BB551"/>
      <c r="BC551"/>
      <c r="BD551"/>
      <c r="BE551"/>
      <c r="BF551"/>
      <c r="BG551"/>
      <c r="BH551"/>
      <c r="BI551"/>
      <c r="BJ551"/>
      <c r="BK551"/>
      <c r="BL551"/>
      <c r="BM551"/>
      <c r="BN551"/>
      <c r="BO551"/>
      <c r="BP551"/>
      <c r="BQ551"/>
      <c r="BR551"/>
      <c r="BS551"/>
      <c r="BT551"/>
      <c r="BU551"/>
      <c r="BV551"/>
      <c r="BW551"/>
      <c r="BX551"/>
      <c r="BY551"/>
      <c r="BZ551"/>
      <c r="CA551"/>
      <c r="CB551"/>
      <c r="CC551"/>
    </row>
    <row r="552" spans="1:81" x14ac:dyDescent="0.25">
      <c r="A552"/>
      <c r="B552"/>
      <c r="C552"/>
      <c r="D552"/>
      <c r="E552"/>
      <c r="F552"/>
      <c r="G552"/>
      <c r="H552"/>
      <c r="I552"/>
      <c r="J552"/>
      <c r="K552"/>
      <c r="L552"/>
      <c r="M552"/>
      <c r="N552"/>
      <c r="O552"/>
      <c r="P552"/>
      <c r="Q552"/>
      <c r="R552"/>
      <c r="S552"/>
      <c r="T552"/>
      <c r="U552"/>
      <c r="V552"/>
      <c r="W552"/>
      <c r="X552"/>
      <c r="Y552"/>
      <c r="Z552"/>
      <c r="AA552"/>
      <c r="AB552"/>
      <c r="AC552"/>
      <c r="AD552"/>
      <c r="AE552"/>
      <c r="AF552"/>
      <c r="AG552"/>
      <c r="AH552"/>
      <c r="AI552"/>
      <c r="AJ552"/>
      <c r="AK552"/>
      <c r="AL552"/>
      <c r="AM552"/>
      <c r="AN552"/>
      <c r="AO552"/>
      <c r="AP552"/>
      <c r="AQ552"/>
      <c r="AR552"/>
      <c r="AS552"/>
      <c r="AT552"/>
      <c r="AU552"/>
      <c r="AV552"/>
      <c r="AW552"/>
      <c r="AX552"/>
      <c r="AY552"/>
      <c r="AZ552"/>
      <c r="BA552"/>
      <c r="BB552"/>
      <c r="BC552"/>
      <c r="BD552"/>
      <c r="BE552"/>
      <c r="BF552"/>
      <c r="BG552"/>
      <c r="BH552"/>
      <c r="BI552"/>
      <c r="BJ552"/>
      <c r="BK552"/>
      <c r="BL552"/>
      <c r="BM552"/>
      <c r="BN552"/>
      <c r="BO552"/>
      <c r="BP552"/>
      <c r="BQ552"/>
      <c r="BR552"/>
      <c r="BS552"/>
      <c r="BT552"/>
      <c r="BU552"/>
      <c r="BV552"/>
      <c r="BW552"/>
      <c r="BX552"/>
      <c r="BY552"/>
      <c r="BZ552"/>
      <c r="CA552"/>
      <c r="CB552"/>
      <c r="CC552"/>
    </row>
    <row r="553" spans="1:81" x14ac:dyDescent="0.25">
      <c r="A553"/>
      <c r="B553"/>
      <c r="C553"/>
      <c r="D553"/>
      <c r="E553"/>
      <c r="F553"/>
      <c r="G553"/>
      <c r="H553"/>
      <c r="I553"/>
      <c r="J553"/>
      <c r="K553"/>
      <c r="L553"/>
      <c r="M553"/>
      <c r="N553"/>
      <c r="O553"/>
      <c r="P553"/>
      <c r="Q553"/>
      <c r="R553"/>
      <c r="S553"/>
      <c r="T553"/>
      <c r="U553"/>
      <c r="V553"/>
      <c r="W553"/>
      <c r="X553"/>
      <c r="Y553"/>
      <c r="Z553"/>
      <c r="AA553"/>
      <c r="AB553"/>
      <c r="AC553"/>
      <c r="AD553"/>
      <c r="AE553"/>
      <c r="AF553"/>
      <c r="AG553"/>
      <c r="AH553"/>
      <c r="AI553"/>
      <c r="AJ553"/>
      <c r="AK553"/>
      <c r="AL553"/>
      <c r="AM553"/>
      <c r="AN553"/>
      <c r="AO553"/>
      <c r="AP553"/>
      <c r="AQ553"/>
      <c r="AR553"/>
      <c r="AS553"/>
      <c r="AT553"/>
      <c r="AU553"/>
      <c r="AV553"/>
      <c r="AW553"/>
      <c r="AX553"/>
      <c r="AY553"/>
      <c r="AZ553"/>
      <c r="BA553"/>
      <c r="BB553"/>
      <c r="BC553"/>
      <c r="BD553"/>
      <c r="BE553"/>
      <c r="BF553"/>
      <c r="BG553"/>
      <c r="BH553"/>
      <c r="BI553"/>
      <c r="BJ553"/>
      <c r="BK553"/>
      <c r="BL553"/>
      <c r="BM553"/>
      <c r="BN553"/>
      <c r="BO553"/>
      <c r="BP553"/>
      <c r="BQ553"/>
      <c r="BR553"/>
      <c r="BS553"/>
      <c r="BT553"/>
      <c r="BU553"/>
      <c r="BV553"/>
      <c r="BW553"/>
      <c r="BX553"/>
      <c r="BY553"/>
      <c r="BZ553"/>
      <c r="CA553"/>
      <c r="CB553"/>
      <c r="CC553"/>
    </row>
    <row r="554" spans="1:81" x14ac:dyDescent="0.25">
      <c r="A554"/>
      <c r="B554"/>
      <c r="C554"/>
      <c r="D554"/>
      <c r="E554"/>
      <c r="F554"/>
      <c r="G554"/>
      <c r="H554"/>
      <c r="I554"/>
      <c r="J554"/>
      <c r="K554"/>
      <c r="L554"/>
      <c r="M554"/>
      <c r="N554"/>
      <c r="O554"/>
      <c r="P554"/>
      <c r="Q554"/>
      <c r="R554"/>
      <c r="S554"/>
      <c r="T554"/>
      <c r="U554"/>
      <c r="V554"/>
      <c r="W554"/>
      <c r="X554"/>
      <c r="Y554"/>
      <c r="Z554"/>
      <c r="AA554"/>
      <c r="AB554"/>
      <c r="AC554"/>
      <c r="AD554"/>
      <c r="AE554"/>
      <c r="AF554"/>
      <c r="AG554"/>
      <c r="AH554"/>
      <c r="AI554"/>
      <c r="AJ554"/>
      <c r="AK554"/>
      <c r="AL554"/>
      <c r="AM554"/>
      <c r="AN554"/>
      <c r="AO554"/>
      <c r="AP554"/>
      <c r="AQ554"/>
      <c r="AR554"/>
      <c r="AS554"/>
      <c r="AT554"/>
      <c r="AU554"/>
      <c r="AV554"/>
      <c r="AW554"/>
      <c r="AX554"/>
      <c r="AY554"/>
      <c r="AZ554"/>
      <c r="BA554"/>
      <c r="BB554"/>
      <c r="BC554"/>
      <c r="BD554"/>
      <c r="BE554"/>
      <c r="BF554"/>
      <c r="BG554"/>
      <c r="BH554"/>
      <c r="BI554"/>
      <c r="BJ554"/>
      <c r="BK554"/>
      <c r="BL554"/>
      <c r="BM554"/>
      <c r="BN554"/>
      <c r="BO554"/>
      <c r="BP554"/>
      <c r="BQ554"/>
      <c r="BR554"/>
      <c r="BS554"/>
      <c r="BT554"/>
      <c r="BU554"/>
      <c r="BV554"/>
      <c r="BW554"/>
      <c r="BX554"/>
      <c r="BY554"/>
      <c r="BZ554"/>
      <c r="CA554"/>
      <c r="CB554"/>
      <c r="CC554"/>
    </row>
    <row r="555" spans="1:81" x14ac:dyDescent="0.25">
      <c r="A555"/>
      <c r="B555"/>
      <c r="C555"/>
      <c r="D555"/>
      <c r="E555"/>
      <c r="F555"/>
      <c r="G555"/>
      <c r="H555"/>
      <c r="I555"/>
      <c r="J555"/>
      <c r="K555"/>
      <c r="L555"/>
      <c r="M555"/>
      <c r="N555"/>
      <c r="O555"/>
      <c r="P555"/>
      <c r="Q555"/>
      <c r="R555"/>
      <c r="S555"/>
      <c r="T555"/>
      <c r="U555"/>
      <c r="V555"/>
      <c r="W555"/>
      <c r="X555"/>
      <c r="Y555"/>
      <c r="Z555"/>
      <c r="AA555"/>
      <c r="AB555"/>
      <c r="AC555"/>
      <c r="AD555"/>
      <c r="AE555"/>
      <c r="AF555"/>
      <c r="AG555"/>
      <c r="AH555"/>
      <c r="AI555"/>
      <c r="AJ555"/>
      <c r="AK555"/>
      <c r="AL555"/>
      <c r="AM555"/>
      <c r="AN555"/>
      <c r="AO555"/>
      <c r="AP555"/>
      <c r="AQ555"/>
      <c r="AR555"/>
      <c r="AS555"/>
      <c r="AT555"/>
      <c r="AU555"/>
      <c r="AV555"/>
      <c r="AW555"/>
      <c r="AX555"/>
      <c r="AY555"/>
      <c r="AZ555"/>
      <c r="BA555"/>
      <c r="BB555"/>
      <c r="BC555"/>
      <c r="BD555"/>
      <c r="BE555"/>
      <c r="BF555"/>
      <c r="BG555"/>
      <c r="BH555"/>
      <c r="BI555"/>
      <c r="BJ555"/>
      <c r="BK555"/>
      <c r="BL555"/>
      <c r="BM555"/>
      <c r="BN555"/>
      <c r="BO555"/>
      <c r="BP555"/>
      <c r="BQ555"/>
      <c r="BR555"/>
      <c r="BS555"/>
      <c r="BT555"/>
      <c r="BU555"/>
      <c r="BV555"/>
      <c r="BW555"/>
      <c r="BX555"/>
      <c r="BY555"/>
      <c r="BZ555"/>
      <c r="CA555"/>
      <c r="CB555"/>
      <c r="CC555"/>
    </row>
    <row r="556" spans="1:81" x14ac:dyDescent="0.25">
      <c r="A556"/>
      <c r="B556"/>
      <c r="C556"/>
      <c r="D556"/>
      <c r="E556"/>
      <c r="F556"/>
      <c r="G556"/>
      <c r="H556"/>
      <c r="I556"/>
      <c r="J556"/>
      <c r="K556"/>
      <c r="L556"/>
      <c r="M556"/>
      <c r="N556"/>
      <c r="O556"/>
      <c r="P556"/>
      <c r="Q556"/>
      <c r="R556"/>
      <c r="S556"/>
      <c r="T556"/>
      <c r="U556"/>
      <c r="V556"/>
      <c r="W556"/>
      <c r="X556"/>
      <c r="Y556"/>
      <c r="Z556"/>
      <c r="AA556"/>
      <c r="AB556"/>
      <c r="AC556"/>
      <c r="AD556"/>
      <c r="AE556"/>
      <c r="AF556"/>
      <c r="AG556"/>
      <c r="AH556"/>
      <c r="AI556"/>
      <c r="AJ556"/>
      <c r="AK556"/>
      <c r="AL556"/>
      <c r="AM556"/>
      <c r="AN556"/>
      <c r="AO556"/>
      <c r="AP556"/>
      <c r="AQ556"/>
      <c r="AR556"/>
      <c r="AS556"/>
      <c r="AT556"/>
      <c r="AU556"/>
      <c r="AV556"/>
      <c r="AW556"/>
      <c r="AX556"/>
      <c r="AY556"/>
      <c r="AZ556"/>
      <c r="BA556"/>
      <c r="BB556"/>
      <c r="BC556"/>
      <c r="BD556"/>
      <c r="BE556"/>
      <c r="BF556"/>
      <c r="BG556"/>
      <c r="BH556"/>
      <c r="BI556"/>
      <c r="BJ556"/>
      <c r="BK556"/>
      <c r="BL556"/>
      <c r="BM556"/>
      <c r="BN556"/>
      <c r="BO556"/>
      <c r="BP556"/>
      <c r="BQ556"/>
      <c r="BR556"/>
      <c r="BS556"/>
      <c r="BT556"/>
      <c r="BU556"/>
      <c r="BV556"/>
      <c r="BW556"/>
      <c r="BX556"/>
      <c r="BY556"/>
      <c r="BZ556"/>
      <c r="CA556"/>
      <c r="CB556"/>
      <c r="CC556"/>
    </row>
    <row r="557" spans="1:81" x14ac:dyDescent="0.25">
      <c r="A557"/>
      <c r="B557"/>
      <c r="C557"/>
      <c r="D557"/>
      <c r="E557"/>
      <c r="F557"/>
      <c r="G557"/>
      <c r="H557"/>
      <c r="I557"/>
      <c r="J557"/>
      <c r="K557"/>
      <c r="L557"/>
      <c r="M557"/>
      <c r="N557"/>
      <c r="O557"/>
      <c r="P557"/>
      <c r="Q557"/>
      <c r="R557"/>
      <c r="S557"/>
      <c r="T557"/>
      <c r="U557"/>
      <c r="V557"/>
      <c r="W557"/>
      <c r="X557"/>
      <c r="Y557"/>
      <c r="Z557"/>
      <c r="AA557"/>
      <c r="AB557"/>
      <c r="AC557"/>
      <c r="AD557"/>
      <c r="AE557"/>
      <c r="AF557"/>
      <c r="AG557"/>
      <c r="AH557"/>
      <c r="AI557"/>
      <c r="AJ557"/>
      <c r="AK557"/>
      <c r="AL557"/>
      <c r="AM557"/>
      <c r="AN557"/>
      <c r="AO557"/>
      <c r="AP557"/>
      <c r="AQ557"/>
      <c r="AR557"/>
      <c r="AS557"/>
      <c r="AT557"/>
      <c r="AU557"/>
      <c r="AV557"/>
      <c r="AW557"/>
      <c r="AX557"/>
      <c r="AY557"/>
      <c r="AZ557"/>
      <c r="BA557"/>
      <c r="BB557"/>
      <c r="BC557"/>
      <c r="BD557"/>
      <c r="BE557"/>
      <c r="BF557"/>
      <c r="BG557"/>
      <c r="BH557"/>
      <c r="BI557"/>
      <c r="BJ557"/>
      <c r="BK557"/>
      <c r="BL557"/>
      <c r="BM557"/>
      <c r="BN557"/>
      <c r="BO557"/>
      <c r="BP557"/>
      <c r="BQ557"/>
      <c r="BR557"/>
      <c r="BS557"/>
      <c r="BT557"/>
      <c r="BU557"/>
      <c r="BV557"/>
      <c r="BW557"/>
      <c r="BX557"/>
      <c r="BY557"/>
      <c r="BZ557"/>
      <c r="CA557"/>
      <c r="CB557"/>
      <c r="CC557"/>
    </row>
    <row r="558" spans="1:81" x14ac:dyDescent="0.25">
      <c r="A558"/>
      <c r="B558"/>
      <c r="C558"/>
      <c r="D558"/>
      <c r="E558"/>
      <c r="F558"/>
      <c r="G558"/>
      <c r="H558"/>
      <c r="I558"/>
      <c r="J558"/>
      <c r="K558"/>
      <c r="L558"/>
      <c r="M558"/>
      <c r="N558"/>
      <c r="O558"/>
      <c r="P558"/>
      <c r="Q558"/>
      <c r="R558"/>
      <c r="S558"/>
      <c r="T558"/>
      <c r="U558"/>
      <c r="V558"/>
      <c r="W558"/>
      <c r="X558"/>
      <c r="Y558"/>
      <c r="Z558"/>
      <c r="AA558"/>
      <c r="AB558"/>
      <c r="AC558"/>
      <c r="AD558"/>
      <c r="AE558"/>
      <c r="AF558"/>
      <c r="AG558"/>
      <c r="AH558"/>
      <c r="AI558"/>
      <c r="AJ558"/>
      <c r="AK558"/>
      <c r="AL558"/>
      <c r="AM558"/>
      <c r="AN558"/>
      <c r="AO558"/>
      <c r="AP558"/>
      <c r="AQ558"/>
      <c r="AR558"/>
      <c r="AS558"/>
      <c r="AT558"/>
      <c r="AU558"/>
      <c r="AV558"/>
      <c r="AW558"/>
      <c r="AX558"/>
      <c r="AY558"/>
      <c r="AZ558"/>
      <c r="BA558"/>
      <c r="BB558"/>
      <c r="BC558"/>
      <c r="BD558"/>
      <c r="BE558"/>
      <c r="BF558"/>
      <c r="BG558"/>
      <c r="BH558"/>
      <c r="BI558"/>
      <c r="BJ558"/>
      <c r="BK558"/>
      <c r="BL558"/>
      <c r="BM558"/>
      <c r="BN558"/>
      <c r="BO558"/>
      <c r="BP558"/>
      <c r="BQ558"/>
      <c r="BR558"/>
      <c r="BS558"/>
      <c r="BT558"/>
      <c r="BU558"/>
      <c r="BV558"/>
      <c r="BW558"/>
      <c r="BX558"/>
      <c r="BY558"/>
      <c r="BZ558"/>
      <c r="CA558"/>
      <c r="CB558"/>
      <c r="CC558"/>
    </row>
    <row r="559" spans="1:81" x14ac:dyDescent="0.25">
      <c r="A559"/>
      <c r="B559"/>
      <c r="C559"/>
      <c r="D559"/>
      <c r="E559"/>
      <c r="F559"/>
      <c r="G559"/>
      <c r="H559"/>
      <c r="I559"/>
      <c r="J559"/>
      <c r="K559"/>
      <c r="L559"/>
      <c r="M559"/>
      <c r="N559"/>
      <c r="O559"/>
      <c r="P559"/>
      <c r="Q559"/>
      <c r="R559"/>
      <c r="S559"/>
      <c r="T559"/>
      <c r="U559"/>
      <c r="V559"/>
      <c r="W559"/>
      <c r="X559"/>
      <c r="Y559"/>
      <c r="Z559"/>
      <c r="AA559"/>
      <c r="AB559"/>
      <c r="AC559"/>
      <c r="AD559"/>
      <c r="AE559"/>
      <c r="AF559"/>
      <c r="AG559"/>
      <c r="AH559"/>
      <c r="AI559"/>
      <c r="AJ559"/>
      <c r="AK559"/>
      <c r="AL559"/>
      <c r="AM559"/>
      <c r="AN559"/>
      <c r="AO559"/>
      <c r="AP559"/>
      <c r="AQ559"/>
      <c r="AR559"/>
      <c r="AS559"/>
      <c r="AT559"/>
      <c r="AU559"/>
      <c r="AV559"/>
      <c r="AW559"/>
      <c r="AX559"/>
      <c r="AY559"/>
      <c r="AZ559"/>
      <c r="BA559"/>
      <c r="BB559"/>
      <c r="BC559"/>
      <c r="BD559"/>
      <c r="BE559"/>
      <c r="BF559"/>
      <c r="BG559"/>
      <c r="BH559"/>
      <c r="BI559"/>
      <c r="BJ559"/>
      <c r="BK559"/>
      <c r="BL559"/>
      <c r="BM559"/>
      <c r="BN559"/>
      <c r="BO559"/>
      <c r="BP559"/>
      <c r="BQ559"/>
      <c r="BR559"/>
      <c r="BS559"/>
      <c r="BT559"/>
      <c r="BU559"/>
      <c r="BV559"/>
      <c r="BW559"/>
      <c r="BX559"/>
      <c r="BY559"/>
      <c r="BZ559"/>
      <c r="CA559"/>
      <c r="CB559"/>
      <c r="CC559"/>
    </row>
    <row r="560" spans="1:81" x14ac:dyDescent="0.25">
      <c r="A560"/>
      <c r="B560"/>
      <c r="C560"/>
      <c r="D560"/>
      <c r="E560"/>
      <c r="F560"/>
      <c r="G560"/>
      <c r="H560"/>
      <c r="I560"/>
      <c r="J560"/>
      <c r="K560"/>
      <c r="L560"/>
      <c r="M560"/>
      <c r="N560"/>
      <c r="O560"/>
      <c r="P560"/>
      <c r="Q560"/>
      <c r="R560"/>
      <c r="S560"/>
      <c r="T560"/>
      <c r="U560"/>
      <c r="V560"/>
      <c r="W560"/>
      <c r="X560"/>
      <c r="Y560"/>
      <c r="Z560"/>
      <c r="AA560"/>
      <c r="AB560"/>
      <c r="AC560"/>
      <c r="AD560"/>
      <c r="AE560"/>
      <c r="AF560"/>
      <c r="AG560"/>
      <c r="AH560"/>
      <c r="AI560"/>
      <c r="AJ560"/>
      <c r="AK560"/>
      <c r="AL560"/>
      <c r="AM560"/>
      <c r="AN560"/>
      <c r="AO560"/>
      <c r="AP560"/>
      <c r="AQ560"/>
      <c r="AR560"/>
      <c r="AS560"/>
      <c r="AT560"/>
      <c r="AU560"/>
      <c r="AV560"/>
      <c r="AW560"/>
      <c r="AX560"/>
      <c r="AY560"/>
      <c r="AZ560"/>
      <c r="BA560"/>
      <c r="BB560"/>
      <c r="BC560"/>
      <c r="BD560"/>
      <c r="BE560"/>
      <c r="BF560"/>
      <c r="BG560"/>
      <c r="BH560"/>
      <c r="BI560"/>
      <c r="BJ560"/>
      <c r="BK560"/>
      <c r="BL560"/>
      <c r="BM560"/>
      <c r="BN560"/>
      <c r="BO560"/>
      <c r="BP560"/>
      <c r="BQ560"/>
      <c r="BR560"/>
      <c r="BS560"/>
      <c r="BT560"/>
      <c r="BU560"/>
      <c r="BV560"/>
      <c r="BW560"/>
      <c r="BX560"/>
      <c r="BY560"/>
      <c r="BZ560"/>
      <c r="CA560"/>
      <c r="CB560"/>
      <c r="CC560"/>
    </row>
    <row r="561" spans="1:81" x14ac:dyDescent="0.25">
      <c r="A561"/>
      <c r="B561"/>
      <c r="C561"/>
      <c r="D561"/>
      <c r="E561"/>
      <c r="F561"/>
      <c r="G561"/>
      <c r="H561"/>
      <c r="I561"/>
      <c r="J561"/>
      <c r="K561"/>
      <c r="L561"/>
      <c r="M561"/>
      <c r="N561"/>
      <c r="O561"/>
      <c r="P561"/>
      <c r="Q561"/>
      <c r="R561"/>
      <c r="S561"/>
      <c r="T561"/>
      <c r="U561"/>
      <c r="V561"/>
      <c r="W561"/>
      <c r="X561"/>
      <c r="Y561"/>
      <c r="Z561"/>
      <c r="AA561"/>
      <c r="AB561"/>
      <c r="AC561"/>
      <c r="AD561"/>
      <c r="AE561"/>
      <c r="AF561"/>
      <c r="AG561"/>
      <c r="AH561"/>
      <c r="AI561"/>
      <c r="AJ561"/>
      <c r="AK561"/>
      <c r="AL561"/>
      <c r="AM561"/>
      <c r="AN561"/>
      <c r="AO561"/>
      <c r="AP561"/>
      <c r="AQ561"/>
      <c r="AR561"/>
      <c r="AS561"/>
      <c r="AT561"/>
      <c r="AU561"/>
      <c r="AV561"/>
      <c r="AW561"/>
      <c r="AX561"/>
      <c r="AY561"/>
      <c r="AZ561"/>
      <c r="BA561"/>
      <c r="BB561"/>
      <c r="BC561"/>
      <c r="BD561"/>
      <c r="BE561"/>
      <c r="BF561"/>
      <c r="BG561"/>
      <c r="BH561"/>
      <c r="BI561"/>
      <c r="BJ561"/>
      <c r="BK561"/>
      <c r="BL561"/>
      <c r="BM561"/>
      <c r="BN561"/>
      <c r="BO561"/>
      <c r="BP561"/>
      <c r="BQ561"/>
      <c r="BR561"/>
      <c r="BS561"/>
      <c r="BT561"/>
      <c r="BU561"/>
      <c r="BV561"/>
      <c r="BW561"/>
      <c r="BX561"/>
      <c r="BY561"/>
      <c r="BZ561"/>
      <c r="CA561"/>
      <c r="CB561"/>
      <c r="CC561"/>
    </row>
    <row r="562" spans="1:81" x14ac:dyDescent="0.25">
      <c r="A562"/>
      <c r="B562"/>
      <c r="C562"/>
      <c r="D562"/>
      <c r="E562"/>
      <c r="F562"/>
      <c r="G562"/>
      <c r="H562"/>
      <c r="I562"/>
      <c r="J562"/>
      <c r="K562"/>
      <c r="L562"/>
      <c r="M562"/>
      <c r="N562"/>
      <c r="O562"/>
      <c r="P562"/>
      <c r="Q562"/>
      <c r="R562"/>
      <c r="S562"/>
      <c r="T562"/>
      <c r="U562"/>
      <c r="V562"/>
      <c r="W562"/>
      <c r="X562"/>
      <c r="Y562"/>
      <c r="Z562"/>
      <c r="AA562"/>
      <c r="AB562"/>
      <c r="AC562"/>
      <c r="AD562"/>
      <c r="AE562"/>
      <c r="AF562"/>
      <c r="AG562"/>
      <c r="AH562"/>
      <c r="AI562"/>
      <c r="AJ562"/>
      <c r="AK562"/>
      <c r="AL562"/>
      <c r="AM562"/>
      <c r="AN562"/>
      <c r="AO562"/>
      <c r="AP562"/>
      <c r="AQ562"/>
      <c r="AR562"/>
      <c r="AS562"/>
      <c r="AT562"/>
      <c r="AU562"/>
      <c r="AV562"/>
      <c r="AW562"/>
      <c r="AX562"/>
      <c r="AY562"/>
      <c r="AZ562"/>
      <c r="BA562"/>
      <c r="BB562"/>
      <c r="BC562"/>
      <c r="BD562"/>
      <c r="BE562"/>
      <c r="BF562"/>
      <c r="BG562"/>
      <c r="BH562"/>
      <c r="BI562"/>
      <c r="BJ562"/>
      <c r="BK562"/>
      <c r="BL562"/>
      <c r="BM562"/>
      <c r="BN562"/>
      <c r="BO562"/>
      <c r="BP562"/>
      <c r="BQ562"/>
      <c r="BR562"/>
      <c r="BS562"/>
      <c r="BT562"/>
      <c r="BU562"/>
      <c r="BV562"/>
      <c r="BW562"/>
      <c r="BX562"/>
      <c r="BY562"/>
      <c r="BZ562"/>
      <c r="CA562"/>
      <c r="CB562"/>
      <c r="CC562"/>
    </row>
    <row r="563" spans="1:81" x14ac:dyDescent="0.25">
      <c r="A563"/>
      <c r="B563"/>
      <c r="C563"/>
      <c r="D563"/>
      <c r="E563"/>
      <c r="F563"/>
      <c r="G563"/>
      <c r="H563"/>
      <c r="I563"/>
      <c r="J563"/>
      <c r="K563"/>
      <c r="L563"/>
      <c r="M563"/>
      <c r="N563"/>
      <c r="O563"/>
      <c r="P563"/>
      <c r="Q563"/>
      <c r="R563"/>
      <c r="S563"/>
      <c r="T563"/>
      <c r="U563"/>
      <c r="V563"/>
      <c r="W563"/>
      <c r="X563"/>
      <c r="Y563"/>
      <c r="Z563"/>
      <c r="AA563"/>
      <c r="AB563"/>
      <c r="AC563"/>
      <c r="AD563"/>
      <c r="AE563"/>
      <c r="AF563"/>
      <c r="AG563"/>
      <c r="AH563"/>
      <c r="AI563"/>
      <c r="AJ563"/>
      <c r="AK563"/>
      <c r="AL563"/>
      <c r="AM563"/>
      <c r="AN563"/>
      <c r="AO563"/>
      <c r="AP563"/>
      <c r="AQ563"/>
      <c r="AR563"/>
      <c r="AS563"/>
      <c r="AT563"/>
      <c r="AU563"/>
      <c r="AV563"/>
      <c r="AW563"/>
      <c r="AX563"/>
      <c r="AY563"/>
      <c r="AZ563"/>
      <c r="BA563"/>
      <c r="BB563"/>
      <c r="BC563"/>
      <c r="BD563"/>
      <c r="BE563"/>
      <c r="BF563"/>
      <c r="BG563"/>
      <c r="BH563"/>
      <c r="BI563"/>
      <c r="BJ563"/>
      <c r="BK563"/>
      <c r="BL563"/>
      <c r="BM563"/>
      <c r="BN563"/>
      <c r="BO563"/>
      <c r="BP563"/>
      <c r="BQ563"/>
      <c r="BR563"/>
      <c r="BS563"/>
      <c r="BT563"/>
      <c r="BU563"/>
      <c r="BV563"/>
      <c r="BW563"/>
      <c r="BX563"/>
      <c r="BY563"/>
      <c r="BZ563"/>
      <c r="CA563"/>
      <c r="CB563"/>
      <c r="CC563"/>
    </row>
    <row r="564" spans="1:81" x14ac:dyDescent="0.25">
      <c r="A564"/>
      <c r="B564"/>
      <c r="C564"/>
      <c r="D564"/>
      <c r="E564"/>
      <c r="F564"/>
      <c r="G564"/>
      <c r="H564"/>
      <c r="I564"/>
      <c r="J564"/>
      <c r="K564"/>
      <c r="L564"/>
      <c r="M564"/>
      <c r="N564"/>
      <c r="O564"/>
      <c r="P564"/>
      <c r="Q564"/>
      <c r="R564"/>
      <c r="S564"/>
      <c r="T564"/>
      <c r="U564"/>
      <c r="V564"/>
      <c r="W564"/>
      <c r="X564"/>
      <c r="Y564"/>
      <c r="Z564"/>
      <c r="AA564"/>
      <c r="AB564"/>
      <c r="AC564"/>
      <c r="AD564"/>
      <c r="AE564"/>
      <c r="AF564"/>
      <c r="AG564"/>
      <c r="AH564"/>
      <c r="AI564"/>
      <c r="AJ564"/>
      <c r="AK564"/>
      <c r="AL564"/>
      <c r="AM564"/>
      <c r="AN564"/>
      <c r="AO564"/>
      <c r="AP564"/>
      <c r="AQ564"/>
      <c r="AR564"/>
      <c r="AS564"/>
      <c r="AT564"/>
      <c r="AU564"/>
      <c r="AV564"/>
      <c r="AW564"/>
      <c r="AX564"/>
      <c r="AY564"/>
      <c r="AZ564"/>
      <c r="BA564"/>
      <c r="BB564"/>
      <c r="BC564"/>
      <c r="BD564"/>
      <c r="BE564"/>
      <c r="BF564"/>
      <c r="BG564"/>
      <c r="BH564"/>
      <c r="BI564"/>
      <c r="BJ564"/>
      <c r="BK564"/>
      <c r="BL564"/>
      <c r="BM564"/>
      <c r="BN564"/>
      <c r="BO564"/>
      <c r="BP564"/>
      <c r="BQ564"/>
      <c r="BR564"/>
      <c r="BS564"/>
      <c r="BT564"/>
      <c r="BU564"/>
      <c r="BV564"/>
      <c r="BW564"/>
      <c r="BX564"/>
      <c r="BY564"/>
      <c r="BZ564"/>
      <c r="CA564"/>
      <c r="CB564"/>
      <c r="CC564"/>
    </row>
    <row r="565" spans="1:81" x14ac:dyDescent="0.25">
      <c r="A565"/>
      <c r="B565"/>
      <c r="C565"/>
      <c r="D565"/>
      <c r="E565"/>
      <c r="F565"/>
      <c r="G565"/>
      <c r="H565"/>
      <c r="I565"/>
      <c r="J565"/>
      <c r="K565"/>
      <c r="L565"/>
      <c r="M565"/>
      <c r="N565"/>
      <c r="O565"/>
      <c r="P565"/>
      <c r="Q565"/>
      <c r="R565"/>
      <c r="S565"/>
      <c r="T565"/>
      <c r="U565"/>
      <c r="V565"/>
      <c r="W565"/>
      <c r="X565"/>
      <c r="Y565"/>
      <c r="Z565"/>
      <c r="AA565"/>
      <c r="AB565"/>
      <c r="AC565"/>
      <c r="AD565"/>
      <c r="AE565"/>
      <c r="AF565"/>
      <c r="AG565"/>
      <c r="AH565"/>
      <c r="AI565"/>
      <c r="AJ565"/>
      <c r="AK565"/>
      <c r="AL565"/>
      <c r="AM565"/>
      <c r="AN565"/>
      <c r="AO565"/>
      <c r="AP565"/>
      <c r="AQ565"/>
      <c r="AR565"/>
      <c r="AS565"/>
      <c r="AT565"/>
      <c r="AU565"/>
      <c r="AV565"/>
      <c r="AW565"/>
      <c r="AX565"/>
      <c r="AY565"/>
      <c r="AZ565"/>
      <c r="BA565"/>
      <c r="BB565"/>
      <c r="BC565"/>
      <c r="BD565"/>
      <c r="BE565"/>
      <c r="BF565"/>
      <c r="BG565"/>
      <c r="BH565"/>
      <c r="BI565"/>
      <c r="BJ565"/>
      <c r="BK565"/>
      <c r="BL565"/>
      <c r="BM565"/>
      <c r="BN565"/>
      <c r="BO565"/>
      <c r="BP565"/>
      <c r="BQ565"/>
      <c r="BR565"/>
      <c r="BS565"/>
      <c r="BT565"/>
      <c r="BU565"/>
      <c r="BV565"/>
      <c r="BW565"/>
      <c r="BX565"/>
      <c r="BY565"/>
      <c r="BZ565"/>
      <c r="CA565"/>
      <c r="CB565"/>
      <c r="CC565"/>
    </row>
    <row r="566" spans="1:81" x14ac:dyDescent="0.25">
      <c r="A566"/>
      <c r="B566"/>
      <c r="C566"/>
      <c r="D566"/>
      <c r="E566"/>
      <c r="F566"/>
      <c r="G566"/>
      <c r="H566"/>
      <c r="I566"/>
      <c r="J566"/>
      <c r="K566"/>
      <c r="L566"/>
      <c r="M566"/>
      <c r="N566"/>
      <c r="O566"/>
      <c r="P566"/>
      <c r="Q566"/>
      <c r="R566"/>
      <c r="S566"/>
      <c r="T566"/>
      <c r="U566"/>
      <c r="V566"/>
      <c r="W566"/>
      <c r="X566"/>
      <c r="Y566"/>
      <c r="Z566"/>
      <c r="AA566"/>
      <c r="AB566"/>
      <c r="AC566"/>
      <c r="AD566"/>
      <c r="AE566"/>
      <c r="AF566"/>
      <c r="AG566"/>
      <c r="AH566"/>
      <c r="AI566"/>
      <c r="AJ566"/>
      <c r="AK566"/>
      <c r="AL566"/>
      <c r="AM566"/>
      <c r="AN566"/>
      <c r="AO566"/>
      <c r="AP566"/>
      <c r="AQ566"/>
      <c r="AR566"/>
      <c r="AS566"/>
      <c r="AT566"/>
      <c r="AU566"/>
      <c r="AV566"/>
      <c r="AW566"/>
      <c r="AX566"/>
      <c r="AY566"/>
      <c r="AZ566"/>
      <c r="BA566"/>
      <c r="BB566"/>
      <c r="BC566"/>
      <c r="BD566"/>
      <c r="BE566"/>
      <c r="BF566"/>
      <c r="BG566"/>
      <c r="BH566"/>
      <c r="BI566"/>
      <c r="BJ566"/>
      <c r="BK566"/>
      <c r="BL566"/>
      <c r="BM566"/>
      <c r="BN566"/>
      <c r="BO566"/>
      <c r="BP566"/>
      <c r="BQ566"/>
      <c r="BR566"/>
      <c r="BS566"/>
      <c r="BT566"/>
      <c r="BU566"/>
      <c r="BV566"/>
      <c r="BW566"/>
      <c r="BX566"/>
      <c r="BY566"/>
      <c r="BZ566"/>
      <c r="CA566"/>
      <c r="CB566"/>
      <c r="CC566"/>
    </row>
    <row r="567" spans="1:81" x14ac:dyDescent="0.25">
      <c r="A567"/>
      <c r="B567"/>
      <c r="C567"/>
      <c r="D567"/>
      <c r="E567"/>
      <c r="F567"/>
      <c r="G567"/>
      <c r="H567"/>
      <c r="I567"/>
      <c r="J567"/>
      <c r="K567"/>
      <c r="L567"/>
      <c r="M567"/>
      <c r="N567"/>
      <c r="O567"/>
      <c r="P567"/>
      <c r="Q567"/>
      <c r="R567"/>
      <c r="S567"/>
      <c r="T567"/>
      <c r="U567"/>
      <c r="V567"/>
      <c r="W567"/>
      <c r="X567"/>
      <c r="Y567"/>
      <c r="Z567"/>
      <c r="AA567"/>
      <c r="AB567"/>
      <c r="AC567"/>
      <c r="AD567"/>
      <c r="AE567"/>
      <c r="AF567"/>
      <c r="AG567"/>
      <c r="AH567"/>
      <c r="AI567"/>
      <c r="AJ567"/>
      <c r="AK567"/>
      <c r="AL567"/>
      <c r="AM567"/>
      <c r="AN567"/>
      <c r="AO567"/>
      <c r="AP567"/>
      <c r="AQ567"/>
      <c r="AR567"/>
      <c r="AS567"/>
      <c r="AT567"/>
      <c r="AU567"/>
      <c r="AV567"/>
      <c r="AW567"/>
      <c r="AX567"/>
      <c r="AY567"/>
      <c r="AZ567"/>
      <c r="BA567"/>
      <c r="BB567"/>
      <c r="BC567"/>
      <c r="BD567"/>
      <c r="BE567"/>
      <c r="BF567"/>
      <c r="BG567"/>
      <c r="BH567"/>
      <c r="BI567"/>
      <c r="BJ567"/>
      <c r="BK567"/>
      <c r="BL567"/>
      <c r="BM567"/>
      <c r="BN567"/>
      <c r="BO567"/>
      <c r="BP567"/>
      <c r="BQ567"/>
      <c r="BR567"/>
      <c r="BS567"/>
      <c r="BT567"/>
      <c r="BU567"/>
      <c r="BV567"/>
      <c r="BW567"/>
      <c r="BX567"/>
      <c r="BY567"/>
      <c r="BZ567"/>
      <c r="CA567"/>
      <c r="CB567"/>
      <c r="CC567"/>
    </row>
    <row r="568" spans="1:81" x14ac:dyDescent="0.25">
      <c r="A568"/>
      <c r="B568"/>
      <c r="C568"/>
      <c r="D568"/>
      <c r="E568"/>
      <c r="F568"/>
      <c r="G568"/>
      <c r="H568"/>
      <c r="I568"/>
      <c r="J568"/>
      <c r="K568"/>
      <c r="L568"/>
      <c r="M568"/>
      <c r="N568"/>
      <c r="O568"/>
      <c r="P568"/>
      <c r="Q568"/>
      <c r="R568"/>
      <c r="S568"/>
      <c r="T568"/>
      <c r="U568"/>
      <c r="V568"/>
      <c r="W568"/>
      <c r="X568"/>
      <c r="Y568"/>
      <c r="Z568"/>
      <c r="AA568"/>
      <c r="AB568"/>
      <c r="AC568"/>
      <c r="AD568"/>
      <c r="AE568"/>
      <c r="AF568"/>
      <c r="AG568"/>
      <c r="AH568"/>
      <c r="AI568"/>
      <c r="AJ568"/>
      <c r="AK568"/>
      <c r="AL568"/>
      <c r="AM568"/>
      <c r="AN568"/>
      <c r="AO568"/>
      <c r="AP568"/>
      <c r="AQ568"/>
      <c r="AR568"/>
      <c r="AS568"/>
      <c r="AT568"/>
      <c r="AU568"/>
      <c r="AV568"/>
      <c r="AW568"/>
      <c r="AX568"/>
      <c r="AY568"/>
      <c r="AZ568"/>
      <c r="BA568"/>
      <c r="BB568"/>
      <c r="BC568"/>
      <c r="BD568"/>
      <c r="BE568"/>
      <c r="BF568"/>
      <c r="BG568"/>
      <c r="BH568"/>
      <c r="BI568"/>
      <c r="BJ568"/>
      <c r="BK568"/>
      <c r="BL568"/>
      <c r="BM568"/>
      <c r="BN568"/>
      <c r="BO568"/>
      <c r="BP568"/>
      <c r="BQ568"/>
      <c r="BR568"/>
      <c r="BS568"/>
      <c r="BT568"/>
      <c r="BU568"/>
      <c r="BV568"/>
      <c r="BW568"/>
      <c r="BX568"/>
      <c r="BY568"/>
      <c r="BZ568"/>
      <c r="CA568"/>
      <c r="CB568"/>
      <c r="CC568"/>
    </row>
    <row r="569" spans="1:81" x14ac:dyDescent="0.25">
      <c r="A569"/>
      <c r="B569"/>
      <c r="C569"/>
      <c r="D569"/>
      <c r="E569"/>
      <c r="F569"/>
      <c r="G569"/>
      <c r="H569"/>
      <c r="I569"/>
      <c r="J569"/>
      <c r="K569"/>
      <c r="L569"/>
      <c r="M569"/>
      <c r="N569"/>
      <c r="O569"/>
      <c r="P569"/>
      <c r="Q569"/>
      <c r="R569"/>
      <c r="S569"/>
      <c r="T569"/>
      <c r="U569"/>
      <c r="V569"/>
      <c r="W569"/>
      <c r="X569"/>
      <c r="Y569"/>
      <c r="Z569"/>
      <c r="AA569"/>
      <c r="AB569"/>
      <c r="AC569"/>
      <c r="AD569"/>
      <c r="AE569"/>
      <c r="AF569"/>
      <c r="AG569"/>
      <c r="AH569"/>
      <c r="AI569"/>
      <c r="AJ569"/>
      <c r="AK569"/>
      <c r="AL569"/>
      <c r="AM569"/>
      <c r="AN569"/>
      <c r="AO569"/>
      <c r="AP569"/>
      <c r="AQ569"/>
      <c r="AR569"/>
      <c r="AS569"/>
      <c r="AT569"/>
      <c r="AU569"/>
      <c r="AV569"/>
      <c r="AW569"/>
      <c r="AX569"/>
      <c r="AY569"/>
      <c r="AZ569"/>
      <c r="BA569"/>
      <c r="BB569"/>
      <c r="BC569"/>
      <c r="BD569"/>
      <c r="BE569"/>
      <c r="BF569"/>
      <c r="BG569"/>
      <c r="BH569"/>
      <c r="BI569"/>
      <c r="BJ569"/>
      <c r="BK569"/>
      <c r="BL569"/>
      <c r="BM569"/>
      <c r="BN569"/>
      <c r="BO569"/>
      <c r="BP569"/>
      <c r="BQ569"/>
      <c r="BR569"/>
      <c r="BS569"/>
      <c r="BT569"/>
      <c r="BU569"/>
      <c r="BV569"/>
      <c r="BW569"/>
      <c r="BX569"/>
      <c r="BY569"/>
      <c r="BZ569"/>
      <c r="CA569"/>
      <c r="CB569"/>
      <c r="CC569"/>
    </row>
    <row r="570" spans="1:81" x14ac:dyDescent="0.25">
      <c r="A570"/>
      <c r="B570"/>
      <c r="C570"/>
      <c r="D570"/>
      <c r="E570"/>
      <c r="F570"/>
      <c r="G570"/>
      <c r="H570"/>
      <c r="I570"/>
      <c r="J570"/>
      <c r="K570"/>
      <c r="L570"/>
      <c r="M570"/>
      <c r="N570"/>
      <c r="O570"/>
      <c r="P570"/>
      <c r="Q570"/>
      <c r="R570"/>
      <c r="S570"/>
      <c r="T570"/>
      <c r="U570"/>
      <c r="V570"/>
      <c r="W570"/>
      <c r="X570"/>
      <c r="Y570"/>
      <c r="Z570"/>
      <c r="AA570"/>
      <c r="AB570"/>
      <c r="AC570"/>
      <c r="AD570"/>
      <c r="AE570"/>
      <c r="AF570"/>
      <c r="AG570"/>
      <c r="AH570"/>
      <c r="AI570"/>
      <c r="AJ570"/>
      <c r="AK570"/>
      <c r="AL570"/>
      <c r="AM570"/>
      <c r="AN570"/>
      <c r="AO570"/>
      <c r="AP570"/>
      <c r="AQ570"/>
      <c r="AR570"/>
      <c r="AS570"/>
      <c r="AT570"/>
      <c r="AU570"/>
      <c r="AV570"/>
      <c r="AW570"/>
      <c r="AX570"/>
      <c r="AY570"/>
      <c r="AZ570"/>
      <c r="BA570"/>
      <c r="BB570"/>
      <c r="BC570"/>
      <c r="BD570"/>
      <c r="BE570"/>
      <c r="BF570"/>
      <c r="BG570"/>
      <c r="BH570"/>
      <c r="BI570"/>
      <c r="BJ570"/>
      <c r="BK570"/>
      <c r="BL570"/>
      <c r="BM570"/>
      <c r="BN570"/>
      <c r="BO570"/>
      <c r="BP570"/>
      <c r="BQ570"/>
      <c r="BR570"/>
      <c r="BS570"/>
      <c r="BT570"/>
      <c r="BU570"/>
      <c r="BV570"/>
      <c r="BW570"/>
      <c r="BX570"/>
      <c r="BY570"/>
      <c r="BZ570"/>
      <c r="CA570"/>
      <c r="CB570"/>
      <c r="CC570"/>
    </row>
    <row r="571" spans="1:81" x14ac:dyDescent="0.25">
      <c r="A571"/>
      <c r="B571"/>
      <c r="C571"/>
      <c r="D571"/>
      <c r="E571"/>
      <c r="F571"/>
      <c r="G571"/>
      <c r="H571"/>
      <c r="I571"/>
      <c r="J571"/>
      <c r="K571"/>
      <c r="L571"/>
      <c r="M571"/>
      <c r="N571"/>
      <c r="O571"/>
      <c r="P571"/>
      <c r="Q571"/>
      <c r="R571"/>
      <c r="S571"/>
      <c r="T571"/>
      <c r="U571"/>
      <c r="V571"/>
      <c r="W571"/>
      <c r="X571"/>
      <c r="Y571"/>
      <c r="Z571"/>
      <c r="AA571"/>
      <c r="AB571"/>
      <c r="AC571"/>
      <c r="AD571"/>
      <c r="AE571"/>
      <c r="AF571"/>
      <c r="AG571"/>
      <c r="AH571"/>
      <c r="AI571"/>
      <c r="AJ571"/>
      <c r="AK571"/>
      <c r="AL571"/>
      <c r="AM571"/>
      <c r="AN571"/>
      <c r="AO571"/>
      <c r="AP571"/>
      <c r="AQ571"/>
      <c r="AR571"/>
      <c r="AS571"/>
      <c r="AT571"/>
      <c r="AU571"/>
      <c r="AV571"/>
      <c r="AW571"/>
      <c r="AX571"/>
      <c r="AY571"/>
      <c r="AZ571"/>
      <c r="BA571"/>
      <c r="BB571"/>
      <c r="BC571"/>
      <c r="BD571"/>
      <c r="BE571"/>
      <c r="BF571"/>
      <c r="BG571"/>
      <c r="BH571"/>
      <c r="BI571"/>
      <c r="BJ571"/>
      <c r="BK571"/>
      <c r="BL571"/>
      <c r="BM571"/>
      <c r="BN571"/>
      <c r="BO571"/>
      <c r="BP571"/>
      <c r="BQ571"/>
      <c r="BR571"/>
      <c r="BS571"/>
      <c r="BT571"/>
      <c r="BU571"/>
      <c r="BV571"/>
      <c r="BW571"/>
      <c r="BX571"/>
      <c r="BY571"/>
      <c r="BZ571"/>
      <c r="CA571"/>
      <c r="CB571"/>
      <c r="CC571"/>
    </row>
    <row r="572" spans="1:81" x14ac:dyDescent="0.25">
      <c r="A572"/>
      <c r="B572"/>
      <c r="C572"/>
      <c r="D572"/>
      <c r="E572"/>
      <c r="F572"/>
      <c r="G572"/>
      <c r="H572"/>
      <c r="I572"/>
      <c r="J572"/>
      <c r="K572"/>
      <c r="L572"/>
      <c r="M572"/>
      <c r="N572"/>
      <c r="O572"/>
      <c r="P572"/>
      <c r="Q572"/>
      <c r="R572"/>
      <c r="S572"/>
      <c r="T572"/>
      <c r="U572"/>
      <c r="V572"/>
      <c r="W572"/>
      <c r="X572"/>
      <c r="Y572"/>
      <c r="Z572"/>
      <c r="AA572"/>
      <c r="AB572"/>
      <c r="AC572"/>
      <c r="AD572"/>
      <c r="AE572"/>
      <c r="AF572"/>
      <c r="AG572"/>
      <c r="AH572"/>
      <c r="AI572"/>
      <c r="AJ572"/>
      <c r="AK572"/>
      <c r="AL572"/>
      <c r="AM572"/>
      <c r="AN572"/>
      <c r="AO572"/>
      <c r="AP572"/>
      <c r="AQ572"/>
      <c r="AR572"/>
      <c r="AS572"/>
      <c r="AT572"/>
      <c r="AU572"/>
      <c r="AV572"/>
      <c r="AW572"/>
      <c r="AX572"/>
      <c r="AY572"/>
      <c r="AZ572"/>
      <c r="BA572"/>
      <c r="BB572"/>
      <c r="BC572"/>
      <c r="BD572"/>
      <c r="BE572"/>
      <c r="BF572"/>
      <c r="BG572"/>
      <c r="BH572"/>
      <c r="BI572"/>
      <c r="BJ572"/>
      <c r="BK572"/>
      <c r="BL572"/>
      <c r="BM572"/>
      <c r="BN572"/>
      <c r="BO572"/>
      <c r="BP572"/>
      <c r="BQ572"/>
      <c r="BR572"/>
      <c r="BS572"/>
      <c r="BT572"/>
      <c r="BU572"/>
      <c r="BV572"/>
      <c r="BW572"/>
      <c r="BX572"/>
      <c r="BY572"/>
      <c r="BZ572"/>
      <c r="CA572"/>
      <c r="CB572"/>
      <c r="CC572"/>
    </row>
    <row r="573" spans="1:81" x14ac:dyDescent="0.25">
      <c r="A573"/>
      <c r="B573"/>
      <c r="C573"/>
      <c r="D573"/>
      <c r="E573"/>
      <c r="F573"/>
      <c r="G573"/>
      <c r="H573"/>
      <c r="I573"/>
      <c r="J573"/>
      <c r="K573"/>
      <c r="L573"/>
      <c r="M573"/>
      <c r="N573"/>
      <c r="O573"/>
      <c r="P573"/>
      <c r="Q573"/>
      <c r="R573"/>
      <c r="S573"/>
      <c r="T573"/>
      <c r="U573"/>
      <c r="V573"/>
      <c r="W573"/>
      <c r="X573"/>
      <c r="Y573"/>
      <c r="Z573"/>
      <c r="AA573"/>
      <c r="AB573"/>
      <c r="AC573"/>
      <c r="AD573"/>
      <c r="AE573"/>
      <c r="AF573"/>
      <c r="AG573"/>
      <c r="AH573"/>
      <c r="AI573"/>
      <c r="AJ573"/>
      <c r="AK573"/>
      <c r="AL573"/>
      <c r="AM573"/>
      <c r="AN573"/>
      <c r="AO573"/>
      <c r="AP573"/>
      <c r="AQ573"/>
      <c r="AR573"/>
      <c r="AS573"/>
      <c r="AT573"/>
      <c r="AU573"/>
      <c r="AV573"/>
      <c r="AW573"/>
      <c r="AX573"/>
      <c r="AY573"/>
      <c r="AZ573"/>
      <c r="BA573"/>
      <c r="BB573"/>
      <c r="BC573"/>
      <c r="BD573"/>
      <c r="BE573"/>
      <c r="BF573"/>
      <c r="BG573"/>
      <c r="BH573"/>
      <c r="BI573"/>
      <c r="BJ573"/>
      <c r="BK573"/>
      <c r="BL573"/>
      <c r="BM573"/>
      <c r="BN573"/>
      <c r="BO573"/>
      <c r="BP573"/>
      <c r="BQ573"/>
      <c r="BR573"/>
      <c r="BS573"/>
      <c r="BT573"/>
      <c r="BU573"/>
      <c r="BV573"/>
      <c r="BW573"/>
      <c r="BX573"/>
      <c r="BY573"/>
      <c r="BZ573"/>
      <c r="CA573"/>
      <c r="CB573"/>
      <c r="CC573"/>
    </row>
    <row r="574" spans="1:81" x14ac:dyDescent="0.25">
      <c r="A574"/>
      <c r="B574"/>
      <c r="C574"/>
      <c r="D574"/>
      <c r="E574"/>
      <c r="F574"/>
      <c r="G574"/>
      <c r="H574"/>
      <c r="I574"/>
      <c r="J574"/>
      <c r="K574"/>
      <c r="L574"/>
      <c r="M574"/>
      <c r="N574"/>
      <c r="O574"/>
      <c r="P574"/>
      <c r="Q574"/>
      <c r="R574"/>
      <c r="S574"/>
      <c r="T574"/>
      <c r="U574"/>
      <c r="V574"/>
      <c r="W574"/>
      <c r="X574"/>
      <c r="Y574"/>
      <c r="Z574"/>
      <c r="AA574"/>
      <c r="AB574"/>
      <c r="AC574"/>
      <c r="AD574"/>
      <c r="AE574"/>
      <c r="AF574"/>
      <c r="AG574"/>
      <c r="AH574"/>
      <c r="AI574"/>
      <c r="AJ574"/>
      <c r="AK574"/>
      <c r="AL574"/>
      <c r="AM574"/>
      <c r="AN574"/>
      <c r="AO574"/>
      <c r="AP574"/>
      <c r="AQ574"/>
      <c r="AR574"/>
      <c r="AS574"/>
      <c r="AT574"/>
      <c r="AU574"/>
      <c r="AV574"/>
      <c r="AW574"/>
      <c r="AX574"/>
      <c r="AY574"/>
      <c r="AZ574"/>
      <c r="BA574"/>
      <c r="BB574"/>
      <c r="BC574"/>
      <c r="BD574"/>
      <c r="BE574"/>
      <c r="BF574"/>
      <c r="BG574"/>
      <c r="BH574"/>
      <c r="BI574"/>
      <c r="BJ574"/>
      <c r="BK574"/>
      <c r="BL574"/>
      <c r="BM574"/>
      <c r="BN574"/>
      <c r="BO574"/>
      <c r="BP574"/>
      <c r="BQ574"/>
      <c r="BR574"/>
      <c r="BS574"/>
      <c r="BT574"/>
      <c r="BU574"/>
      <c r="BV574"/>
      <c r="BW574"/>
      <c r="BX574"/>
      <c r="BY574"/>
      <c r="BZ574"/>
      <c r="CA574"/>
      <c r="CB574"/>
      <c r="CC574"/>
    </row>
    <row r="575" spans="1:81" x14ac:dyDescent="0.25">
      <c r="A575"/>
      <c r="B575"/>
      <c r="C575"/>
      <c r="D575"/>
      <c r="E575"/>
      <c r="F575"/>
      <c r="G575"/>
      <c r="H575"/>
      <c r="I575"/>
      <c r="J575"/>
      <c r="K575"/>
      <c r="L575"/>
      <c r="M575"/>
      <c r="N575"/>
      <c r="O575"/>
      <c r="P575"/>
      <c r="Q575"/>
      <c r="R575"/>
      <c r="S575"/>
      <c r="T575"/>
      <c r="U575"/>
      <c r="V575"/>
      <c r="W575"/>
      <c r="X575"/>
      <c r="Y575"/>
      <c r="Z575"/>
      <c r="AA575"/>
      <c r="AB575"/>
      <c r="AC575"/>
      <c r="AD575"/>
      <c r="AE575"/>
      <c r="AF575"/>
      <c r="AG575"/>
      <c r="AH575"/>
      <c r="AI575"/>
      <c r="AJ575"/>
      <c r="AK575"/>
      <c r="AL575"/>
      <c r="AM575"/>
      <c r="AN575"/>
      <c r="AO575"/>
      <c r="AP575"/>
      <c r="AQ575"/>
      <c r="AR575"/>
      <c r="AS575"/>
      <c r="AT575"/>
      <c r="AU575"/>
      <c r="AV575"/>
      <c r="AW575"/>
      <c r="AX575"/>
      <c r="AY575"/>
      <c r="AZ575"/>
      <c r="BA575"/>
      <c r="BB575"/>
      <c r="BC575"/>
      <c r="BD575"/>
      <c r="BE575"/>
      <c r="BF575"/>
      <c r="BG575"/>
      <c r="BH575"/>
      <c r="BI575"/>
      <c r="BJ575"/>
      <c r="BK575"/>
      <c r="BL575"/>
      <c r="BM575"/>
      <c r="BN575"/>
      <c r="BO575"/>
      <c r="BP575"/>
      <c r="BQ575"/>
      <c r="BR575"/>
      <c r="BS575"/>
      <c r="BT575"/>
      <c r="BU575"/>
      <c r="BV575"/>
      <c r="BW575"/>
      <c r="BX575"/>
      <c r="BY575"/>
      <c r="BZ575"/>
      <c r="CA575"/>
      <c r="CB575"/>
      <c r="CC575"/>
    </row>
    <row r="576" spans="1:81" x14ac:dyDescent="0.25">
      <c r="A576"/>
      <c r="B576"/>
      <c r="C576"/>
      <c r="D576"/>
      <c r="E576"/>
      <c r="F576"/>
      <c r="G576"/>
      <c r="H576"/>
      <c r="I576"/>
      <c r="J576"/>
      <c r="K576"/>
      <c r="L576"/>
      <c r="M576"/>
      <c r="N576"/>
      <c r="O576"/>
      <c r="P576"/>
      <c r="Q576"/>
      <c r="R576"/>
      <c r="S576"/>
      <c r="T576"/>
      <c r="U576"/>
      <c r="V576"/>
      <c r="W576"/>
      <c r="X576"/>
      <c r="Y576"/>
      <c r="Z576"/>
      <c r="AA576"/>
      <c r="AB576"/>
      <c r="AC576"/>
      <c r="AD576"/>
      <c r="AE576"/>
      <c r="AF576"/>
      <c r="AG576"/>
      <c r="AH576"/>
      <c r="AI576"/>
      <c r="AJ576"/>
      <c r="AK576"/>
      <c r="AL576"/>
      <c r="AM576"/>
      <c r="AN576"/>
      <c r="AO576"/>
      <c r="AP576"/>
      <c r="AQ576"/>
      <c r="AR576"/>
      <c r="AS576"/>
      <c r="AT576"/>
      <c r="AU576"/>
      <c r="AV576"/>
      <c r="AW576"/>
      <c r="AX576"/>
      <c r="AY576"/>
      <c r="AZ576"/>
      <c r="BA576"/>
      <c r="BB576"/>
      <c r="BC576"/>
      <c r="BD576"/>
      <c r="BE576"/>
      <c r="BF576"/>
      <c r="BG576"/>
      <c r="BH576"/>
      <c r="BI576"/>
      <c r="BJ576"/>
      <c r="BK576"/>
      <c r="BL576"/>
      <c r="BM576"/>
      <c r="BN576"/>
      <c r="BO576"/>
      <c r="BP576"/>
      <c r="BQ576"/>
      <c r="BR576"/>
      <c r="BS576"/>
      <c r="BT576"/>
      <c r="BU576"/>
      <c r="BV576"/>
      <c r="BW576"/>
      <c r="BX576"/>
      <c r="BY576"/>
      <c r="BZ576"/>
      <c r="CA576"/>
      <c r="CB576"/>
      <c r="CC576"/>
    </row>
    <row r="577" spans="1:81" x14ac:dyDescent="0.25">
      <c r="A577"/>
      <c r="B577"/>
      <c r="C577"/>
      <c r="D577"/>
      <c r="E577"/>
      <c r="F577"/>
      <c r="G577"/>
      <c r="H577"/>
      <c r="I577"/>
      <c r="J577"/>
      <c r="K577"/>
      <c r="L577"/>
      <c r="M577"/>
      <c r="N577"/>
      <c r="O577"/>
      <c r="P577"/>
      <c r="Q577"/>
      <c r="R577"/>
      <c r="S577"/>
      <c r="T577"/>
      <c r="U577"/>
      <c r="V577"/>
      <c r="W577"/>
      <c r="X577"/>
      <c r="Y577"/>
      <c r="Z577"/>
      <c r="AA577"/>
      <c r="AB577"/>
      <c r="AC577"/>
      <c r="AD577"/>
      <c r="AE577"/>
      <c r="AF577"/>
      <c r="AG577"/>
      <c r="AH577"/>
      <c r="AI577"/>
      <c r="AJ577"/>
      <c r="AK577"/>
      <c r="AL577"/>
      <c r="AM577"/>
      <c r="AN577"/>
      <c r="AO577"/>
      <c r="AP577"/>
      <c r="AQ577"/>
      <c r="AR577"/>
      <c r="AS577"/>
      <c r="AT577"/>
      <c r="AU577"/>
      <c r="AV577"/>
      <c r="AW577"/>
      <c r="AX577"/>
      <c r="AY577"/>
      <c r="AZ577"/>
      <c r="BA577"/>
      <c r="BB577"/>
      <c r="BC577"/>
      <c r="BD577"/>
      <c r="BE577"/>
      <c r="BF577"/>
      <c r="BG577"/>
      <c r="BH577"/>
      <c r="BI577"/>
      <c r="BJ577"/>
      <c r="BK577"/>
      <c r="BL577"/>
      <c r="BM577"/>
      <c r="BN577"/>
      <c r="BO577"/>
      <c r="BP577"/>
      <c r="BQ577"/>
      <c r="BR577"/>
      <c r="BS577"/>
      <c r="BT577"/>
      <c r="BU577"/>
      <c r="BV577"/>
      <c r="BW577"/>
      <c r="BX577"/>
      <c r="BY577"/>
      <c r="BZ577"/>
      <c r="CA577"/>
      <c r="CB577"/>
      <c r="CC577"/>
    </row>
    <row r="578" spans="1:81" x14ac:dyDescent="0.25">
      <c r="A578"/>
      <c r="B578"/>
      <c r="C578"/>
      <c r="D578"/>
      <c r="E578"/>
      <c r="F578"/>
      <c r="G578"/>
      <c r="H578"/>
      <c r="I578"/>
      <c r="J578"/>
      <c r="K578"/>
      <c r="L578"/>
      <c r="M578"/>
      <c r="N578"/>
      <c r="O578"/>
      <c r="P578"/>
      <c r="Q578"/>
      <c r="R578"/>
      <c r="S578"/>
      <c r="T578"/>
      <c r="U578"/>
      <c r="V578"/>
      <c r="W578"/>
      <c r="X578"/>
      <c r="Y578"/>
      <c r="Z578"/>
      <c r="AA578"/>
      <c r="AB578"/>
      <c r="AC578"/>
      <c r="AD578"/>
      <c r="AE578"/>
      <c r="AF578"/>
      <c r="AG578"/>
      <c r="AH578"/>
      <c r="AI578"/>
      <c r="AJ578"/>
      <c r="AK578"/>
      <c r="AL578"/>
      <c r="AM578"/>
      <c r="AN578"/>
      <c r="AO578"/>
      <c r="AP578"/>
      <c r="AQ578"/>
      <c r="AR578"/>
      <c r="AS578"/>
      <c r="AT578"/>
      <c r="AU578"/>
      <c r="AV578"/>
      <c r="AW578"/>
      <c r="AX578"/>
      <c r="AY578"/>
      <c r="AZ578"/>
      <c r="BA578"/>
      <c r="BB578"/>
      <c r="BC578"/>
      <c r="BD578"/>
      <c r="BE578"/>
      <c r="BF578"/>
      <c r="BG578"/>
      <c r="BH578"/>
      <c r="BI578"/>
      <c r="BJ578"/>
      <c r="BK578"/>
      <c r="BL578"/>
      <c r="BM578"/>
      <c r="BN578"/>
      <c r="BO578"/>
      <c r="BP578"/>
      <c r="BQ578"/>
      <c r="BR578"/>
      <c r="BS578"/>
      <c r="BT578"/>
      <c r="BU578"/>
      <c r="BV578"/>
      <c r="BW578"/>
      <c r="BX578"/>
      <c r="BY578"/>
      <c r="BZ578"/>
      <c r="CA578"/>
      <c r="CB578"/>
      <c r="CC578"/>
    </row>
    <row r="579" spans="1:81" x14ac:dyDescent="0.25">
      <c r="A579"/>
      <c r="B579"/>
      <c r="C579"/>
      <c r="D579"/>
      <c r="E579"/>
      <c r="F579"/>
      <c r="G579"/>
      <c r="H579"/>
      <c r="I579"/>
      <c r="J579"/>
      <c r="K579"/>
      <c r="L579"/>
      <c r="M579"/>
      <c r="N579"/>
      <c r="O579"/>
      <c r="P579"/>
      <c r="Q579"/>
      <c r="R579"/>
      <c r="S579"/>
      <c r="T579"/>
      <c r="U579"/>
      <c r="V579"/>
      <c r="W579"/>
      <c r="X579"/>
      <c r="Y579"/>
      <c r="Z579"/>
      <c r="AA579"/>
      <c r="AB579"/>
      <c r="AC579"/>
      <c r="AD579"/>
      <c r="AE579"/>
      <c r="AF579"/>
      <c r="AG579"/>
      <c r="AH579"/>
      <c r="AI579"/>
      <c r="AJ579"/>
      <c r="AK579"/>
      <c r="AL579"/>
      <c r="AM579"/>
      <c r="AN579"/>
      <c r="AO579"/>
      <c r="AP579"/>
      <c r="AQ579"/>
      <c r="AR579"/>
      <c r="AS579"/>
      <c r="AT579"/>
      <c r="AU579"/>
      <c r="AV579"/>
      <c r="AW579"/>
      <c r="AX579"/>
      <c r="AY579"/>
      <c r="AZ579"/>
      <c r="BA579"/>
      <c r="BB579"/>
      <c r="BC579"/>
      <c r="BD579"/>
      <c r="BE579"/>
      <c r="BF579"/>
      <c r="BG579"/>
      <c r="BH579"/>
      <c r="BI579"/>
      <c r="BJ579"/>
      <c r="BK579"/>
      <c r="BL579"/>
      <c r="BM579"/>
      <c r="BN579"/>
      <c r="BO579"/>
      <c r="BP579"/>
      <c r="BQ579"/>
      <c r="BR579"/>
      <c r="BS579"/>
      <c r="BT579"/>
      <c r="BU579"/>
      <c r="BV579"/>
      <c r="BW579"/>
      <c r="BX579"/>
      <c r="BY579"/>
      <c r="BZ579"/>
      <c r="CA579"/>
      <c r="CB579"/>
      <c r="CC579"/>
    </row>
    <row r="580" spans="1:81" x14ac:dyDescent="0.25">
      <c r="A580"/>
      <c r="B580"/>
      <c r="C580"/>
      <c r="D580"/>
      <c r="E580"/>
      <c r="F580"/>
      <c r="G580"/>
      <c r="H580"/>
      <c r="I580"/>
      <c r="J580"/>
      <c r="K580"/>
      <c r="L580"/>
      <c r="M580"/>
      <c r="N580"/>
      <c r="O580"/>
      <c r="P580"/>
      <c r="Q580"/>
      <c r="R580"/>
      <c r="S580"/>
      <c r="T580"/>
      <c r="U580"/>
      <c r="V580"/>
      <c r="W580"/>
      <c r="X580"/>
      <c r="Y580"/>
      <c r="Z580"/>
      <c r="AA580"/>
      <c r="AB580"/>
      <c r="AC580"/>
      <c r="AD580"/>
      <c r="AE580"/>
      <c r="AF580"/>
      <c r="AG580"/>
      <c r="AH580"/>
      <c r="AI580"/>
      <c r="AJ580"/>
      <c r="AK580"/>
      <c r="AL580"/>
      <c r="AM580"/>
      <c r="AN580"/>
      <c r="AO580"/>
      <c r="AP580"/>
      <c r="AQ580"/>
      <c r="AR580"/>
      <c r="AS580"/>
      <c r="AT580"/>
      <c r="AU580"/>
      <c r="AV580"/>
      <c r="AW580"/>
      <c r="AX580"/>
      <c r="AY580"/>
      <c r="AZ580"/>
      <c r="BA580"/>
      <c r="BB580"/>
      <c r="BC580"/>
      <c r="BD580"/>
      <c r="BE580"/>
      <c r="BF580"/>
      <c r="BG580"/>
      <c r="BH580"/>
      <c r="BI580"/>
      <c r="BJ580"/>
      <c r="BK580"/>
      <c r="BL580"/>
      <c r="BM580"/>
      <c r="BN580"/>
      <c r="BO580"/>
      <c r="BP580"/>
      <c r="BQ580"/>
      <c r="BR580"/>
      <c r="BS580"/>
      <c r="BT580"/>
      <c r="BU580"/>
      <c r="BV580"/>
      <c r="BW580"/>
      <c r="BX580"/>
      <c r="BY580"/>
      <c r="BZ580"/>
      <c r="CA580"/>
      <c r="CB580"/>
      <c r="CC580"/>
    </row>
    <row r="581" spans="1:81" x14ac:dyDescent="0.25">
      <c r="A581"/>
      <c r="B581"/>
      <c r="C581"/>
      <c r="D581"/>
      <c r="E581"/>
      <c r="F581"/>
      <c r="G581"/>
      <c r="H581"/>
      <c r="I581"/>
      <c r="J581"/>
      <c r="K581"/>
      <c r="L581"/>
      <c r="M581"/>
      <c r="N581"/>
      <c r="O581"/>
      <c r="P581"/>
      <c r="Q581"/>
      <c r="R581"/>
      <c r="S581"/>
      <c r="T581"/>
      <c r="U581"/>
      <c r="V581"/>
      <c r="W581"/>
      <c r="X581"/>
      <c r="Y581"/>
      <c r="Z581"/>
      <c r="AA581"/>
      <c r="AB581"/>
      <c r="AC581"/>
      <c r="AD581"/>
      <c r="AE581"/>
      <c r="AF581"/>
      <c r="AG581"/>
      <c r="AH581"/>
      <c r="AI581"/>
      <c r="AJ581"/>
      <c r="AK581"/>
      <c r="AL581"/>
      <c r="AM581"/>
      <c r="AN581"/>
      <c r="AO581"/>
      <c r="AP581"/>
      <c r="AQ581"/>
      <c r="AR581"/>
      <c r="AS581"/>
      <c r="AT581"/>
      <c r="AU581"/>
      <c r="AV581"/>
      <c r="AW581"/>
      <c r="AX581"/>
      <c r="AY581"/>
      <c r="AZ581"/>
      <c r="BA581"/>
      <c r="BB581"/>
      <c r="BC581"/>
      <c r="BD581"/>
      <c r="BE581"/>
      <c r="BF581"/>
      <c r="BG581"/>
      <c r="BH581"/>
      <c r="BI581"/>
      <c r="BJ581"/>
      <c r="BK581"/>
      <c r="BL581"/>
      <c r="BM581"/>
      <c r="BN581"/>
      <c r="BO581"/>
      <c r="BP581"/>
      <c r="BQ581"/>
      <c r="BR581"/>
      <c r="BS581"/>
      <c r="BT581"/>
      <c r="BU581"/>
      <c r="BV581"/>
      <c r="BW581"/>
      <c r="BX581"/>
      <c r="BY581"/>
      <c r="BZ581"/>
      <c r="CA581"/>
      <c r="CB581"/>
      <c r="CC581"/>
    </row>
    <row r="582" spans="1:81" x14ac:dyDescent="0.25">
      <c r="A582"/>
      <c r="B582"/>
      <c r="C582"/>
      <c r="D582"/>
      <c r="E582"/>
      <c r="F582"/>
      <c r="G582"/>
      <c r="H582"/>
      <c r="I582"/>
      <c r="J582"/>
      <c r="K582"/>
      <c r="L582"/>
      <c r="M582"/>
      <c r="N582"/>
      <c r="O582"/>
      <c r="P582"/>
      <c r="Q582"/>
      <c r="R582"/>
      <c r="S582"/>
      <c r="T582"/>
      <c r="U582"/>
      <c r="V582"/>
      <c r="W582"/>
      <c r="X582"/>
      <c r="Y582"/>
      <c r="Z582"/>
      <c r="AA582"/>
      <c r="AB582"/>
      <c r="AC582"/>
      <c r="AD582"/>
      <c r="AE582"/>
      <c r="AF582"/>
      <c r="AG582"/>
      <c r="AH582"/>
      <c r="AI582"/>
      <c r="AJ582"/>
      <c r="AK582"/>
      <c r="AL582"/>
      <c r="AM582"/>
      <c r="AN582"/>
      <c r="AO582"/>
      <c r="AP582"/>
      <c r="AQ582"/>
      <c r="AR582"/>
      <c r="AS582"/>
      <c r="AT582"/>
      <c r="AU582"/>
      <c r="AV582"/>
      <c r="AW582"/>
      <c r="AX582"/>
      <c r="AY582"/>
      <c r="AZ582"/>
      <c r="BA582"/>
      <c r="BB582"/>
      <c r="BC582"/>
      <c r="BD582"/>
      <c r="BE582"/>
      <c r="BF582"/>
      <c r="BG582"/>
      <c r="BH582"/>
      <c r="BI582"/>
      <c r="BJ582"/>
      <c r="BK582"/>
      <c r="BL582"/>
      <c r="BM582"/>
      <c r="BN582"/>
      <c r="BO582"/>
      <c r="BP582"/>
      <c r="BQ582"/>
      <c r="BR582"/>
      <c r="BS582"/>
      <c r="BT582"/>
      <c r="BU582"/>
      <c r="BV582"/>
      <c r="BW582"/>
      <c r="BX582"/>
      <c r="BY582"/>
      <c r="BZ582"/>
      <c r="CA582"/>
      <c r="CB582"/>
      <c r="CC582"/>
    </row>
    <row r="583" spans="1:81" x14ac:dyDescent="0.25">
      <c r="A583"/>
      <c r="B583"/>
      <c r="C583"/>
      <c r="D583"/>
      <c r="E583"/>
      <c r="F583"/>
      <c r="G583"/>
      <c r="H583"/>
      <c r="I583"/>
      <c r="J583"/>
      <c r="K583"/>
      <c r="L583"/>
      <c r="M583"/>
      <c r="N583"/>
      <c r="O583"/>
      <c r="P583"/>
      <c r="Q583"/>
      <c r="R583"/>
      <c r="S583"/>
      <c r="T583"/>
      <c r="U583"/>
      <c r="V583"/>
      <c r="W583"/>
      <c r="X583"/>
      <c r="Y583"/>
      <c r="Z583"/>
      <c r="AA583"/>
      <c r="AB583"/>
      <c r="AC583"/>
      <c r="AD583"/>
      <c r="AE583"/>
      <c r="AF583"/>
      <c r="AG583"/>
      <c r="AH583"/>
      <c r="AI583"/>
      <c r="AJ583"/>
      <c r="AK583"/>
      <c r="AL583"/>
      <c r="AM583"/>
      <c r="AN583"/>
      <c r="AO583"/>
      <c r="AP583"/>
      <c r="AQ583"/>
      <c r="AR583"/>
      <c r="AS583"/>
      <c r="AT583"/>
      <c r="AU583"/>
      <c r="AV583"/>
      <c r="AW583"/>
      <c r="AX583"/>
      <c r="AY583"/>
      <c r="AZ583"/>
      <c r="BA583"/>
      <c r="BB583"/>
      <c r="BC583"/>
      <c r="BD583"/>
      <c r="BE583"/>
      <c r="BF583"/>
      <c r="BG583"/>
      <c r="BH583"/>
      <c r="BI583"/>
      <c r="BJ583"/>
      <c r="BK583"/>
      <c r="BL583"/>
      <c r="BM583"/>
      <c r="BN583"/>
      <c r="BO583"/>
      <c r="BP583"/>
      <c r="BQ583"/>
      <c r="BR583"/>
      <c r="BS583"/>
      <c r="BT583"/>
      <c r="BU583"/>
      <c r="BV583"/>
      <c r="BW583"/>
      <c r="BX583"/>
      <c r="BY583"/>
      <c r="BZ583"/>
      <c r="CA583"/>
      <c r="CB583"/>
      <c r="CC583"/>
    </row>
    <row r="584" spans="1:81" x14ac:dyDescent="0.25">
      <c r="A584"/>
      <c r="B584"/>
      <c r="C584"/>
      <c r="D584"/>
      <c r="E584"/>
      <c r="F584"/>
      <c r="G584"/>
      <c r="H584"/>
      <c r="I584"/>
      <c r="J584"/>
      <c r="K584"/>
      <c r="L584"/>
      <c r="M584"/>
      <c r="N584"/>
      <c r="O584"/>
      <c r="P584"/>
      <c r="Q584"/>
      <c r="R584"/>
      <c r="S584"/>
      <c r="T584"/>
      <c r="U584"/>
      <c r="V584"/>
      <c r="W584"/>
      <c r="X584"/>
      <c r="Y584"/>
      <c r="Z584"/>
      <c r="AA584"/>
      <c r="AB584"/>
      <c r="AC584"/>
      <c r="AD584"/>
      <c r="AE584"/>
      <c r="AF584"/>
      <c r="AG584"/>
      <c r="AH584"/>
      <c r="AI584"/>
      <c r="AJ584"/>
      <c r="AK584"/>
      <c r="AL584"/>
      <c r="AM584"/>
      <c r="AN584"/>
      <c r="AO584"/>
      <c r="AP584"/>
      <c r="AQ584"/>
      <c r="AR584"/>
      <c r="AS584"/>
      <c r="AT584"/>
      <c r="AU584"/>
      <c r="AV584"/>
      <c r="AW584"/>
      <c r="AX584"/>
      <c r="AY584"/>
      <c r="AZ584"/>
      <c r="BA584"/>
      <c r="BB584"/>
      <c r="BC584"/>
      <c r="BD584"/>
      <c r="BE584"/>
      <c r="BF584"/>
      <c r="BG584"/>
      <c r="BH584"/>
      <c r="BI584"/>
      <c r="BJ584"/>
      <c r="BK584"/>
      <c r="BL584"/>
      <c r="BM584"/>
      <c r="BN584"/>
      <c r="BO584"/>
      <c r="BP584"/>
      <c r="BQ584"/>
      <c r="BR584"/>
      <c r="BS584"/>
      <c r="BT584"/>
      <c r="BU584"/>
      <c r="BV584"/>
      <c r="BW584"/>
      <c r="BX584"/>
      <c r="BY584"/>
      <c r="BZ584"/>
      <c r="CA584"/>
      <c r="CB584"/>
      <c r="CC584"/>
    </row>
    <row r="585" spans="1:81" x14ac:dyDescent="0.25">
      <c r="A585"/>
      <c r="B585"/>
      <c r="C585"/>
      <c r="D585"/>
      <c r="E585"/>
      <c r="F585"/>
      <c r="G585"/>
      <c r="H585"/>
      <c r="I585"/>
      <c r="J585"/>
      <c r="K585"/>
      <c r="L585"/>
      <c r="M585"/>
      <c r="N585"/>
      <c r="O585"/>
      <c r="P585"/>
      <c r="Q585"/>
      <c r="R585"/>
      <c r="S585"/>
      <c r="T585"/>
      <c r="U585"/>
      <c r="V585"/>
      <c r="W585"/>
      <c r="X585"/>
      <c r="Y585"/>
      <c r="Z585"/>
      <c r="AA585"/>
      <c r="AB585"/>
      <c r="AC585"/>
      <c r="AD585"/>
      <c r="AE585"/>
      <c r="AF585"/>
      <c r="AG585"/>
      <c r="AH585"/>
      <c r="AI585"/>
      <c r="AJ585"/>
      <c r="AK585"/>
      <c r="AL585"/>
      <c r="AM585"/>
      <c r="AN585"/>
      <c r="AO585"/>
      <c r="AP585"/>
      <c r="AQ585"/>
      <c r="AR585"/>
      <c r="AS585"/>
      <c r="AT585"/>
      <c r="AU585"/>
      <c r="AV585"/>
      <c r="AW585"/>
      <c r="AX585"/>
      <c r="AY585"/>
      <c r="AZ585"/>
      <c r="BA585"/>
      <c r="BB585"/>
      <c r="BC585"/>
      <c r="BD585"/>
      <c r="BE585"/>
      <c r="BF585"/>
      <c r="BG585"/>
      <c r="BH585"/>
      <c r="BI585"/>
      <c r="BJ585"/>
      <c r="BK585"/>
      <c r="BL585"/>
      <c r="BM585"/>
      <c r="BN585"/>
      <c r="BO585"/>
      <c r="BP585"/>
      <c r="BQ585"/>
      <c r="BR585"/>
      <c r="BS585"/>
      <c r="BT585"/>
      <c r="BU585"/>
      <c r="BV585"/>
      <c r="BW585"/>
      <c r="BX585"/>
      <c r="BY585"/>
      <c r="BZ585"/>
      <c r="CA585"/>
      <c r="CB585"/>
      <c r="CC585"/>
    </row>
    <row r="586" spans="1:81" x14ac:dyDescent="0.25">
      <c r="A586"/>
      <c r="B586"/>
      <c r="C586"/>
      <c r="D586"/>
      <c r="E586"/>
      <c r="F586"/>
      <c r="G586"/>
      <c r="H586"/>
      <c r="I586"/>
      <c r="J586"/>
      <c r="K586"/>
      <c r="L586"/>
      <c r="M586"/>
      <c r="N586"/>
      <c r="O586"/>
      <c r="P586"/>
      <c r="Q586"/>
      <c r="R586"/>
      <c r="S586"/>
      <c r="T586"/>
      <c r="U586"/>
      <c r="V586"/>
      <c r="W586"/>
      <c r="X586"/>
      <c r="Y586"/>
      <c r="Z586"/>
      <c r="AA586"/>
      <c r="AB586"/>
      <c r="AC586"/>
      <c r="AD586"/>
      <c r="AE586"/>
      <c r="AF586"/>
      <c r="AG586"/>
      <c r="AH586"/>
      <c r="AI586"/>
      <c r="AJ586"/>
      <c r="AK586"/>
      <c r="AL586"/>
      <c r="AM586"/>
      <c r="AN586"/>
      <c r="AO586"/>
      <c r="AP586"/>
      <c r="AQ586"/>
      <c r="AR586"/>
      <c r="AS586"/>
      <c r="AT586"/>
      <c r="AU586"/>
      <c r="AV586"/>
      <c r="AW586"/>
      <c r="AX586"/>
      <c r="AY586"/>
      <c r="AZ586"/>
      <c r="BA586"/>
      <c r="BB586"/>
      <c r="BC586"/>
      <c r="BD586"/>
      <c r="BE586"/>
      <c r="BF586"/>
      <c r="BG586"/>
      <c r="BH586"/>
      <c r="BI586"/>
      <c r="BJ586"/>
      <c r="BK586"/>
      <c r="BL586"/>
      <c r="BM586"/>
      <c r="BN586"/>
      <c r="BO586"/>
      <c r="BP586"/>
      <c r="BQ586"/>
      <c r="BR586"/>
      <c r="BS586"/>
      <c r="BT586"/>
      <c r="BU586"/>
      <c r="BV586"/>
      <c r="BW586"/>
      <c r="BX586"/>
      <c r="BY586"/>
      <c r="BZ586"/>
      <c r="CA586"/>
      <c r="CB586"/>
      <c r="CC586"/>
    </row>
    <row r="587" spans="1:81" x14ac:dyDescent="0.25">
      <c r="A587"/>
      <c r="B587"/>
      <c r="C587"/>
      <c r="D587"/>
      <c r="E587"/>
      <c r="F587"/>
      <c r="G587"/>
      <c r="H587"/>
      <c r="I587"/>
      <c r="J587"/>
      <c r="K587"/>
      <c r="L587"/>
      <c r="M587"/>
      <c r="N587"/>
      <c r="O587"/>
      <c r="P587"/>
      <c r="Q587"/>
      <c r="R587"/>
      <c r="S587"/>
      <c r="T587"/>
      <c r="U587"/>
      <c r="V587"/>
      <c r="W587"/>
      <c r="X587"/>
      <c r="Y587"/>
      <c r="Z587"/>
      <c r="AA587"/>
      <c r="AB587"/>
      <c r="AC587"/>
      <c r="AD587"/>
      <c r="AE587"/>
      <c r="AF587"/>
      <c r="AG587"/>
      <c r="AH587"/>
      <c r="AI587"/>
      <c r="AJ587"/>
      <c r="AK587"/>
      <c r="AL587"/>
      <c r="AM587"/>
      <c r="AN587"/>
      <c r="AO587"/>
      <c r="AP587"/>
      <c r="AQ587"/>
      <c r="AR587"/>
      <c r="AS587"/>
      <c r="AT587"/>
      <c r="AU587"/>
      <c r="AV587"/>
      <c r="AW587"/>
      <c r="AX587"/>
      <c r="AY587"/>
      <c r="AZ587"/>
      <c r="BA587"/>
      <c r="BB587"/>
      <c r="BC587"/>
      <c r="BD587"/>
      <c r="BE587"/>
      <c r="BF587"/>
      <c r="BG587"/>
      <c r="BH587"/>
      <c r="BI587"/>
      <c r="BJ587"/>
      <c r="BK587"/>
      <c r="BL587"/>
      <c r="BM587"/>
      <c r="BN587"/>
      <c r="BO587"/>
      <c r="BP587"/>
      <c r="BQ587"/>
      <c r="BR587"/>
      <c r="BS587"/>
      <c r="BT587"/>
      <c r="BU587"/>
      <c r="BV587"/>
      <c r="BW587"/>
      <c r="BX587"/>
      <c r="BY587"/>
      <c r="BZ587"/>
      <c r="CA587"/>
      <c r="CB587"/>
      <c r="CC587"/>
    </row>
    <row r="588" spans="1:81" x14ac:dyDescent="0.25">
      <c r="A588"/>
      <c r="B588"/>
      <c r="C588"/>
      <c r="D588"/>
      <c r="E588"/>
      <c r="F588"/>
      <c r="G588"/>
      <c r="H588"/>
      <c r="I588"/>
      <c r="J588"/>
      <c r="K588"/>
      <c r="L588"/>
      <c r="M588"/>
      <c r="N588"/>
      <c r="O588"/>
      <c r="P588"/>
      <c r="Q588"/>
      <c r="R588"/>
      <c r="S588"/>
      <c r="T588"/>
      <c r="U588"/>
      <c r="V588"/>
      <c r="W588"/>
      <c r="X588"/>
      <c r="Y588"/>
      <c r="Z588"/>
      <c r="AA588"/>
      <c r="AB588"/>
      <c r="AC588"/>
      <c r="AD588"/>
      <c r="AE588"/>
      <c r="AF588"/>
      <c r="AG588"/>
      <c r="AH588"/>
      <c r="AI588"/>
      <c r="AJ588"/>
      <c r="AK588"/>
      <c r="AL588"/>
      <c r="AM588"/>
      <c r="AN588"/>
      <c r="AO588"/>
      <c r="AP588"/>
      <c r="AQ588"/>
      <c r="AR588"/>
      <c r="AS588"/>
      <c r="AT588"/>
      <c r="AU588"/>
      <c r="AV588"/>
      <c r="AW588"/>
      <c r="AX588"/>
      <c r="AY588"/>
      <c r="AZ588"/>
      <c r="BA588"/>
      <c r="BB588"/>
      <c r="BC588"/>
      <c r="BD588"/>
      <c r="BE588"/>
      <c r="BF588"/>
      <c r="BG588"/>
      <c r="BH588"/>
      <c r="BI588"/>
      <c r="BJ588"/>
      <c r="BK588"/>
      <c r="BL588"/>
      <c r="BM588"/>
      <c r="BN588"/>
      <c r="BO588"/>
      <c r="BP588"/>
      <c r="BQ588"/>
      <c r="BR588"/>
      <c r="BS588"/>
      <c r="BT588"/>
      <c r="BU588"/>
      <c r="BV588"/>
      <c r="BW588"/>
      <c r="BX588"/>
      <c r="BY588"/>
      <c r="BZ588"/>
      <c r="CA588"/>
      <c r="CB588"/>
      <c r="CC588"/>
    </row>
    <row r="589" spans="1:81" x14ac:dyDescent="0.25">
      <c r="A589"/>
      <c r="B589"/>
      <c r="C589"/>
      <c r="D589"/>
      <c r="E589"/>
      <c r="F589"/>
      <c r="G589"/>
      <c r="H589"/>
      <c r="I589"/>
      <c r="J589"/>
      <c r="K589"/>
      <c r="L589"/>
      <c r="M589"/>
      <c r="N589"/>
      <c r="O589"/>
      <c r="P589"/>
      <c r="Q589"/>
      <c r="R589"/>
      <c r="S589"/>
      <c r="T589"/>
      <c r="U589"/>
      <c r="V589"/>
      <c r="W589"/>
      <c r="X589"/>
      <c r="Y589"/>
      <c r="Z589"/>
      <c r="AA589"/>
      <c r="AB589"/>
      <c r="AC589"/>
      <c r="AD589"/>
      <c r="AE589"/>
      <c r="AF589"/>
      <c r="AG589"/>
      <c r="AH589"/>
      <c r="AI589"/>
      <c r="AJ589"/>
      <c r="AK589"/>
      <c r="AL589"/>
      <c r="AM589"/>
      <c r="AN589"/>
      <c r="AO589"/>
      <c r="AP589"/>
      <c r="AQ589"/>
      <c r="AR589"/>
      <c r="AS589"/>
      <c r="AT589"/>
      <c r="AU589"/>
      <c r="AV589"/>
      <c r="AW589"/>
      <c r="AX589"/>
      <c r="AY589"/>
      <c r="AZ589"/>
      <c r="BA589"/>
      <c r="BB589"/>
      <c r="BC589"/>
      <c r="BD589"/>
      <c r="BE589"/>
      <c r="BF589"/>
      <c r="BG589"/>
      <c r="BH589"/>
      <c r="BI589"/>
      <c r="BJ589"/>
      <c r="BK589"/>
      <c r="BL589"/>
      <c r="BM589"/>
      <c r="BN589"/>
      <c r="BO589"/>
      <c r="BP589"/>
      <c r="BQ589"/>
      <c r="BR589"/>
      <c r="BS589"/>
      <c r="BT589"/>
      <c r="BU589"/>
      <c r="BV589"/>
      <c r="BW589"/>
      <c r="BX589"/>
      <c r="BY589"/>
      <c r="BZ589"/>
      <c r="CA589"/>
      <c r="CB589"/>
      <c r="CC589"/>
    </row>
  </sheetData>
  <sortState xmlns:xlrd2="http://schemas.microsoft.com/office/spreadsheetml/2017/richdata2" ref="A9:AC168">
    <sortCondition ref="Q9:Q168"/>
    <sortCondition ref="X9:X168"/>
    <sortCondition ref="P9:P168"/>
  </sortState>
  <conditionalFormatting sqref="C210">
    <cfRule type="expression" dxfId="1251" priority="1190" stopIfTrue="1">
      <formula>AND(NOT(ISBLANK(C210)),NOT(_xlfn.ISFORMULA(C210)))</formula>
    </cfRule>
  </conditionalFormatting>
  <conditionalFormatting sqref="D210">
    <cfRule type="expression" dxfId="1250" priority="1189" stopIfTrue="1">
      <formula>AND(NOT(ISBLANK(D210)),NOT(_xlfn.ISFORMULA(D210)))</formula>
    </cfRule>
  </conditionalFormatting>
  <conditionalFormatting sqref="G210">
    <cfRule type="expression" dxfId="1249" priority="1188" stopIfTrue="1">
      <formula>AND(NOT(ISBLANK(G210)),NOT(_xlfn.ISFORMULA(G210)))</formula>
    </cfRule>
  </conditionalFormatting>
  <conditionalFormatting sqref="H210">
    <cfRule type="expression" dxfId="1248" priority="1187" stopIfTrue="1">
      <formula>AND(NOT(ISBLANK(H210)),NOT(_xlfn.ISFORMULA(H210)))</formula>
    </cfRule>
  </conditionalFormatting>
  <conditionalFormatting sqref="D201">
    <cfRule type="expression" dxfId="1247" priority="1301" stopIfTrue="1">
      <formula>AND(NOT(ISBLANK(D201)),NOT(_xlfn.ISFORMULA(D201)))</formula>
    </cfRule>
  </conditionalFormatting>
  <conditionalFormatting sqref="G201">
    <cfRule type="expression" dxfId="1246" priority="1300" stopIfTrue="1">
      <formula>AND(NOT(ISBLANK(G201)),NOT(_xlfn.ISFORMULA(G201)))</formula>
    </cfRule>
  </conditionalFormatting>
  <conditionalFormatting sqref="H201">
    <cfRule type="expression" dxfId="1245" priority="1299" stopIfTrue="1">
      <formula>AND(NOT(ISBLANK(H201)),NOT(_xlfn.ISFORMULA(H201)))</formula>
    </cfRule>
  </conditionalFormatting>
  <conditionalFormatting sqref="E190">
    <cfRule type="expression" dxfId="1244" priority="1297">
      <formula>AND(AND(NOT(ISBLANK(D190)),NOT(D190=$O$1)),AND(NOT(ISBLANK(C190)),NOT(C190=$O$1)))</formula>
    </cfRule>
    <cfRule type="expression" dxfId="1243" priority="1298">
      <formula>OR(AND(NOT(ISBLANK(D190)),NOT(D190=$O$1)),AND(NOT(ISBLANK(C190)),NOT(C190=$O$1)))</formula>
    </cfRule>
  </conditionalFormatting>
  <conditionalFormatting sqref="F190">
    <cfRule type="expression" dxfId="1242" priority="1295">
      <formula>AND(AND(NOT(ISBLANK(G190)),NOT(G190=$O$1)),AND(NOT(ISBLANK(H190)),NOT(H190=$O$1)))</formula>
    </cfRule>
    <cfRule type="expression" dxfId="1241" priority="1296">
      <formula>OR(AND(NOT(ISBLANK(G190)),NOT(G190=$O$1)),AND(NOT(ISBLANK(H190)),NOT(H190=$O$1)))</formula>
    </cfRule>
  </conditionalFormatting>
  <conditionalFormatting sqref="C190">
    <cfRule type="expression" dxfId="1240" priority="1294" stopIfTrue="1">
      <formula>AND(NOT(ISBLANK(C190)),NOT(_xlfn.ISFORMULA(C190)))</formula>
    </cfRule>
  </conditionalFormatting>
  <conditionalFormatting sqref="D190">
    <cfRule type="expression" dxfId="1239" priority="1293" stopIfTrue="1">
      <formula>AND(NOT(ISBLANK(D190)),NOT(_xlfn.ISFORMULA(D190)))</formula>
    </cfRule>
  </conditionalFormatting>
  <conditionalFormatting sqref="G190">
    <cfRule type="expression" dxfId="1238" priority="1292" stopIfTrue="1">
      <formula>AND(NOT(ISBLANK(G190)),NOT(_xlfn.ISFORMULA(G190)))</formula>
    </cfRule>
  </conditionalFormatting>
  <conditionalFormatting sqref="H190">
    <cfRule type="expression" dxfId="1237" priority="1291" stopIfTrue="1">
      <formula>AND(NOT(ISBLANK(H190)),NOT(_xlfn.ISFORMULA(H190)))</formula>
    </cfRule>
  </conditionalFormatting>
  <conditionalFormatting sqref="E201">
    <cfRule type="expression" dxfId="1236" priority="1305">
      <formula>AND(AND(NOT(ISBLANK(D201)),NOT(D201=$O$1)),AND(NOT(ISBLANK(C201)),NOT(C201=$O$1)))</formula>
    </cfRule>
    <cfRule type="expression" dxfId="1235" priority="1306">
      <formula>OR(AND(NOT(ISBLANK(D201)),NOT(D201=$O$1)),AND(NOT(ISBLANK(C201)),NOT(C201=$O$1)))</formula>
    </cfRule>
  </conditionalFormatting>
  <conditionalFormatting sqref="F201">
    <cfRule type="expression" dxfId="1234" priority="1303">
      <formula>AND(AND(NOT(ISBLANK(G201)),NOT(G201=$O$1)),AND(NOT(ISBLANK(H201)),NOT(H201=$O$1)))</formula>
    </cfRule>
    <cfRule type="expression" dxfId="1233" priority="1304">
      <formula>OR(AND(NOT(ISBLANK(G201)),NOT(G201=$O$1)),AND(NOT(ISBLANK(H201)),NOT(H201=$O$1)))</formula>
    </cfRule>
  </conditionalFormatting>
  <conditionalFormatting sqref="C201">
    <cfRule type="expression" dxfId="1232" priority="1302" stopIfTrue="1">
      <formula>AND(NOT(ISBLANK(C201)),NOT(_xlfn.ISFORMULA(C201)))</formula>
    </cfRule>
  </conditionalFormatting>
  <conditionalFormatting sqref="E202">
    <cfRule type="expression" dxfId="1231" priority="1289">
      <formula>AND(AND(NOT(ISBLANK(D202)),NOT(D202=$O$1)),AND(NOT(ISBLANK(C202)),NOT(C202=$O$1)))</formula>
    </cfRule>
    <cfRule type="expression" dxfId="1230" priority="1290">
      <formula>OR(AND(NOT(ISBLANK(D202)),NOT(D202=$O$1)),AND(NOT(ISBLANK(C202)),NOT(C202=$O$1)))</formula>
    </cfRule>
  </conditionalFormatting>
  <conditionalFormatting sqref="F202">
    <cfRule type="expression" dxfId="1229" priority="1287">
      <formula>AND(AND(NOT(ISBLANK(G202)),NOT(G202=$O$1)),AND(NOT(ISBLANK(H202)),NOT(H202=$O$1)))</formula>
    </cfRule>
    <cfRule type="expression" dxfId="1228" priority="1288">
      <formula>OR(AND(NOT(ISBLANK(G202)),NOT(G202=$O$1)),AND(NOT(ISBLANK(H202)),NOT(H202=$O$1)))</formula>
    </cfRule>
  </conditionalFormatting>
  <conditionalFormatting sqref="C202">
    <cfRule type="expression" dxfId="1227" priority="1286" stopIfTrue="1">
      <formula>AND(NOT(ISBLANK(C202)),NOT(_xlfn.ISFORMULA(C202)))</formula>
    </cfRule>
  </conditionalFormatting>
  <conditionalFormatting sqref="D202">
    <cfRule type="expression" dxfId="1226" priority="1285" stopIfTrue="1">
      <formula>AND(NOT(ISBLANK(D202)),NOT(_xlfn.ISFORMULA(D202)))</formula>
    </cfRule>
  </conditionalFormatting>
  <conditionalFormatting sqref="G202">
    <cfRule type="expression" dxfId="1225" priority="1284" stopIfTrue="1">
      <formula>AND(NOT(ISBLANK(G202)),NOT(_xlfn.ISFORMULA(G202)))</formula>
    </cfRule>
  </conditionalFormatting>
  <conditionalFormatting sqref="H202">
    <cfRule type="expression" dxfId="1224" priority="1283" stopIfTrue="1">
      <formula>AND(NOT(ISBLANK(H202)),NOT(_xlfn.ISFORMULA(H202)))</formula>
    </cfRule>
  </conditionalFormatting>
  <conditionalFormatting sqref="C203">
    <cfRule type="expression" dxfId="1223" priority="1278" stopIfTrue="1">
      <formula>AND(NOT(ISBLANK(C203)),NOT(_xlfn.ISFORMULA(C203)))</formula>
    </cfRule>
  </conditionalFormatting>
  <conditionalFormatting sqref="D203">
    <cfRule type="expression" dxfId="1222" priority="1277" stopIfTrue="1">
      <formula>AND(NOT(ISBLANK(D203)),NOT(_xlfn.ISFORMULA(D203)))</formula>
    </cfRule>
  </conditionalFormatting>
  <conditionalFormatting sqref="G203">
    <cfRule type="expression" dxfId="1221" priority="1276" stopIfTrue="1">
      <formula>AND(NOT(ISBLANK(G203)),NOT(_xlfn.ISFORMULA(G203)))</formula>
    </cfRule>
  </conditionalFormatting>
  <conditionalFormatting sqref="E203">
    <cfRule type="expression" dxfId="1220" priority="1281">
      <formula>AND(AND(NOT(ISBLANK(D203)),NOT(D203=$O$1)),AND(NOT(ISBLANK(C203)),NOT(C203=$O$1)))</formula>
    </cfRule>
    <cfRule type="expression" dxfId="1219" priority="1282">
      <formula>OR(AND(NOT(ISBLANK(D203)),NOT(D203=$O$1)),AND(NOT(ISBLANK(C203)),NOT(C203=$O$1)))</formula>
    </cfRule>
  </conditionalFormatting>
  <conditionalFormatting sqref="F203">
    <cfRule type="expression" dxfId="1218" priority="1279">
      <formula>AND(AND(NOT(ISBLANK(G203)),NOT(G203=$O$1)),AND(NOT(ISBLANK(H203)),NOT(H203=$O$1)))</formula>
    </cfRule>
    <cfRule type="expression" dxfId="1217" priority="1280">
      <formula>OR(AND(NOT(ISBLANK(G203)),NOT(G203=$O$1)),AND(NOT(ISBLANK(H203)),NOT(H203=$O$1)))</formula>
    </cfRule>
  </conditionalFormatting>
  <conditionalFormatting sqref="C191">
    <cfRule type="expression" dxfId="1216" priority="1270" stopIfTrue="1">
      <formula>AND(NOT(ISBLANK(C191)),NOT(_xlfn.ISFORMULA(C191)))</formula>
    </cfRule>
  </conditionalFormatting>
  <conditionalFormatting sqref="D191">
    <cfRule type="expression" dxfId="1215" priority="1269" stopIfTrue="1">
      <formula>AND(NOT(ISBLANK(D191)),NOT(_xlfn.ISFORMULA(D191)))</formula>
    </cfRule>
  </conditionalFormatting>
  <conditionalFormatting sqref="G191">
    <cfRule type="expression" dxfId="1214" priority="1268" stopIfTrue="1">
      <formula>AND(NOT(ISBLANK(G191)),NOT(_xlfn.ISFORMULA(G191)))</formula>
    </cfRule>
  </conditionalFormatting>
  <conditionalFormatting sqref="H203">
    <cfRule type="expression" dxfId="1213" priority="1275" stopIfTrue="1">
      <formula>AND(NOT(ISBLANK(H203)),NOT(_xlfn.ISFORMULA(H203)))</formula>
    </cfRule>
  </conditionalFormatting>
  <conditionalFormatting sqref="E191">
    <cfRule type="expression" dxfId="1212" priority="1273">
      <formula>AND(AND(NOT(ISBLANK(D191)),NOT(D191=$O$1)),AND(NOT(ISBLANK(C191)),NOT(C191=$O$1)))</formula>
    </cfRule>
    <cfRule type="expression" dxfId="1211" priority="1274">
      <formula>OR(AND(NOT(ISBLANK(D191)),NOT(D191=$O$1)),AND(NOT(ISBLANK(C191)),NOT(C191=$O$1)))</formula>
    </cfRule>
  </conditionalFormatting>
  <conditionalFormatting sqref="F191">
    <cfRule type="expression" dxfId="1210" priority="1271">
      <formula>AND(AND(NOT(ISBLANK(G191)),NOT(G191=$O$1)),AND(NOT(ISBLANK(H191)),NOT(H191=$O$1)))</formula>
    </cfRule>
    <cfRule type="expression" dxfId="1209" priority="1272">
      <formula>OR(AND(NOT(ISBLANK(G191)),NOT(G191=$O$1)),AND(NOT(ISBLANK(H191)),NOT(H191=$O$1)))</formula>
    </cfRule>
  </conditionalFormatting>
  <conditionalFormatting sqref="C204">
    <cfRule type="expression" dxfId="1208" priority="1262" stopIfTrue="1">
      <formula>AND(NOT(ISBLANK(C204)),NOT(_xlfn.ISFORMULA(C204)))</formula>
    </cfRule>
  </conditionalFormatting>
  <conditionalFormatting sqref="D204">
    <cfRule type="expression" dxfId="1207" priority="1261" stopIfTrue="1">
      <formula>AND(NOT(ISBLANK(D204)),NOT(_xlfn.ISFORMULA(D204)))</formula>
    </cfRule>
  </conditionalFormatting>
  <conditionalFormatting sqref="G204">
    <cfRule type="expression" dxfId="1206" priority="1260" stopIfTrue="1">
      <formula>AND(NOT(ISBLANK(G204)),NOT(_xlfn.ISFORMULA(G204)))</formula>
    </cfRule>
  </conditionalFormatting>
  <conditionalFormatting sqref="H191">
    <cfRule type="expression" dxfId="1205" priority="1267" stopIfTrue="1">
      <formula>AND(NOT(ISBLANK(H191)),NOT(_xlfn.ISFORMULA(H191)))</formula>
    </cfRule>
  </conditionalFormatting>
  <conditionalFormatting sqref="E204">
    <cfRule type="expression" dxfId="1204" priority="1265">
      <formula>AND(AND(NOT(ISBLANK(D204)),NOT(D204=$O$1)),AND(NOT(ISBLANK(C204)),NOT(C204=$O$1)))</formula>
    </cfRule>
    <cfRule type="expression" dxfId="1203" priority="1266">
      <formula>OR(AND(NOT(ISBLANK(D204)),NOT(D204=$O$1)),AND(NOT(ISBLANK(C204)),NOT(C204=$O$1)))</formula>
    </cfRule>
  </conditionalFormatting>
  <conditionalFormatting sqref="F204">
    <cfRule type="expression" dxfId="1202" priority="1263">
      <formula>AND(AND(NOT(ISBLANK(G204)),NOT(G204=$O$1)),AND(NOT(ISBLANK(H204)),NOT(H204=$O$1)))</formula>
    </cfRule>
    <cfRule type="expression" dxfId="1201" priority="1264">
      <formula>OR(AND(NOT(ISBLANK(G204)),NOT(G204=$O$1)),AND(NOT(ISBLANK(H204)),NOT(H204=$O$1)))</formula>
    </cfRule>
  </conditionalFormatting>
  <conditionalFormatting sqref="H204">
    <cfRule type="expression" dxfId="1200" priority="1259" stopIfTrue="1">
      <formula>AND(NOT(ISBLANK(H204)),NOT(_xlfn.ISFORMULA(H204)))</formula>
    </cfRule>
  </conditionalFormatting>
  <conditionalFormatting sqref="H205">
    <cfRule type="expression" dxfId="1199" priority="1251" stopIfTrue="1">
      <formula>AND(NOT(ISBLANK(H205)),NOT(_xlfn.ISFORMULA(H205)))</formula>
    </cfRule>
  </conditionalFormatting>
  <conditionalFormatting sqref="E205">
    <cfRule type="expression" dxfId="1198" priority="1257">
      <formula>AND(AND(NOT(ISBLANK(D205)),NOT(D205=$O$1)),AND(NOT(ISBLANK(C205)),NOT(C205=$O$1)))</formula>
    </cfRule>
    <cfRule type="expression" dxfId="1197" priority="1258">
      <formula>OR(AND(NOT(ISBLANK(D205)),NOT(D205=$O$1)),AND(NOT(ISBLANK(C205)),NOT(C205=$O$1)))</formula>
    </cfRule>
  </conditionalFormatting>
  <conditionalFormatting sqref="F205">
    <cfRule type="expression" dxfId="1196" priority="1255">
      <formula>AND(AND(NOT(ISBLANK(G205)),NOT(G205=$O$1)),AND(NOT(ISBLANK(H205)),NOT(H205=$O$1)))</formula>
    </cfRule>
    <cfRule type="expression" dxfId="1195" priority="1256">
      <formula>OR(AND(NOT(ISBLANK(G205)),NOT(G205=$O$1)),AND(NOT(ISBLANK(H205)),NOT(H205=$O$1)))</formula>
    </cfRule>
  </conditionalFormatting>
  <conditionalFormatting sqref="C205">
    <cfRule type="expression" dxfId="1194" priority="1254" stopIfTrue="1">
      <formula>AND(NOT(ISBLANK(C205)),NOT(_xlfn.ISFORMULA(C205)))</formula>
    </cfRule>
  </conditionalFormatting>
  <conditionalFormatting sqref="D205">
    <cfRule type="expression" dxfId="1193" priority="1253" stopIfTrue="1">
      <formula>AND(NOT(ISBLANK(D205)),NOT(_xlfn.ISFORMULA(D205)))</formula>
    </cfRule>
  </conditionalFormatting>
  <conditionalFormatting sqref="G205">
    <cfRule type="expression" dxfId="1192" priority="1252" stopIfTrue="1">
      <formula>AND(NOT(ISBLANK(G205)),NOT(_xlfn.ISFORMULA(G205)))</formula>
    </cfRule>
  </conditionalFormatting>
  <conditionalFormatting sqref="E192">
    <cfRule type="expression" dxfId="1191" priority="1249">
      <formula>AND(AND(NOT(ISBLANK(D192)),NOT(D192=$O$1)),AND(NOT(ISBLANK(C192)),NOT(C192=$O$1)))</formula>
    </cfRule>
    <cfRule type="expression" dxfId="1190" priority="1250">
      <formula>OR(AND(NOT(ISBLANK(D192)),NOT(D192=$O$1)),AND(NOT(ISBLANK(C192)),NOT(C192=$O$1)))</formula>
    </cfRule>
  </conditionalFormatting>
  <conditionalFormatting sqref="F192">
    <cfRule type="expression" dxfId="1189" priority="1247">
      <formula>AND(AND(NOT(ISBLANK(G192)),NOT(G192=$O$1)),AND(NOT(ISBLANK(H192)),NOT(H192=$O$1)))</formula>
    </cfRule>
    <cfRule type="expression" dxfId="1188" priority="1248">
      <formula>OR(AND(NOT(ISBLANK(G192)),NOT(G192=$O$1)),AND(NOT(ISBLANK(H192)),NOT(H192=$O$1)))</formula>
    </cfRule>
  </conditionalFormatting>
  <conditionalFormatting sqref="C192">
    <cfRule type="expression" dxfId="1187" priority="1246" stopIfTrue="1">
      <formula>AND(NOT(ISBLANK(C192)),NOT(_xlfn.ISFORMULA(C192)))</formula>
    </cfRule>
  </conditionalFormatting>
  <conditionalFormatting sqref="D192">
    <cfRule type="expression" dxfId="1186" priority="1245" stopIfTrue="1">
      <formula>AND(NOT(ISBLANK(D192)),NOT(_xlfn.ISFORMULA(D192)))</formula>
    </cfRule>
  </conditionalFormatting>
  <conditionalFormatting sqref="G192">
    <cfRule type="expression" dxfId="1185" priority="1244" stopIfTrue="1">
      <formula>AND(NOT(ISBLANK(G192)),NOT(_xlfn.ISFORMULA(G192)))</formula>
    </cfRule>
  </conditionalFormatting>
  <conditionalFormatting sqref="H192">
    <cfRule type="expression" dxfId="1184" priority="1243" stopIfTrue="1">
      <formula>AND(NOT(ISBLANK(H192)),NOT(_xlfn.ISFORMULA(H192)))</formula>
    </cfRule>
  </conditionalFormatting>
  <conditionalFormatting sqref="E206">
    <cfRule type="expression" dxfId="1183" priority="1241">
      <formula>AND(AND(NOT(ISBLANK(D206)),NOT(D206=$O$1)),AND(NOT(ISBLANK(C206)),NOT(C206=$O$1)))</formula>
    </cfRule>
    <cfRule type="expression" dxfId="1182" priority="1242">
      <formula>OR(AND(NOT(ISBLANK(D206)),NOT(D206=$O$1)),AND(NOT(ISBLANK(C206)),NOT(C206=$O$1)))</formula>
    </cfRule>
  </conditionalFormatting>
  <conditionalFormatting sqref="F206">
    <cfRule type="expression" dxfId="1181" priority="1239">
      <formula>AND(AND(NOT(ISBLANK(G206)),NOT(G206=$O$1)),AND(NOT(ISBLANK(H206)),NOT(H206=$O$1)))</formula>
    </cfRule>
    <cfRule type="expression" dxfId="1180" priority="1240">
      <formula>OR(AND(NOT(ISBLANK(G206)),NOT(G206=$O$1)),AND(NOT(ISBLANK(H206)),NOT(H206=$O$1)))</formula>
    </cfRule>
  </conditionalFormatting>
  <conditionalFormatting sqref="C206">
    <cfRule type="expression" dxfId="1179" priority="1238" stopIfTrue="1">
      <formula>AND(NOT(ISBLANK(C206)),NOT(_xlfn.ISFORMULA(C206)))</formula>
    </cfRule>
  </conditionalFormatting>
  <conditionalFormatting sqref="D206">
    <cfRule type="expression" dxfId="1178" priority="1237" stopIfTrue="1">
      <formula>AND(NOT(ISBLANK(D206)),NOT(_xlfn.ISFORMULA(D206)))</formula>
    </cfRule>
  </conditionalFormatting>
  <conditionalFormatting sqref="G206">
    <cfRule type="expression" dxfId="1177" priority="1236" stopIfTrue="1">
      <formula>AND(NOT(ISBLANK(G206)),NOT(_xlfn.ISFORMULA(G206)))</formula>
    </cfRule>
  </conditionalFormatting>
  <conditionalFormatting sqref="H206">
    <cfRule type="expression" dxfId="1176" priority="1235" stopIfTrue="1">
      <formula>AND(NOT(ISBLANK(H206)),NOT(_xlfn.ISFORMULA(H206)))</formula>
    </cfRule>
  </conditionalFormatting>
  <conditionalFormatting sqref="H207">
    <cfRule type="expression" dxfId="1175" priority="1227" stopIfTrue="1">
      <formula>AND(NOT(ISBLANK(H207)),NOT(_xlfn.ISFORMULA(H207)))</formula>
    </cfRule>
  </conditionalFormatting>
  <conditionalFormatting sqref="E207">
    <cfRule type="expression" dxfId="1174" priority="1233">
      <formula>AND(AND(NOT(ISBLANK(D207)),NOT(D207=$O$1)),AND(NOT(ISBLANK(C207)),NOT(C207=$O$1)))</formula>
    </cfRule>
    <cfRule type="expression" dxfId="1173" priority="1234">
      <formula>OR(AND(NOT(ISBLANK(D207)),NOT(D207=$O$1)),AND(NOT(ISBLANK(C207)),NOT(C207=$O$1)))</formula>
    </cfRule>
  </conditionalFormatting>
  <conditionalFormatting sqref="F207">
    <cfRule type="expression" dxfId="1172" priority="1231">
      <formula>AND(AND(NOT(ISBLANK(G207)),NOT(G207=$O$1)),AND(NOT(ISBLANK(H207)),NOT(H207=$O$1)))</formula>
    </cfRule>
    <cfRule type="expression" dxfId="1171" priority="1232">
      <formula>OR(AND(NOT(ISBLANK(G207)),NOT(G207=$O$1)),AND(NOT(ISBLANK(H207)),NOT(H207=$O$1)))</formula>
    </cfRule>
  </conditionalFormatting>
  <conditionalFormatting sqref="C207">
    <cfRule type="expression" dxfId="1170" priority="1230" stopIfTrue="1">
      <formula>AND(NOT(ISBLANK(C207)),NOT(_xlfn.ISFORMULA(C207)))</formula>
    </cfRule>
  </conditionalFormatting>
  <conditionalFormatting sqref="D207">
    <cfRule type="expression" dxfId="1169" priority="1229" stopIfTrue="1">
      <formula>AND(NOT(ISBLANK(D207)),NOT(_xlfn.ISFORMULA(D207)))</formula>
    </cfRule>
  </conditionalFormatting>
  <conditionalFormatting sqref="G207">
    <cfRule type="expression" dxfId="1168" priority="1228" stopIfTrue="1">
      <formula>AND(NOT(ISBLANK(G207)),NOT(_xlfn.ISFORMULA(G207)))</formula>
    </cfRule>
  </conditionalFormatting>
  <conditionalFormatting sqref="E193">
    <cfRule type="expression" dxfId="1167" priority="1225">
      <formula>AND(AND(NOT(ISBLANK(D193)),NOT(D193=$O$1)),AND(NOT(ISBLANK(C193)),NOT(C193=$O$1)))</formula>
    </cfRule>
    <cfRule type="expression" dxfId="1166" priority="1226">
      <formula>OR(AND(NOT(ISBLANK(D193)),NOT(D193=$O$1)),AND(NOT(ISBLANK(C193)),NOT(C193=$O$1)))</formula>
    </cfRule>
  </conditionalFormatting>
  <conditionalFormatting sqref="F193">
    <cfRule type="expression" dxfId="1165" priority="1223">
      <formula>AND(AND(NOT(ISBLANK(G193)),NOT(G193=$O$1)),AND(NOT(ISBLANK(H193)),NOT(H193=$O$1)))</formula>
    </cfRule>
    <cfRule type="expression" dxfId="1164" priority="1224">
      <formula>OR(AND(NOT(ISBLANK(G193)),NOT(G193=$O$1)),AND(NOT(ISBLANK(H193)),NOT(H193=$O$1)))</formula>
    </cfRule>
  </conditionalFormatting>
  <conditionalFormatting sqref="C193">
    <cfRule type="expression" dxfId="1163" priority="1222" stopIfTrue="1">
      <formula>AND(NOT(ISBLANK(C193)),NOT(_xlfn.ISFORMULA(C193)))</formula>
    </cfRule>
  </conditionalFormatting>
  <conditionalFormatting sqref="D193">
    <cfRule type="expression" dxfId="1162" priority="1221" stopIfTrue="1">
      <formula>AND(NOT(ISBLANK(D193)),NOT(_xlfn.ISFORMULA(D193)))</formula>
    </cfRule>
  </conditionalFormatting>
  <conditionalFormatting sqref="G193">
    <cfRule type="expression" dxfId="1161" priority="1220" stopIfTrue="1">
      <formula>AND(NOT(ISBLANK(G193)),NOT(_xlfn.ISFORMULA(G193)))</formula>
    </cfRule>
  </conditionalFormatting>
  <conditionalFormatting sqref="H193">
    <cfRule type="expression" dxfId="1160" priority="1219" stopIfTrue="1">
      <formula>AND(NOT(ISBLANK(H193)),NOT(_xlfn.ISFORMULA(H193)))</formula>
    </cfRule>
  </conditionalFormatting>
  <conditionalFormatting sqref="E208">
    <cfRule type="expression" dxfId="1159" priority="1217">
      <formula>AND(AND(NOT(ISBLANK(D208)),NOT(D208=$O$1)),AND(NOT(ISBLANK(C208)),NOT(C208=$O$1)))</formula>
    </cfRule>
    <cfRule type="expression" dxfId="1158" priority="1218">
      <formula>OR(AND(NOT(ISBLANK(D208)),NOT(D208=$O$1)),AND(NOT(ISBLANK(C208)),NOT(C208=$O$1)))</formula>
    </cfRule>
  </conditionalFormatting>
  <conditionalFormatting sqref="F208">
    <cfRule type="expression" dxfId="1157" priority="1215">
      <formula>AND(AND(NOT(ISBLANK(G208)),NOT(G208=$O$1)),AND(NOT(ISBLANK(H208)),NOT(H208=$O$1)))</formula>
    </cfRule>
    <cfRule type="expression" dxfId="1156" priority="1216">
      <formula>OR(AND(NOT(ISBLANK(G208)),NOT(G208=$O$1)),AND(NOT(ISBLANK(H208)),NOT(H208=$O$1)))</formula>
    </cfRule>
  </conditionalFormatting>
  <conditionalFormatting sqref="C208">
    <cfRule type="expression" dxfId="1155" priority="1214" stopIfTrue="1">
      <formula>AND(NOT(ISBLANK(C208)),NOT(_xlfn.ISFORMULA(C208)))</formula>
    </cfRule>
  </conditionalFormatting>
  <conditionalFormatting sqref="D208">
    <cfRule type="expression" dxfId="1154" priority="1213" stopIfTrue="1">
      <formula>AND(NOT(ISBLANK(D208)),NOT(_xlfn.ISFORMULA(D208)))</formula>
    </cfRule>
  </conditionalFormatting>
  <conditionalFormatting sqref="G208">
    <cfRule type="expression" dxfId="1153" priority="1212" stopIfTrue="1">
      <formula>AND(NOT(ISBLANK(G208)),NOT(_xlfn.ISFORMULA(G208)))</formula>
    </cfRule>
  </conditionalFormatting>
  <conditionalFormatting sqref="H208">
    <cfRule type="expression" dxfId="1152" priority="1211" stopIfTrue="1">
      <formula>AND(NOT(ISBLANK(H208)),NOT(_xlfn.ISFORMULA(H208)))</formula>
    </cfRule>
  </conditionalFormatting>
  <conditionalFormatting sqref="E209">
    <cfRule type="expression" dxfId="1151" priority="1209">
      <formula>AND(AND(NOT(ISBLANK(D209)),NOT(D209=$O$1)),AND(NOT(ISBLANK(C209)),NOT(C209=$O$1)))</formula>
    </cfRule>
    <cfRule type="expression" dxfId="1150" priority="1210">
      <formula>OR(AND(NOT(ISBLANK(D209)),NOT(D209=$O$1)),AND(NOT(ISBLANK(C209)),NOT(C209=$O$1)))</formula>
    </cfRule>
  </conditionalFormatting>
  <conditionalFormatting sqref="F209">
    <cfRule type="expression" dxfId="1149" priority="1207">
      <formula>AND(AND(NOT(ISBLANK(G209)),NOT(G209=$O$1)),AND(NOT(ISBLANK(H209)),NOT(H209=$O$1)))</formula>
    </cfRule>
    <cfRule type="expression" dxfId="1148" priority="1208">
      <formula>OR(AND(NOT(ISBLANK(G209)),NOT(G209=$O$1)),AND(NOT(ISBLANK(H209)),NOT(H209=$O$1)))</formula>
    </cfRule>
  </conditionalFormatting>
  <conditionalFormatting sqref="E194">
    <cfRule type="expression" dxfId="1147" priority="1201">
      <formula>AND(AND(NOT(ISBLANK(D194)),NOT(D194=$O$1)),AND(NOT(ISBLANK(C194)),NOT(C194=$O$1)))</formula>
    </cfRule>
    <cfRule type="expression" dxfId="1146" priority="1202">
      <formula>OR(AND(NOT(ISBLANK(D194)),NOT(D194=$O$1)),AND(NOT(ISBLANK(C194)),NOT(C194=$O$1)))</formula>
    </cfRule>
  </conditionalFormatting>
  <conditionalFormatting sqref="F194">
    <cfRule type="expression" dxfId="1145" priority="1199">
      <formula>AND(AND(NOT(ISBLANK(G194)),NOT(G194=$O$1)),AND(NOT(ISBLANK(H194)),NOT(H194=$O$1)))</formula>
    </cfRule>
    <cfRule type="expression" dxfId="1144" priority="1200">
      <formula>OR(AND(NOT(ISBLANK(G194)),NOT(G194=$O$1)),AND(NOT(ISBLANK(H194)),NOT(H194=$O$1)))</formula>
    </cfRule>
  </conditionalFormatting>
  <conditionalFormatting sqref="C209">
    <cfRule type="expression" dxfId="1143" priority="1206" stopIfTrue="1">
      <formula>AND(NOT(ISBLANK(C209)),NOT(_xlfn.ISFORMULA(C209)))</formula>
    </cfRule>
  </conditionalFormatting>
  <conditionalFormatting sqref="D209">
    <cfRule type="expression" dxfId="1142" priority="1205" stopIfTrue="1">
      <formula>AND(NOT(ISBLANK(D209)),NOT(_xlfn.ISFORMULA(D209)))</formula>
    </cfRule>
  </conditionalFormatting>
  <conditionalFormatting sqref="G209">
    <cfRule type="expression" dxfId="1141" priority="1204" stopIfTrue="1">
      <formula>AND(NOT(ISBLANK(G209)),NOT(_xlfn.ISFORMULA(G209)))</formula>
    </cfRule>
  </conditionalFormatting>
  <conditionalFormatting sqref="H209">
    <cfRule type="expression" dxfId="1140" priority="1203" stopIfTrue="1">
      <formula>AND(NOT(ISBLANK(H209)),NOT(_xlfn.ISFORMULA(H209)))</formula>
    </cfRule>
  </conditionalFormatting>
  <conditionalFormatting sqref="C194">
    <cfRule type="expression" dxfId="1139" priority="1198" stopIfTrue="1">
      <formula>AND(NOT(ISBLANK(C194)),NOT(_xlfn.ISFORMULA(C194)))</formula>
    </cfRule>
  </conditionalFormatting>
  <conditionalFormatting sqref="D194">
    <cfRule type="expression" dxfId="1138" priority="1197" stopIfTrue="1">
      <formula>AND(NOT(ISBLANK(D194)),NOT(_xlfn.ISFORMULA(D194)))</formula>
    </cfRule>
  </conditionalFormatting>
  <conditionalFormatting sqref="G194">
    <cfRule type="expression" dxfId="1137" priority="1196" stopIfTrue="1">
      <formula>AND(NOT(ISBLANK(G194)),NOT(_xlfn.ISFORMULA(G194)))</formula>
    </cfRule>
  </conditionalFormatting>
  <conditionalFormatting sqref="H194">
    <cfRule type="expression" dxfId="1136" priority="1195" stopIfTrue="1">
      <formula>AND(NOT(ISBLANK(H194)),NOT(_xlfn.ISFORMULA(H194)))</formula>
    </cfRule>
  </conditionalFormatting>
  <conditionalFormatting sqref="E210">
    <cfRule type="expression" dxfId="1135" priority="1193">
      <formula>AND(AND(NOT(ISBLANK(D210)),NOT(D210=$O$1)),AND(NOT(ISBLANK(C210)),NOT(C210=$O$1)))</formula>
    </cfRule>
    <cfRule type="expression" dxfId="1134" priority="1194">
      <formula>OR(AND(NOT(ISBLANK(D210)),NOT(D210=$O$1)),AND(NOT(ISBLANK(C210)),NOT(C210=$O$1)))</formula>
    </cfRule>
  </conditionalFormatting>
  <conditionalFormatting sqref="F210">
    <cfRule type="expression" dxfId="1133" priority="1191">
      <formula>AND(AND(NOT(ISBLANK(G210)),NOT(G210=$O$1)),AND(NOT(ISBLANK(H210)),NOT(H210=$O$1)))</formula>
    </cfRule>
    <cfRule type="expression" dxfId="1132" priority="1192">
      <formula>OR(AND(NOT(ISBLANK(G210)),NOT(G210=$O$1)),AND(NOT(ISBLANK(H210)),NOT(H210=$O$1)))</formula>
    </cfRule>
  </conditionalFormatting>
  <conditionalFormatting sqref="E4">
    <cfRule type="expression" dxfId="1131" priority="1185">
      <formula>AND(AND(NOT(ISBLANK(D4)),NOT(D4=$O$1)),AND(NOT(ISBLANK(C4)),NOT(C4=$O$1)))</formula>
    </cfRule>
    <cfRule type="expression" dxfId="1130" priority="1186">
      <formula>OR(AND(NOT(ISBLANK(D4)),NOT(D4=$O$1)),AND(NOT(ISBLANK(C4)),NOT(C4=$O$1)))</formula>
    </cfRule>
  </conditionalFormatting>
  <conditionalFormatting sqref="F4">
    <cfRule type="expression" dxfId="1129" priority="1183">
      <formula>AND(AND(NOT(ISBLANK(G4)),NOT(G4=$O$1)),AND(NOT(ISBLANK(H4)),NOT(H4=$O$1)))</formula>
    </cfRule>
    <cfRule type="expression" dxfId="1128" priority="1184">
      <formula>OR(AND(NOT(ISBLANK(G4)),NOT(G4=$O$1)),AND(NOT(ISBLANK(H4)),NOT(H4=$O$1)))</formula>
    </cfRule>
  </conditionalFormatting>
  <conditionalFormatting sqref="E5">
    <cfRule type="expression" dxfId="1127" priority="1181">
      <formula>AND(AND(NOT(ISBLANK(D5)),NOT(D5=$O$1)),AND(NOT(ISBLANK(C5)),NOT(C5=$O$1)))</formula>
    </cfRule>
    <cfRule type="expression" dxfId="1126" priority="1182">
      <formula>OR(AND(NOT(ISBLANK(D5)),NOT(D5=$O$1)),AND(NOT(ISBLANK(C5)),NOT(C5=$O$1)))</formula>
    </cfRule>
  </conditionalFormatting>
  <conditionalFormatting sqref="F5">
    <cfRule type="expression" dxfId="1125" priority="1179">
      <formula>AND(AND(NOT(ISBLANK(G5)),NOT(G5=$O$1)),AND(NOT(ISBLANK(H5)),NOT(H5=$O$1)))</formula>
    </cfRule>
    <cfRule type="expression" dxfId="1124" priority="1180">
      <formula>OR(AND(NOT(ISBLANK(G5)),NOT(G5=$O$1)),AND(NOT(ISBLANK(H5)),NOT(H5=$O$1)))</formula>
    </cfRule>
  </conditionalFormatting>
  <conditionalFormatting sqref="E6">
    <cfRule type="expression" dxfId="1123" priority="1177">
      <formula>AND(AND(NOT(ISBLANK(D6)),NOT(D6=$O$1)),AND(NOT(ISBLANK(C6)),NOT(C6=$O$1)))</formula>
    </cfRule>
    <cfRule type="expression" dxfId="1122" priority="1178">
      <formula>OR(AND(NOT(ISBLANK(D6)),NOT(D6=$O$1)),AND(NOT(ISBLANK(C6)),NOT(C6=$O$1)))</formula>
    </cfRule>
  </conditionalFormatting>
  <conditionalFormatting sqref="F6">
    <cfRule type="expression" dxfId="1121" priority="1175">
      <formula>AND(AND(NOT(ISBLANK(G6)),NOT(G6=$O$1)),AND(NOT(ISBLANK(H6)),NOT(H6=$O$1)))</formula>
    </cfRule>
    <cfRule type="expression" dxfId="1120" priority="1176">
      <formula>OR(AND(NOT(ISBLANK(G6)),NOT(G6=$O$1)),AND(NOT(ISBLANK(H6)),NOT(H6=$O$1)))</formula>
    </cfRule>
  </conditionalFormatting>
  <conditionalFormatting sqref="E7:E8">
    <cfRule type="expression" dxfId="1119" priority="1173">
      <formula>AND(AND(NOT(ISBLANK(D7)),NOT(D7=$O$1)),AND(NOT(ISBLANK(C7)),NOT(C7=$O$1)))</formula>
    </cfRule>
    <cfRule type="expression" dxfId="1118" priority="1174">
      <formula>OR(AND(NOT(ISBLANK(D7)),NOT(D7=$O$1)),AND(NOT(ISBLANK(C7)),NOT(C7=$O$1)))</formula>
    </cfRule>
  </conditionalFormatting>
  <conditionalFormatting sqref="F7:F8">
    <cfRule type="expression" dxfId="1117" priority="1171">
      <formula>AND(AND(NOT(ISBLANK(G7)),NOT(G7=$O$1)),AND(NOT(ISBLANK(H7)),NOT(H7=$O$1)))</formula>
    </cfRule>
    <cfRule type="expression" dxfId="1116" priority="1172">
      <formula>OR(AND(NOT(ISBLANK(G7)),NOT(G7=$O$1)),AND(NOT(ISBLANK(H7)),NOT(H7=$O$1)))</formula>
    </cfRule>
  </conditionalFormatting>
  <conditionalFormatting sqref="E9">
    <cfRule type="expression" dxfId="1115" priority="1099">
      <formula>AND(AND(NOT(ISBLANK(D9)),NOT(D9=$O$1)),AND(NOT(ISBLANK(C9)),NOT(C9=$O$1)))</formula>
    </cfRule>
    <cfRule type="expression" dxfId="1114" priority="1100">
      <formula>OR(AND(NOT(ISBLANK(D9)),NOT(D9=$O$1)),AND(NOT(ISBLANK(C9)),NOT(C9=$O$1)))</formula>
    </cfRule>
  </conditionalFormatting>
  <conditionalFormatting sqref="F9">
    <cfRule type="expression" dxfId="1113" priority="1097">
      <formula>AND(AND(NOT(ISBLANK(G9)),NOT(G9=$O$1)),AND(NOT(ISBLANK(H9)),NOT(H9=$O$1)))</formula>
    </cfRule>
    <cfRule type="expression" dxfId="1112" priority="1098">
      <formula>OR(AND(NOT(ISBLANK(G9)),NOT(G9=$O$1)),AND(NOT(ISBLANK(H9)),NOT(H9=$O$1)))</formula>
    </cfRule>
  </conditionalFormatting>
  <conditionalFormatting sqref="E10">
    <cfRule type="expression" dxfId="1111" priority="1095">
      <formula>AND(AND(NOT(ISBLANK(D10)),NOT(D10=$O$1)),AND(NOT(ISBLANK(C10)),NOT(C10=$O$1)))</formula>
    </cfRule>
    <cfRule type="expression" dxfId="1110" priority="1096">
      <formula>OR(AND(NOT(ISBLANK(D10)),NOT(D10=$O$1)),AND(NOT(ISBLANK(C10)),NOT(C10=$O$1)))</formula>
    </cfRule>
  </conditionalFormatting>
  <conditionalFormatting sqref="F10">
    <cfRule type="expression" dxfId="1109" priority="1093">
      <formula>AND(AND(NOT(ISBLANK(G10)),NOT(G10=$O$1)),AND(NOT(ISBLANK(H10)),NOT(H10=$O$1)))</formula>
    </cfRule>
    <cfRule type="expression" dxfId="1108" priority="1094">
      <formula>OR(AND(NOT(ISBLANK(G10)),NOT(G10=$O$1)),AND(NOT(ISBLANK(H10)),NOT(H10=$O$1)))</formula>
    </cfRule>
  </conditionalFormatting>
  <conditionalFormatting sqref="E11">
    <cfRule type="expression" dxfId="1107" priority="1091">
      <formula>AND(AND(NOT(ISBLANK(D11)),NOT(D11=$O$1)),AND(NOT(ISBLANK(C11)),NOT(C11=$O$1)))</formula>
    </cfRule>
    <cfRule type="expression" dxfId="1106" priority="1092">
      <formula>OR(AND(NOT(ISBLANK(D11)),NOT(D11=$O$1)),AND(NOT(ISBLANK(C11)),NOT(C11=$O$1)))</formula>
    </cfRule>
  </conditionalFormatting>
  <conditionalFormatting sqref="F11">
    <cfRule type="expression" dxfId="1105" priority="1089">
      <formula>AND(AND(NOT(ISBLANK(G11)),NOT(G11=$O$1)),AND(NOT(ISBLANK(H11)),NOT(H11=$O$1)))</formula>
    </cfRule>
    <cfRule type="expression" dxfId="1104" priority="1090">
      <formula>OR(AND(NOT(ISBLANK(G11)),NOT(G11=$O$1)),AND(NOT(ISBLANK(H11)),NOT(H11=$O$1)))</formula>
    </cfRule>
  </conditionalFormatting>
  <conditionalFormatting sqref="E12">
    <cfRule type="expression" dxfId="1103" priority="1087">
      <formula>AND(AND(NOT(ISBLANK(D12)),NOT(D12=$O$1)),AND(NOT(ISBLANK(C12)),NOT(C12=$O$1)))</formula>
    </cfRule>
    <cfRule type="expression" dxfId="1102" priority="1088">
      <formula>OR(AND(NOT(ISBLANK(D12)),NOT(D12=$O$1)),AND(NOT(ISBLANK(C12)),NOT(C12=$O$1)))</formula>
    </cfRule>
  </conditionalFormatting>
  <conditionalFormatting sqref="F12">
    <cfRule type="expression" dxfId="1101" priority="1085">
      <formula>AND(AND(NOT(ISBLANK(G12)),NOT(G12=$O$1)),AND(NOT(ISBLANK(H12)),NOT(H12=$O$1)))</formula>
    </cfRule>
    <cfRule type="expression" dxfId="1100" priority="1086">
      <formula>OR(AND(NOT(ISBLANK(G12)),NOT(G12=$O$1)),AND(NOT(ISBLANK(H12)),NOT(H12=$O$1)))</formula>
    </cfRule>
  </conditionalFormatting>
  <conditionalFormatting sqref="E13">
    <cfRule type="expression" dxfId="1099" priority="1083">
      <formula>AND(AND(NOT(ISBLANK(D13)),NOT(D13=$O$1)),AND(NOT(ISBLANK(C13)),NOT(C13=$O$1)))</formula>
    </cfRule>
    <cfRule type="expression" dxfId="1098" priority="1084">
      <formula>OR(AND(NOT(ISBLANK(D13)),NOT(D13=$O$1)),AND(NOT(ISBLANK(C13)),NOT(C13=$O$1)))</formula>
    </cfRule>
  </conditionalFormatting>
  <conditionalFormatting sqref="F13">
    <cfRule type="expression" dxfId="1097" priority="1081">
      <formula>AND(AND(NOT(ISBLANK(G13)),NOT(G13=$O$1)),AND(NOT(ISBLANK(H13)),NOT(H13=$O$1)))</formula>
    </cfRule>
    <cfRule type="expression" dxfId="1096" priority="1082">
      <formula>OR(AND(NOT(ISBLANK(G13)),NOT(G13=$O$1)),AND(NOT(ISBLANK(H13)),NOT(H13=$O$1)))</formula>
    </cfRule>
  </conditionalFormatting>
  <conditionalFormatting sqref="E14">
    <cfRule type="expression" dxfId="1095" priority="1079">
      <formula>AND(AND(NOT(ISBLANK(D14)),NOT(D14=$O$1)),AND(NOT(ISBLANK(C14)),NOT(C14=$O$1)))</formula>
    </cfRule>
    <cfRule type="expression" dxfId="1094" priority="1080">
      <formula>OR(AND(NOT(ISBLANK(D14)),NOT(D14=$O$1)),AND(NOT(ISBLANK(C14)),NOT(C14=$O$1)))</formula>
    </cfRule>
  </conditionalFormatting>
  <conditionalFormatting sqref="F14">
    <cfRule type="expression" dxfId="1093" priority="1077">
      <formula>AND(AND(NOT(ISBLANK(G14)),NOT(G14=$O$1)),AND(NOT(ISBLANK(H14)),NOT(H14=$O$1)))</formula>
    </cfRule>
    <cfRule type="expression" dxfId="1092" priority="1078">
      <formula>OR(AND(NOT(ISBLANK(G14)),NOT(G14=$O$1)),AND(NOT(ISBLANK(H14)),NOT(H14=$O$1)))</formula>
    </cfRule>
  </conditionalFormatting>
  <conditionalFormatting sqref="G5">
    <cfRule type="expression" dxfId="1091" priority="1125" stopIfTrue="1">
      <formula>AND(NOT(ISBLANK(G5)),NOT(_xlfn.ISFORMULA(G5)))</formula>
    </cfRule>
  </conditionalFormatting>
  <conditionalFormatting sqref="G6">
    <cfRule type="expression" dxfId="1090" priority="1124" stopIfTrue="1">
      <formula>AND(NOT(ISBLANK(G6)),NOT(_xlfn.ISFORMULA(G6)))</formula>
    </cfRule>
  </conditionalFormatting>
  <conditionalFormatting sqref="H5">
    <cfRule type="expression" dxfId="1089" priority="1115" stopIfTrue="1">
      <formula>AND(NOT(ISBLANK(H5)),NOT(_xlfn.ISFORMULA(H5)))</formula>
    </cfRule>
  </conditionalFormatting>
  <conditionalFormatting sqref="H6">
    <cfRule type="expression" dxfId="1088" priority="1114" stopIfTrue="1">
      <formula>AND(NOT(ISBLANK(H6)),NOT(_xlfn.ISFORMULA(H6)))</formula>
    </cfRule>
  </conditionalFormatting>
  <conditionalFormatting sqref="D4">
    <cfRule type="expression" dxfId="1087" priority="1136" stopIfTrue="1">
      <formula>AND(NOT(ISBLANK(D4)),NOT(_xlfn.ISFORMULA(D4)))</formula>
    </cfRule>
  </conditionalFormatting>
  <conditionalFormatting sqref="D5">
    <cfRule type="expression" dxfId="1086" priority="1135" stopIfTrue="1">
      <formula>AND(NOT(ISBLANK(D5)),NOT(_xlfn.ISFORMULA(D5)))</formula>
    </cfRule>
  </conditionalFormatting>
  <conditionalFormatting sqref="D6">
    <cfRule type="expression" dxfId="1085" priority="1134" stopIfTrue="1">
      <formula>AND(NOT(ISBLANK(D6)),NOT(_xlfn.ISFORMULA(D6)))</formula>
    </cfRule>
  </conditionalFormatting>
  <conditionalFormatting sqref="C4">
    <cfRule type="expression" dxfId="1084" priority="1146" stopIfTrue="1">
      <formula>AND(NOT(ISBLANK(C4)),NOT(_xlfn.ISFORMULA(C4)))</formula>
    </cfRule>
  </conditionalFormatting>
  <conditionalFormatting sqref="C5">
    <cfRule type="expression" dxfId="1083" priority="1145" stopIfTrue="1">
      <formula>AND(NOT(ISBLANK(C5)),NOT(_xlfn.ISFORMULA(C5)))</formula>
    </cfRule>
  </conditionalFormatting>
  <conditionalFormatting sqref="C6">
    <cfRule type="expression" dxfId="1082" priority="1144" stopIfTrue="1">
      <formula>AND(NOT(ISBLANK(C6)),NOT(_xlfn.ISFORMULA(C6)))</formula>
    </cfRule>
  </conditionalFormatting>
  <conditionalFormatting sqref="G4">
    <cfRule type="expression" dxfId="1081" priority="1106" stopIfTrue="1">
      <formula>AND(NOT(ISBLANK(G4)),NOT(_xlfn.ISFORMULA(G4)))</formula>
    </cfRule>
  </conditionalFormatting>
  <conditionalFormatting sqref="H4">
    <cfRule type="expression" dxfId="1080" priority="1105" stopIfTrue="1">
      <formula>AND(NOT(ISBLANK(H4)),NOT(_xlfn.ISFORMULA(H4)))</formula>
    </cfRule>
  </conditionalFormatting>
  <conditionalFormatting sqref="C7:C8">
    <cfRule type="expression" dxfId="1079" priority="1104" stopIfTrue="1">
      <formula>AND(NOT(ISBLANK(C7)),NOT(_xlfn.ISFORMULA(C7)))</formula>
    </cfRule>
  </conditionalFormatting>
  <conditionalFormatting sqref="D7:D8">
    <cfRule type="expression" dxfId="1078" priority="1103" stopIfTrue="1">
      <formula>AND(NOT(ISBLANK(D7)),NOT(_xlfn.ISFORMULA(D7)))</formula>
    </cfRule>
  </conditionalFormatting>
  <conditionalFormatting sqref="G7:G8">
    <cfRule type="expression" dxfId="1077" priority="1102" stopIfTrue="1">
      <formula>AND(NOT(ISBLANK(G7)),NOT(_xlfn.ISFORMULA(G7)))</formula>
    </cfRule>
  </conditionalFormatting>
  <conditionalFormatting sqref="H7:H8">
    <cfRule type="expression" dxfId="1076" priority="1101" stopIfTrue="1">
      <formula>AND(NOT(ISBLANK(H7)),NOT(_xlfn.ISFORMULA(H7)))</formula>
    </cfRule>
  </conditionalFormatting>
  <conditionalFormatting sqref="E15">
    <cfRule type="expression" dxfId="1075" priority="1075">
      <formula>AND(AND(NOT(ISBLANK(D15)),NOT(D15=$O$1)),AND(NOT(ISBLANK(C15)),NOT(C15=$O$1)))</formula>
    </cfRule>
    <cfRule type="expression" dxfId="1074" priority="1076">
      <formula>OR(AND(NOT(ISBLANK(D15)),NOT(D15=$O$1)),AND(NOT(ISBLANK(C15)),NOT(C15=$O$1)))</formula>
    </cfRule>
  </conditionalFormatting>
  <conditionalFormatting sqref="F15">
    <cfRule type="expression" dxfId="1073" priority="1073">
      <formula>AND(AND(NOT(ISBLANK(G15)),NOT(G15=$O$1)),AND(NOT(ISBLANK(H15)),NOT(H15=$O$1)))</formula>
    </cfRule>
    <cfRule type="expression" dxfId="1072" priority="1074">
      <formula>OR(AND(NOT(ISBLANK(G15)),NOT(G15=$O$1)),AND(NOT(ISBLANK(H15)),NOT(H15=$O$1)))</formula>
    </cfRule>
  </conditionalFormatting>
  <conditionalFormatting sqref="E16">
    <cfRule type="expression" dxfId="1071" priority="1071">
      <formula>AND(AND(NOT(ISBLANK(D16)),NOT(D16=$O$1)),AND(NOT(ISBLANK(C16)),NOT(C16=$O$1)))</formula>
    </cfRule>
    <cfRule type="expression" dxfId="1070" priority="1072">
      <formula>OR(AND(NOT(ISBLANK(D16)),NOT(D16=$O$1)),AND(NOT(ISBLANK(C16)),NOT(C16=$O$1)))</formula>
    </cfRule>
  </conditionalFormatting>
  <conditionalFormatting sqref="F16">
    <cfRule type="expression" dxfId="1069" priority="1069">
      <formula>AND(AND(NOT(ISBLANK(G16)),NOT(G16=$O$1)),AND(NOT(ISBLANK(H16)),NOT(H16=$O$1)))</formula>
    </cfRule>
    <cfRule type="expression" dxfId="1068" priority="1070">
      <formula>OR(AND(NOT(ISBLANK(G16)),NOT(G16=$O$1)),AND(NOT(ISBLANK(H16)),NOT(H16=$O$1)))</formula>
    </cfRule>
  </conditionalFormatting>
  <conditionalFormatting sqref="E17">
    <cfRule type="expression" dxfId="1067" priority="1067">
      <formula>AND(AND(NOT(ISBLANK(D17)),NOT(D17=$O$1)),AND(NOT(ISBLANK(C17)),NOT(C17=$O$1)))</formula>
    </cfRule>
    <cfRule type="expression" dxfId="1066" priority="1068">
      <formula>OR(AND(NOT(ISBLANK(D17)),NOT(D17=$O$1)),AND(NOT(ISBLANK(C17)),NOT(C17=$O$1)))</formula>
    </cfRule>
  </conditionalFormatting>
  <conditionalFormatting sqref="F17">
    <cfRule type="expression" dxfId="1065" priority="1065">
      <formula>AND(AND(NOT(ISBLANK(G17)),NOT(G17=$O$1)),AND(NOT(ISBLANK(H17)),NOT(H17=$O$1)))</formula>
    </cfRule>
    <cfRule type="expression" dxfId="1064" priority="1066">
      <formula>OR(AND(NOT(ISBLANK(G17)),NOT(G17=$O$1)),AND(NOT(ISBLANK(H17)),NOT(H17=$O$1)))</formula>
    </cfRule>
  </conditionalFormatting>
  <conditionalFormatting sqref="E18">
    <cfRule type="expression" dxfId="1063" priority="1063">
      <formula>AND(AND(NOT(ISBLANK(D18)),NOT(D18=$O$1)),AND(NOT(ISBLANK(C18)),NOT(C18=$O$1)))</formula>
    </cfRule>
    <cfRule type="expression" dxfId="1062" priority="1064">
      <formula>OR(AND(NOT(ISBLANK(D18)),NOT(D18=$O$1)),AND(NOT(ISBLANK(C18)),NOT(C18=$O$1)))</formula>
    </cfRule>
  </conditionalFormatting>
  <conditionalFormatting sqref="F18">
    <cfRule type="expression" dxfId="1061" priority="1061">
      <formula>AND(AND(NOT(ISBLANK(G18)),NOT(G18=$O$1)),AND(NOT(ISBLANK(H18)),NOT(H18=$O$1)))</formula>
    </cfRule>
    <cfRule type="expression" dxfId="1060" priority="1062">
      <formula>OR(AND(NOT(ISBLANK(G18)),NOT(G18=$O$1)),AND(NOT(ISBLANK(H18)),NOT(H18=$O$1)))</formula>
    </cfRule>
  </conditionalFormatting>
  <conditionalFormatting sqref="E19">
    <cfRule type="expression" dxfId="1059" priority="1059">
      <formula>AND(AND(NOT(ISBLANK(D19)),NOT(D19=$O$1)),AND(NOT(ISBLANK(C19)),NOT(C19=$O$1)))</formula>
    </cfRule>
    <cfRule type="expression" dxfId="1058" priority="1060">
      <formula>OR(AND(NOT(ISBLANK(D19)),NOT(D19=$O$1)),AND(NOT(ISBLANK(C19)),NOT(C19=$O$1)))</formula>
    </cfRule>
  </conditionalFormatting>
  <conditionalFormatting sqref="F19">
    <cfRule type="expression" dxfId="1057" priority="1057">
      <formula>AND(AND(NOT(ISBLANK(G19)),NOT(G19=$O$1)),AND(NOT(ISBLANK(H19)),NOT(H19=$O$1)))</formula>
    </cfRule>
    <cfRule type="expression" dxfId="1056" priority="1058">
      <formula>OR(AND(NOT(ISBLANK(G19)),NOT(G19=$O$1)),AND(NOT(ISBLANK(H19)),NOT(H19=$O$1)))</formula>
    </cfRule>
  </conditionalFormatting>
  <conditionalFormatting sqref="E20">
    <cfRule type="expression" dxfId="1055" priority="1055">
      <formula>AND(AND(NOT(ISBLANK(D20)),NOT(D20=$O$1)),AND(NOT(ISBLANK(C20)),NOT(C20=$O$1)))</formula>
    </cfRule>
    <cfRule type="expression" dxfId="1054" priority="1056">
      <formula>OR(AND(NOT(ISBLANK(D20)),NOT(D20=$O$1)),AND(NOT(ISBLANK(C20)),NOT(C20=$O$1)))</formula>
    </cfRule>
  </conditionalFormatting>
  <conditionalFormatting sqref="F20">
    <cfRule type="expression" dxfId="1053" priority="1053">
      <formula>AND(AND(NOT(ISBLANK(G20)),NOT(G20=$O$1)),AND(NOT(ISBLANK(H20)),NOT(H20=$O$1)))</formula>
    </cfRule>
    <cfRule type="expression" dxfId="1052" priority="1054">
      <formula>OR(AND(NOT(ISBLANK(G20)),NOT(G20=$O$1)),AND(NOT(ISBLANK(H20)),NOT(H20=$O$1)))</formula>
    </cfRule>
  </conditionalFormatting>
  <conditionalFormatting sqref="E21">
    <cfRule type="expression" dxfId="1051" priority="1051">
      <formula>AND(AND(NOT(ISBLANK(D21)),NOT(D21=$O$1)),AND(NOT(ISBLANK(C21)),NOT(C21=$O$1)))</formula>
    </cfRule>
    <cfRule type="expression" dxfId="1050" priority="1052">
      <formula>OR(AND(NOT(ISBLANK(D21)),NOT(D21=$O$1)),AND(NOT(ISBLANK(C21)),NOT(C21=$O$1)))</formula>
    </cfRule>
  </conditionalFormatting>
  <conditionalFormatting sqref="F21">
    <cfRule type="expression" dxfId="1049" priority="1049">
      <formula>AND(AND(NOT(ISBLANK(G21)),NOT(G21=$O$1)),AND(NOT(ISBLANK(H21)),NOT(H21=$O$1)))</formula>
    </cfRule>
    <cfRule type="expression" dxfId="1048" priority="1050">
      <formula>OR(AND(NOT(ISBLANK(G21)),NOT(G21=$O$1)),AND(NOT(ISBLANK(H21)),NOT(H21=$O$1)))</formula>
    </cfRule>
  </conditionalFormatting>
  <conditionalFormatting sqref="E22">
    <cfRule type="expression" dxfId="1047" priority="1047">
      <formula>AND(AND(NOT(ISBLANK(D22)),NOT(D22=$O$1)),AND(NOT(ISBLANK(C22)),NOT(C22=$O$1)))</formula>
    </cfRule>
    <cfRule type="expression" dxfId="1046" priority="1048">
      <formula>OR(AND(NOT(ISBLANK(D22)),NOT(D22=$O$1)),AND(NOT(ISBLANK(C22)),NOT(C22=$O$1)))</formula>
    </cfRule>
  </conditionalFormatting>
  <conditionalFormatting sqref="F22">
    <cfRule type="expression" dxfId="1045" priority="1045">
      <formula>AND(AND(NOT(ISBLANK(G22)),NOT(G22=$O$1)),AND(NOT(ISBLANK(H22)),NOT(H22=$O$1)))</formula>
    </cfRule>
    <cfRule type="expression" dxfId="1044" priority="1046">
      <formula>OR(AND(NOT(ISBLANK(G22)),NOT(G22=$O$1)),AND(NOT(ISBLANK(H22)),NOT(H22=$O$1)))</formula>
    </cfRule>
  </conditionalFormatting>
  <conditionalFormatting sqref="E23">
    <cfRule type="expression" dxfId="1043" priority="1043">
      <formula>AND(AND(NOT(ISBLANK(D23)),NOT(D23=$O$1)),AND(NOT(ISBLANK(C23)),NOT(C23=$O$1)))</formula>
    </cfRule>
    <cfRule type="expression" dxfId="1042" priority="1044">
      <formula>OR(AND(NOT(ISBLANK(D23)),NOT(D23=$O$1)),AND(NOT(ISBLANK(C23)),NOT(C23=$O$1)))</formula>
    </cfRule>
  </conditionalFormatting>
  <conditionalFormatting sqref="F23">
    <cfRule type="expression" dxfId="1041" priority="1041">
      <formula>AND(AND(NOT(ISBLANK(G23)),NOT(G23=$O$1)),AND(NOT(ISBLANK(H23)),NOT(H23=$O$1)))</formula>
    </cfRule>
    <cfRule type="expression" dxfId="1040" priority="1042">
      <formula>OR(AND(NOT(ISBLANK(G23)),NOT(G23=$O$1)),AND(NOT(ISBLANK(H23)),NOT(H23=$O$1)))</formula>
    </cfRule>
  </conditionalFormatting>
  <conditionalFormatting sqref="E24">
    <cfRule type="expression" dxfId="1039" priority="1039">
      <formula>AND(AND(NOT(ISBLANK(D24)),NOT(D24=$O$1)),AND(NOT(ISBLANK(C24)),NOT(C24=$O$1)))</formula>
    </cfRule>
    <cfRule type="expression" dxfId="1038" priority="1040">
      <formula>OR(AND(NOT(ISBLANK(D24)),NOT(D24=$O$1)),AND(NOT(ISBLANK(C24)),NOT(C24=$O$1)))</formula>
    </cfRule>
  </conditionalFormatting>
  <conditionalFormatting sqref="F24">
    <cfRule type="expression" dxfId="1037" priority="1037">
      <formula>AND(AND(NOT(ISBLANK(G24)),NOT(G24=$O$1)),AND(NOT(ISBLANK(H24)),NOT(H24=$O$1)))</formula>
    </cfRule>
    <cfRule type="expression" dxfId="1036" priority="1038">
      <formula>OR(AND(NOT(ISBLANK(G24)),NOT(G24=$O$1)),AND(NOT(ISBLANK(H24)),NOT(H24=$O$1)))</formula>
    </cfRule>
  </conditionalFormatting>
  <conditionalFormatting sqref="E25">
    <cfRule type="expression" dxfId="1035" priority="1035">
      <formula>AND(AND(NOT(ISBLANK(D25)),NOT(D25=$O$1)),AND(NOT(ISBLANK(C25)),NOT(C25=$O$1)))</formula>
    </cfRule>
    <cfRule type="expression" dxfId="1034" priority="1036">
      <formula>OR(AND(NOT(ISBLANK(D25)),NOT(D25=$O$1)),AND(NOT(ISBLANK(C25)),NOT(C25=$O$1)))</formula>
    </cfRule>
  </conditionalFormatting>
  <conditionalFormatting sqref="F25">
    <cfRule type="expression" dxfId="1033" priority="1033">
      <formula>AND(AND(NOT(ISBLANK(G25)),NOT(G25=$O$1)),AND(NOT(ISBLANK(H25)),NOT(H25=$O$1)))</formula>
    </cfRule>
    <cfRule type="expression" dxfId="1032" priority="1034">
      <formula>OR(AND(NOT(ISBLANK(G25)),NOT(G25=$O$1)),AND(NOT(ISBLANK(H25)),NOT(H25=$O$1)))</formula>
    </cfRule>
  </conditionalFormatting>
  <conditionalFormatting sqref="E26">
    <cfRule type="expression" dxfId="1031" priority="1031">
      <formula>AND(AND(NOT(ISBLANK(D26)),NOT(D26=$O$1)),AND(NOT(ISBLANK(C26)),NOT(C26=$O$1)))</formula>
    </cfRule>
    <cfRule type="expression" dxfId="1030" priority="1032">
      <formula>OR(AND(NOT(ISBLANK(D26)),NOT(D26=$O$1)),AND(NOT(ISBLANK(C26)),NOT(C26=$O$1)))</formula>
    </cfRule>
  </conditionalFormatting>
  <conditionalFormatting sqref="F26">
    <cfRule type="expression" dxfId="1029" priority="1029">
      <formula>AND(AND(NOT(ISBLANK(G26)),NOT(G26=$O$1)),AND(NOT(ISBLANK(H26)),NOT(H26=$O$1)))</formula>
    </cfRule>
    <cfRule type="expression" dxfId="1028" priority="1030">
      <formula>OR(AND(NOT(ISBLANK(G26)),NOT(G26=$O$1)),AND(NOT(ISBLANK(H26)),NOT(H26=$O$1)))</formula>
    </cfRule>
  </conditionalFormatting>
  <conditionalFormatting sqref="E27">
    <cfRule type="expression" dxfId="1027" priority="1027">
      <formula>AND(AND(NOT(ISBLANK(D27)),NOT(D27=$O$1)),AND(NOT(ISBLANK(C27)),NOT(C27=$O$1)))</formula>
    </cfRule>
    <cfRule type="expression" dxfId="1026" priority="1028">
      <formula>OR(AND(NOT(ISBLANK(D27)),NOT(D27=$O$1)),AND(NOT(ISBLANK(C27)),NOT(C27=$O$1)))</formula>
    </cfRule>
  </conditionalFormatting>
  <conditionalFormatting sqref="F27">
    <cfRule type="expression" dxfId="1025" priority="1025">
      <formula>AND(AND(NOT(ISBLANK(G27)),NOT(G27=$O$1)),AND(NOT(ISBLANK(H27)),NOT(H27=$O$1)))</formula>
    </cfRule>
    <cfRule type="expression" dxfId="1024" priority="1026">
      <formula>OR(AND(NOT(ISBLANK(G27)),NOT(G27=$O$1)),AND(NOT(ISBLANK(H27)),NOT(H27=$O$1)))</formula>
    </cfRule>
  </conditionalFormatting>
  <conditionalFormatting sqref="E28">
    <cfRule type="expression" dxfId="1023" priority="1023">
      <formula>AND(AND(NOT(ISBLANK(D28)),NOT(D28=$O$1)),AND(NOT(ISBLANK(C28)),NOT(C28=$O$1)))</formula>
    </cfRule>
    <cfRule type="expression" dxfId="1022" priority="1024">
      <formula>OR(AND(NOT(ISBLANK(D28)),NOT(D28=$O$1)),AND(NOT(ISBLANK(C28)),NOT(C28=$O$1)))</formula>
    </cfRule>
  </conditionalFormatting>
  <conditionalFormatting sqref="F28">
    <cfRule type="expression" dxfId="1021" priority="1021">
      <formula>AND(AND(NOT(ISBLANK(G28)),NOT(G28=$O$1)),AND(NOT(ISBLANK(H28)),NOT(H28=$O$1)))</formula>
    </cfRule>
    <cfRule type="expression" dxfId="1020" priority="1022">
      <formula>OR(AND(NOT(ISBLANK(G28)),NOT(G28=$O$1)),AND(NOT(ISBLANK(H28)),NOT(H28=$O$1)))</formula>
    </cfRule>
  </conditionalFormatting>
  <conditionalFormatting sqref="E29">
    <cfRule type="expression" dxfId="1019" priority="1019">
      <formula>AND(AND(NOT(ISBLANK(D29)),NOT(D29=$O$1)),AND(NOT(ISBLANK(C29)),NOT(C29=$O$1)))</formula>
    </cfRule>
    <cfRule type="expression" dxfId="1018" priority="1020">
      <formula>OR(AND(NOT(ISBLANK(D29)),NOT(D29=$O$1)),AND(NOT(ISBLANK(C29)),NOT(C29=$O$1)))</formula>
    </cfRule>
  </conditionalFormatting>
  <conditionalFormatting sqref="F29">
    <cfRule type="expression" dxfId="1017" priority="1017">
      <formula>AND(AND(NOT(ISBLANK(G29)),NOT(G29=$O$1)),AND(NOT(ISBLANK(H29)),NOT(H29=$O$1)))</formula>
    </cfRule>
    <cfRule type="expression" dxfId="1016" priority="1018">
      <formula>OR(AND(NOT(ISBLANK(G29)),NOT(G29=$O$1)),AND(NOT(ISBLANK(H29)),NOT(H29=$O$1)))</formula>
    </cfRule>
  </conditionalFormatting>
  <conditionalFormatting sqref="E30">
    <cfRule type="expression" dxfId="1015" priority="1015">
      <formula>AND(AND(NOT(ISBLANK(D30)),NOT(D30=$O$1)),AND(NOT(ISBLANK(C30)),NOT(C30=$O$1)))</formula>
    </cfRule>
    <cfRule type="expression" dxfId="1014" priority="1016">
      <formula>OR(AND(NOT(ISBLANK(D30)),NOT(D30=$O$1)),AND(NOT(ISBLANK(C30)),NOT(C30=$O$1)))</formula>
    </cfRule>
  </conditionalFormatting>
  <conditionalFormatting sqref="F30">
    <cfRule type="expression" dxfId="1013" priority="1013">
      <formula>AND(AND(NOT(ISBLANK(G30)),NOT(G30=$O$1)),AND(NOT(ISBLANK(H30)),NOT(H30=$O$1)))</formula>
    </cfRule>
    <cfRule type="expression" dxfId="1012" priority="1014">
      <formula>OR(AND(NOT(ISBLANK(G30)),NOT(G30=$O$1)),AND(NOT(ISBLANK(H30)),NOT(H30=$O$1)))</formula>
    </cfRule>
  </conditionalFormatting>
  <conditionalFormatting sqref="E31">
    <cfRule type="expression" dxfId="1011" priority="1011">
      <formula>AND(AND(NOT(ISBLANK(D31)),NOT(D31=$O$1)),AND(NOT(ISBLANK(C31)),NOT(C31=$O$1)))</formula>
    </cfRule>
    <cfRule type="expression" dxfId="1010" priority="1012">
      <formula>OR(AND(NOT(ISBLANK(D31)),NOT(D31=$O$1)),AND(NOT(ISBLANK(C31)),NOT(C31=$O$1)))</formula>
    </cfRule>
  </conditionalFormatting>
  <conditionalFormatting sqref="F31">
    <cfRule type="expression" dxfId="1009" priority="1009">
      <formula>AND(AND(NOT(ISBLANK(G31)),NOT(G31=$O$1)),AND(NOT(ISBLANK(H31)),NOT(H31=$O$1)))</formula>
    </cfRule>
    <cfRule type="expression" dxfId="1008" priority="1010">
      <formula>OR(AND(NOT(ISBLANK(G31)),NOT(G31=$O$1)),AND(NOT(ISBLANK(H31)),NOT(H31=$O$1)))</formula>
    </cfRule>
  </conditionalFormatting>
  <conditionalFormatting sqref="E32">
    <cfRule type="expression" dxfId="1007" priority="1007">
      <formula>AND(AND(NOT(ISBLANK(D32)),NOT(D32=$O$1)),AND(NOT(ISBLANK(C32)),NOT(C32=$O$1)))</formula>
    </cfRule>
    <cfRule type="expression" dxfId="1006" priority="1008">
      <formula>OR(AND(NOT(ISBLANK(D32)),NOT(D32=$O$1)),AND(NOT(ISBLANK(C32)),NOT(C32=$O$1)))</formula>
    </cfRule>
  </conditionalFormatting>
  <conditionalFormatting sqref="F32">
    <cfRule type="expression" dxfId="1005" priority="1005">
      <formula>AND(AND(NOT(ISBLANK(G32)),NOT(G32=$O$1)),AND(NOT(ISBLANK(H32)),NOT(H32=$O$1)))</formula>
    </cfRule>
    <cfRule type="expression" dxfId="1004" priority="1006">
      <formula>OR(AND(NOT(ISBLANK(G32)),NOT(G32=$O$1)),AND(NOT(ISBLANK(H32)),NOT(H32=$O$1)))</formula>
    </cfRule>
  </conditionalFormatting>
  <conditionalFormatting sqref="E33">
    <cfRule type="expression" dxfId="1003" priority="1003">
      <formula>AND(AND(NOT(ISBLANK(D33)),NOT(D33=$O$1)),AND(NOT(ISBLANK(C33)),NOT(C33=$O$1)))</formula>
    </cfRule>
    <cfRule type="expression" dxfId="1002" priority="1004">
      <formula>OR(AND(NOT(ISBLANK(D33)),NOT(D33=$O$1)),AND(NOT(ISBLANK(C33)),NOT(C33=$O$1)))</formula>
    </cfRule>
  </conditionalFormatting>
  <conditionalFormatting sqref="F33">
    <cfRule type="expression" dxfId="1001" priority="1001">
      <formula>AND(AND(NOT(ISBLANK(G33)),NOT(G33=$O$1)),AND(NOT(ISBLANK(H33)),NOT(H33=$O$1)))</formula>
    </cfRule>
    <cfRule type="expression" dxfId="1000" priority="1002">
      <formula>OR(AND(NOT(ISBLANK(G33)),NOT(G33=$O$1)),AND(NOT(ISBLANK(H33)),NOT(H33=$O$1)))</formula>
    </cfRule>
  </conditionalFormatting>
  <conditionalFormatting sqref="E34">
    <cfRule type="expression" dxfId="999" priority="999">
      <formula>AND(AND(NOT(ISBLANK(D34)),NOT(D34=$O$1)),AND(NOT(ISBLANK(C34)),NOT(C34=$O$1)))</formula>
    </cfRule>
    <cfRule type="expression" dxfId="998" priority="1000">
      <formula>OR(AND(NOT(ISBLANK(D34)),NOT(D34=$O$1)),AND(NOT(ISBLANK(C34)),NOT(C34=$O$1)))</formula>
    </cfRule>
  </conditionalFormatting>
  <conditionalFormatting sqref="F34">
    <cfRule type="expression" dxfId="997" priority="997">
      <formula>AND(AND(NOT(ISBLANK(G34)),NOT(G34=$O$1)),AND(NOT(ISBLANK(H34)),NOT(H34=$O$1)))</formula>
    </cfRule>
    <cfRule type="expression" dxfId="996" priority="998">
      <formula>OR(AND(NOT(ISBLANK(G34)),NOT(G34=$O$1)),AND(NOT(ISBLANK(H34)),NOT(H34=$O$1)))</formula>
    </cfRule>
  </conditionalFormatting>
  <conditionalFormatting sqref="E35">
    <cfRule type="expression" dxfId="995" priority="995">
      <formula>AND(AND(NOT(ISBLANK(D35)),NOT(D35=$O$1)),AND(NOT(ISBLANK(C35)),NOT(C35=$O$1)))</formula>
    </cfRule>
    <cfRule type="expression" dxfId="994" priority="996">
      <formula>OR(AND(NOT(ISBLANK(D35)),NOT(D35=$O$1)),AND(NOT(ISBLANK(C35)),NOT(C35=$O$1)))</formula>
    </cfRule>
  </conditionalFormatting>
  <conditionalFormatting sqref="F35">
    <cfRule type="expression" dxfId="993" priority="993">
      <formula>AND(AND(NOT(ISBLANK(G35)),NOT(G35=$O$1)),AND(NOT(ISBLANK(H35)),NOT(H35=$O$1)))</formula>
    </cfRule>
    <cfRule type="expression" dxfId="992" priority="994">
      <formula>OR(AND(NOT(ISBLANK(G35)),NOT(G35=$O$1)),AND(NOT(ISBLANK(H35)),NOT(H35=$O$1)))</formula>
    </cfRule>
  </conditionalFormatting>
  <conditionalFormatting sqref="E36">
    <cfRule type="expression" dxfId="991" priority="991">
      <formula>AND(AND(NOT(ISBLANK(D36)),NOT(D36=$O$1)),AND(NOT(ISBLANK(C36)),NOT(C36=$O$1)))</formula>
    </cfRule>
    <cfRule type="expression" dxfId="990" priority="992">
      <formula>OR(AND(NOT(ISBLANK(D36)),NOT(D36=$O$1)),AND(NOT(ISBLANK(C36)),NOT(C36=$O$1)))</formula>
    </cfRule>
  </conditionalFormatting>
  <conditionalFormatting sqref="F36">
    <cfRule type="expression" dxfId="989" priority="989">
      <formula>AND(AND(NOT(ISBLANK(G36)),NOT(G36=$O$1)),AND(NOT(ISBLANK(H36)),NOT(H36=$O$1)))</formula>
    </cfRule>
    <cfRule type="expression" dxfId="988" priority="990">
      <formula>OR(AND(NOT(ISBLANK(G36)),NOT(G36=$O$1)),AND(NOT(ISBLANK(H36)),NOT(H36=$O$1)))</formula>
    </cfRule>
  </conditionalFormatting>
  <conditionalFormatting sqref="E37">
    <cfRule type="expression" dxfId="987" priority="987">
      <formula>AND(AND(NOT(ISBLANK(D37)),NOT(D37=$O$1)),AND(NOT(ISBLANK(C37)),NOT(C37=$O$1)))</formula>
    </cfRule>
    <cfRule type="expression" dxfId="986" priority="988">
      <formula>OR(AND(NOT(ISBLANK(D37)),NOT(D37=$O$1)),AND(NOT(ISBLANK(C37)),NOT(C37=$O$1)))</formula>
    </cfRule>
  </conditionalFormatting>
  <conditionalFormatting sqref="F37">
    <cfRule type="expression" dxfId="985" priority="985">
      <formula>AND(AND(NOT(ISBLANK(G37)),NOT(G37=$O$1)),AND(NOT(ISBLANK(H37)),NOT(H37=$O$1)))</formula>
    </cfRule>
    <cfRule type="expression" dxfId="984" priority="986">
      <formula>OR(AND(NOT(ISBLANK(G37)),NOT(G37=$O$1)),AND(NOT(ISBLANK(H37)),NOT(H37=$O$1)))</formula>
    </cfRule>
  </conditionalFormatting>
  <conditionalFormatting sqref="E38">
    <cfRule type="expression" dxfId="983" priority="983">
      <formula>AND(AND(NOT(ISBLANK(D38)),NOT(D38=$O$1)),AND(NOT(ISBLANK(C38)),NOT(C38=$O$1)))</formula>
    </cfRule>
    <cfRule type="expression" dxfId="982" priority="984">
      <formula>OR(AND(NOT(ISBLANK(D38)),NOT(D38=$O$1)),AND(NOT(ISBLANK(C38)),NOT(C38=$O$1)))</formula>
    </cfRule>
  </conditionalFormatting>
  <conditionalFormatting sqref="F38">
    <cfRule type="expression" dxfId="981" priority="981">
      <formula>AND(AND(NOT(ISBLANK(G38)),NOT(G38=$O$1)),AND(NOT(ISBLANK(H38)),NOT(H38=$O$1)))</formula>
    </cfRule>
    <cfRule type="expression" dxfId="980" priority="982">
      <formula>OR(AND(NOT(ISBLANK(G38)),NOT(G38=$O$1)),AND(NOT(ISBLANK(H38)),NOT(H38=$O$1)))</formula>
    </cfRule>
  </conditionalFormatting>
  <conditionalFormatting sqref="E39">
    <cfRule type="expression" dxfId="979" priority="979">
      <formula>AND(AND(NOT(ISBLANK(D39)),NOT(D39=$O$1)),AND(NOT(ISBLANK(C39)),NOT(C39=$O$1)))</formula>
    </cfRule>
    <cfRule type="expression" dxfId="978" priority="980">
      <formula>OR(AND(NOT(ISBLANK(D39)),NOT(D39=$O$1)),AND(NOT(ISBLANK(C39)),NOT(C39=$O$1)))</formula>
    </cfRule>
  </conditionalFormatting>
  <conditionalFormatting sqref="F39">
    <cfRule type="expression" dxfId="977" priority="977">
      <formula>AND(AND(NOT(ISBLANK(G39)),NOT(G39=$O$1)),AND(NOT(ISBLANK(H39)),NOT(H39=$O$1)))</formula>
    </cfRule>
    <cfRule type="expression" dxfId="976" priority="978">
      <formula>OR(AND(NOT(ISBLANK(G39)),NOT(G39=$O$1)),AND(NOT(ISBLANK(H39)),NOT(H39=$O$1)))</formula>
    </cfRule>
  </conditionalFormatting>
  <conditionalFormatting sqref="E40">
    <cfRule type="expression" dxfId="975" priority="975">
      <formula>AND(AND(NOT(ISBLANK(D40)),NOT(D40=$O$1)),AND(NOT(ISBLANK(C40)),NOT(C40=$O$1)))</formula>
    </cfRule>
    <cfRule type="expression" dxfId="974" priority="976">
      <formula>OR(AND(NOT(ISBLANK(D40)),NOT(D40=$O$1)),AND(NOT(ISBLANK(C40)),NOT(C40=$O$1)))</formula>
    </cfRule>
  </conditionalFormatting>
  <conditionalFormatting sqref="F40">
    <cfRule type="expression" dxfId="973" priority="973">
      <formula>AND(AND(NOT(ISBLANK(G40)),NOT(G40=$O$1)),AND(NOT(ISBLANK(H40)),NOT(H40=$O$1)))</formula>
    </cfRule>
    <cfRule type="expression" dxfId="972" priority="974">
      <formula>OR(AND(NOT(ISBLANK(G40)),NOT(G40=$O$1)),AND(NOT(ISBLANK(H40)),NOT(H40=$O$1)))</formula>
    </cfRule>
  </conditionalFormatting>
  <conditionalFormatting sqref="E41">
    <cfRule type="expression" dxfId="971" priority="971">
      <formula>AND(AND(NOT(ISBLANK(D41)),NOT(D41=$O$1)),AND(NOT(ISBLANK(C41)),NOT(C41=$O$1)))</formula>
    </cfRule>
    <cfRule type="expression" dxfId="970" priority="972">
      <formula>OR(AND(NOT(ISBLANK(D41)),NOT(D41=$O$1)),AND(NOT(ISBLANK(C41)),NOT(C41=$O$1)))</formula>
    </cfRule>
  </conditionalFormatting>
  <conditionalFormatting sqref="F41">
    <cfRule type="expression" dxfId="969" priority="969">
      <formula>AND(AND(NOT(ISBLANK(G41)),NOT(G41=$O$1)),AND(NOT(ISBLANK(H41)),NOT(H41=$O$1)))</formula>
    </cfRule>
    <cfRule type="expression" dxfId="968" priority="970">
      <formula>OR(AND(NOT(ISBLANK(G41)),NOT(G41=$O$1)),AND(NOT(ISBLANK(H41)),NOT(H41=$O$1)))</formula>
    </cfRule>
  </conditionalFormatting>
  <conditionalFormatting sqref="E42">
    <cfRule type="expression" dxfId="967" priority="967">
      <formula>AND(AND(NOT(ISBLANK(D42)),NOT(D42=$O$1)),AND(NOT(ISBLANK(C42)),NOT(C42=$O$1)))</formula>
    </cfRule>
    <cfRule type="expression" dxfId="966" priority="968">
      <formula>OR(AND(NOT(ISBLANK(D42)),NOT(D42=$O$1)),AND(NOT(ISBLANK(C42)),NOT(C42=$O$1)))</formula>
    </cfRule>
  </conditionalFormatting>
  <conditionalFormatting sqref="F42">
    <cfRule type="expression" dxfId="965" priority="965">
      <formula>AND(AND(NOT(ISBLANK(G42)),NOT(G42=$O$1)),AND(NOT(ISBLANK(H42)),NOT(H42=$O$1)))</formula>
    </cfRule>
    <cfRule type="expression" dxfId="964" priority="966">
      <formula>OR(AND(NOT(ISBLANK(G42)),NOT(G42=$O$1)),AND(NOT(ISBLANK(H42)),NOT(H42=$O$1)))</formula>
    </cfRule>
  </conditionalFormatting>
  <conditionalFormatting sqref="E43">
    <cfRule type="expression" dxfId="963" priority="963">
      <formula>AND(AND(NOT(ISBLANK(D43)),NOT(D43=$O$1)),AND(NOT(ISBLANK(C43)),NOT(C43=$O$1)))</formula>
    </cfRule>
    <cfRule type="expression" dxfId="962" priority="964">
      <formula>OR(AND(NOT(ISBLANK(D43)),NOT(D43=$O$1)),AND(NOT(ISBLANK(C43)),NOT(C43=$O$1)))</formula>
    </cfRule>
  </conditionalFormatting>
  <conditionalFormatting sqref="F43">
    <cfRule type="expression" dxfId="961" priority="961">
      <formula>AND(AND(NOT(ISBLANK(G43)),NOT(G43=$O$1)),AND(NOT(ISBLANK(H43)),NOT(H43=$O$1)))</formula>
    </cfRule>
    <cfRule type="expression" dxfId="960" priority="962">
      <formula>OR(AND(NOT(ISBLANK(G43)),NOT(G43=$O$1)),AND(NOT(ISBLANK(H43)),NOT(H43=$O$1)))</formula>
    </cfRule>
  </conditionalFormatting>
  <conditionalFormatting sqref="E44">
    <cfRule type="expression" dxfId="959" priority="959">
      <formula>AND(AND(NOT(ISBLANK(D44)),NOT(D44=$O$1)),AND(NOT(ISBLANK(C44)),NOT(C44=$O$1)))</formula>
    </cfRule>
    <cfRule type="expression" dxfId="958" priority="960">
      <formula>OR(AND(NOT(ISBLANK(D44)),NOT(D44=$O$1)),AND(NOT(ISBLANK(C44)),NOT(C44=$O$1)))</formula>
    </cfRule>
  </conditionalFormatting>
  <conditionalFormatting sqref="F44">
    <cfRule type="expression" dxfId="957" priority="957">
      <formula>AND(AND(NOT(ISBLANK(G44)),NOT(G44=$O$1)),AND(NOT(ISBLANK(H44)),NOT(H44=$O$1)))</formula>
    </cfRule>
    <cfRule type="expression" dxfId="956" priority="958">
      <formula>OR(AND(NOT(ISBLANK(G44)),NOT(G44=$O$1)),AND(NOT(ISBLANK(H44)),NOT(H44=$O$1)))</formula>
    </cfRule>
  </conditionalFormatting>
  <conditionalFormatting sqref="E45">
    <cfRule type="expression" dxfId="955" priority="955">
      <formula>AND(AND(NOT(ISBLANK(D45)),NOT(D45=$O$1)),AND(NOT(ISBLANK(C45)),NOT(C45=$O$1)))</formula>
    </cfRule>
    <cfRule type="expression" dxfId="954" priority="956">
      <formula>OR(AND(NOT(ISBLANK(D45)),NOT(D45=$O$1)),AND(NOT(ISBLANK(C45)),NOT(C45=$O$1)))</formula>
    </cfRule>
  </conditionalFormatting>
  <conditionalFormatting sqref="F45">
    <cfRule type="expression" dxfId="953" priority="953">
      <formula>AND(AND(NOT(ISBLANK(G45)),NOT(G45=$O$1)),AND(NOT(ISBLANK(H45)),NOT(H45=$O$1)))</formula>
    </cfRule>
    <cfRule type="expression" dxfId="952" priority="954">
      <formula>OR(AND(NOT(ISBLANK(G45)),NOT(G45=$O$1)),AND(NOT(ISBLANK(H45)),NOT(H45=$O$1)))</formula>
    </cfRule>
  </conditionalFormatting>
  <conditionalFormatting sqref="E46">
    <cfRule type="expression" dxfId="951" priority="951">
      <formula>AND(AND(NOT(ISBLANK(D46)),NOT(D46=$O$1)),AND(NOT(ISBLANK(C46)),NOT(C46=$O$1)))</formula>
    </cfRule>
    <cfRule type="expression" dxfId="950" priority="952">
      <formula>OR(AND(NOT(ISBLANK(D46)),NOT(D46=$O$1)),AND(NOT(ISBLANK(C46)),NOT(C46=$O$1)))</formula>
    </cfRule>
  </conditionalFormatting>
  <conditionalFormatting sqref="F46">
    <cfRule type="expression" dxfId="949" priority="949">
      <formula>AND(AND(NOT(ISBLANK(G46)),NOT(G46=$O$1)),AND(NOT(ISBLANK(H46)),NOT(H46=$O$1)))</formula>
    </cfRule>
    <cfRule type="expression" dxfId="948" priority="950">
      <formula>OR(AND(NOT(ISBLANK(G46)),NOT(G46=$O$1)),AND(NOT(ISBLANK(H46)),NOT(H46=$O$1)))</formula>
    </cfRule>
  </conditionalFormatting>
  <conditionalFormatting sqref="E47">
    <cfRule type="expression" dxfId="947" priority="947">
      <formula>AND(AND(NOT(ISBLANK(D47)),NOT(D47=$O$1)),AND(NOT(ISBLANK(C47)),NOT(C47=$O$1)))</formula>
    </cfRule>
    <cfRule type="expression" dxfId="946" priority="948">
      <formula>OR(AND(NOT(ISBLANK(D47)),NOT(D47=$O$1)),AND(NOT(ISBLANK(C47)),NOT(C47=$O$1)))</formula>
    </cfRule>
  </conditionalFormatting>
  <conditionalFormatting sqref="F47">
    <cfRule type="expression" dxfId="945" priority="945">
      <formula>AND(AND(NOT(ISBLANK(G47)),NOT(G47=$O$1)),AND(NOT(ISBLANK(H47)),NOT(H47=$O$1)))</formula>
    </cfRule>
    <cfRule type="expression" dxfId="944" priority="946">
      <formula>OR(AND(NOT(ISBLANK(G47)),NOT(G47=$O$1)),AND(NOT(ISBLANK(H47)),NOT(H47=$O$1)))</formula>
    </cfRule>
  </conditionalFormatting>
  <conditionalFormatting sqref="E48">
    <cfRule type="expression" dxfId="943" priority="943">
      <formula>AND(AND(NOT(ISBLANK(D48)),NOT(D48=$O$1)),AND(NOT(ISBLANK(C48)),NOT(C48=$O$1)))</formula>
    </cfRule>
    <cfRule type="expression" dxfId="942" priority="944">
      <formula>OR(AND(NOT(ISBLANK(D48)),NOT(D48=$O$1)),AND(NOT(ISBLANK(C48)),NOT(C48=$O$1)))</formula>
    </cfRule>
  </conditionalFormatting>
  <conditionalFormatting sqref="F48">
    <cfRule type="expression" dxfId="941" priority="941">
      <formula>AND(AND(NOT(ISBLANK(G48)),NOT(G48=$O$1)),AND(NOT(ISBLANK(H48)),NOT(H48=$O$1)))</formula>
    </cfRule>
    <cfRule type="expression" dxfId="940" priority="942">
      <formula>OR(AND(NOT(ISBLANK(G48)),NOT(G48=$O$1)),AND(NOT(ISBLANK(H48)),NOT(H48=$O$1)))</formula>
    </cfRule>
  </conditionalFormatting>
  <conditionalFormatting sqref="E49">
    <cfRule type="expression" dxfId="939" priority="939">
      <formula>AND(AND(NOT(ISBLANK(D49)),NOT(D49=$O$1)),AND(NOT(ISBLANK(C49)),NOT(C49=$O$1)))</formula>
    </cfRule>
    <cfRule type="expression" dxfId="938" priority="940">
      <formula>OR(AND(NOT(ISBLANK(D49)),NOT(D49=$O$1)),AND(NOT(ISBLANK(C49)),NOT(C49=$O$1)))</formula>
    </cfRule>
  </conditionalFormatting>
  <conditionalFormatting sqref="F49">
    <cfRule type="expression" dxfId="937" priority="937">
      <formula>AND(AND(NOT(ISBLANK(G49)),NOT(G49=$O$1)),AND(NOT(ISBLANK(H49)),NOT(H49=$O$1)))</formula>
    </cfRule>
    <cfRule type="expression" dxfId="936" priority="938">
      <formula>OR(AND(NOT(ISBLANK(G49)),NOT(G49=$O$1)),AND(NOT(ISBLANK(H49)),NOT(H49=$O$1)))</formula>
    </cfRule>
  </conditionalFormatting>
  <conditionalFormatting sqref="E50">
    <cfRule type="expression" dxfId="935" priority="935">
      <formula>AND(AND(NOT(ISBLANK(D50)),NOT(D50=$O$1)),AND(NOT(ISBLANK(C50)),NOT(C50=$O$1)))</formula>
    </cfRule>
    <cfRule type="expression" dxfId="934" priority="936">
      <formula>OR(AND(NOT(ISBLANK(D50)),NOT(D50=$O$1)),AND(NOT(ISBLANK(C50)),NOT(C50=$O$1)))</formula>
    </cfRule>
  </conditionalFormatting>
  <conditionalFormatting sqref="F50">
    <cfRule type="expression" dxfId="933" priority="933">
      <formula>AND(AND(NOT(ISBLANK(G50)),NOT(G50=$O$1)),AND(NOT(ISBLANK(H50)),NOT(H50=$O$1)))</formula>
    </cfRule>
    <cfRule type="expression" dxfId="932" priority="934">
      <formula>OR(AND(NOT(ISBLANK(G50)),NOT(G50=$O$1)),AND(NOT(ISBLANK(H50)),NOT(H50=$O$1)))</formula>
    </cfRule>
  </conditionalFormatting>
  <conditionalFormatting sqref="E51">
    <cfRule type="expression" dxfId="931" priority="931">
      <formula>AND(AND(NOT(ISBLANK(D51)),NOT(D51=$O$1)),AND(NOT(ISBLANK(C51)),NOT(C51=$O$1)))</formula>
    </cfRule>
    <cfRule type="expression" dxfId="930" priority="932">
      <formula>OR(AND(NOT(ISBLANK(D51)),NOT(D51=$O$1)),AND(NOT(ISBLANK(C51)),NOT(C51=$O$1)))</formula>
    </cfRule>
  </conditionalFormatting>
  <conditionalFormatting sqref="F51">
    <cfRule type="expression" dxfId="929" priority="929">
      <formula>AND(AND(NOT(ISBLANK(G51)),NOT(G51=$O$1)),AND(NOT(ISBLANK(H51)),NOT(H51=$O$1)))</formula>
    </cfRule>
    <cfRule type="expression" dxfId="928" priority="930">
      <formula>OR(AND(NOT(ISBLANK(G51)),NOT(G51=$O$1)),AND(NOT(ISBLANK(H51)),NOT(H51=$O$1)))</formula>
    </cfRule>
  </conditionalFormatting>
  <conditionalFormatting sqref="E52">
    <cfRule type="expression" dxfId="927" priority="927">
      <formula>AND(AND(NOT(ISBLANK(D52)),NOT(D52=$O$1)),AND(NOT(ISBLANK(C52)),NOT(C52=$O$1)))</formula>
    </cfRule>
    <cfRule type="expression" dxfId="926" priority="928">
      <formula>OR(AND(NOT(ISBLANK(D52)),NOT(D52=$O$1)),AND(NOT(ISBLANK(C52)),NOT(C52=$O$1)))</formula>
    </cfRule>
  </conditionalFormatting>
  <conditionalFormatting sqref="F52">
    <cfRule type="expression" dxfId="925" priority="925">
      <formula>AND(AND(NOT(ISBLANK(G52)),NOT(G52=$O$1)),AND(NOT(ISBLANK(H52)),NOT(H52=$O$1)))</formula>
    </cfRule>
    <cfRule type="expression" dxfId="924" priority="926">
      <formula>OR(AND(NOT(ISBLANK(G52)),NOT(G52=$O$1)),AND(NOT(ISBLANK(H52)),NOT(H52=$O$1)))</formula>
    </cfRule>
  </conditionalFormatting>
  <conditionalFormatting sqref="E53">
    <cfRule type="expression" dxfId="923" priority="923">
      <formula>AND(AND(NOT(ISBLANK(D53)),NOT(D53=$O$1)),AND(NOT(ISBLANK(C53)),NOT(C53=$O$1)))</formula>
    </cfRule>
    <cfRule type="expression" dxfId="922" priority="924">
      <formula>OR(AND(NOT(ISBLANK(D53)),NOT(D53=$O$1)),AND(NOT(ISBLANK(C53)),NOT(C53=$O$1)))</formula>
    </cfRule>
  </conditionalFormatting>
  <conditionalFormatting sqref="F53">
    <cfRule type="expression" dxfId="921" priority="921">
      <formula>AND(AND(NOT(ISBLANK(G53)),NOT(G53=$O$1)),AND(NOT(ISBLANK(H53)),NOT(H53=$O$1)))</formula>
    </cfRule>
    <cfRule type="expression" dxfId="920" priority="922">
      <formula>OR(AND(NOT(ISBLANK(G53)),NOT(G53=$O$1)),AND(NOT(ISBLANK(H53)),NOT(H53=$O$1)))</formula>
    </cfRule>
  </conditionalFormatting>
  <conditionalFormatting sqref="E54">
    <cfRule type="expression" dxfId="919" priority="919">
      <formula>AND(AND(NOT(ISBLANK(D54)),NOT(D54=$O$1)),AND(NOT(ISBLANK(C54)),NOT(C54=$O$1)))</formula>
    </cfRule>
    <cfRule type="expression" dxfId="918" priority="920">
      <formula>OR(AND(NOT(ISBLANK(D54)),NOT(D54=$O$1)),AND(NOT(ISBLANK(C54)),NOT(C54=$O$1)))</formula>
    </cfRule>
  </conditionalFormatting>
  <conditionalFormatting sqref="F54">
    <cfRule type="expression" dxfId="917" priority="917">
      <formula>AND(AND(NOT(ISBLANK(G54)),NOT(G54=$O$1)),AND(NOT(ISBLANK(H54)),NOT(H54=$O$1)))</formula>
    </cfRule>
    <cfRule type="expression" dxfId="916" priority="918">
      <formula>OR(AND(NOT(ISBLANK(G54)),NOT(G54=$O$1)),AND(NOT(ISBLANK(H54)),NOT(H54=$O$1)))</formula>
    </cfRule>
  </conditionalFormatting>
  <conditionalFormatting sqref="E55">
    <cfRule type="expression" dxfId="915" priority="915">
      <formula>AND(AND(NOT(ISBLANK(D55)),NOT(D55=$O$1)),AND(NOT(ISBLANK(C55)),NOT(C55=$O$1)))</formula>
    </cfRule>
    <cfRule type="expression" dxfId="914" priority="916">
      <formula>OR(AND(NOT(ISBLANK(D55)),NOT(D55=$O$1)),AND(NOT(ISBLANK(C55)),NOT(C55=$O$1)))</formula>
    </cfRule>
  </conditionalFormatting>
  <conditionalFormatting sqref="F55">
    <cfRule type="expression" dxfId="913" priority="913">
      <formula>AND(AND(NOT(ISBLANK(G55)),NOT(G55=$O$1)),AND(NOT(ISBLANK(H55)),NOT(H55=$O$1)))</formula>
    </cfRule>
    <cfRule type="expression" dxfId="912" priority="914">
      <formula>OR(AND(NOT(ISBLANK(G55)),NOT(G55=$O$1)),AND(NOT(ISBLANK(H55)),NOT(H55=$O$1)))</formula>
    </cfRule>
  </conditionalFormatting>
  <conditionalFormatting sqref="E56">
    <cfRule type="expression" dxfId="911" priority="911">
      <formula>AND(AND(NOT(ISBLANK(D56)),NOT(D56=$O$1)),AND(NOT(ISBLANK(C56)),NOT(C56=$O$1)))</formula>
    </cfRule>
    <cfRule type="expression" dxfId="910" priority="912">
      <formula>OR(AND(NOT(ISBLANK(D56)),NOT(D56=$O$1)),AND(NOT(ISBLANK(C56)),NOT(C56=$O$1)))</formula>
    </cfRule>
  </conditionalFormatting>
  <conditionalFormatting sqref="F56">
    <cfRule type="expression" dxfId="909" priority="909">
      <formula>AND(AND(NOT(ISBLANK(G56)),NOT(G56=$O$1)),AND(NOT(ISBLANK(H56)),NOT(H56=$O$1)))</formula>
    </cfRule>
    <cfRule type="expression" dxfId="908" priority="910">
      <formula>OR(AND(NOT(ISBLANK(G56)),NOT(G56=$O$1)),AND(NOT(ISBLANK(H56)),NOT(H56=$O$1)))</formula>
    </cfRule>
  </conditionalFormatting>
  <conditionalFormatting sqref="E57">
    <cfRule type="expression" dxfId="907" priority="907">
      <formula>AND(AND(NOT(ISBLANK(D57)),NOT(D57=$O$1)),AND(NOT(ISBLANK(C57)),NOT(C57=$O$1)))</formula>
    </cfRule>
    <cfRule type="expression" dxfId="906" priority="908">
      <formula>OR(AND(NOT(ISBLANK(D57)),NOT(D57=$O$1)),AND(NOT(ISBLANK(C57)),NOT(C57=$O$1)))</formula>
    </cfRule>
  </conditionalFormatting>
  <conditionalFormatting sqref="F57">
    <cfRule type="expression" dxfId="905" priority="905">
      <formula>AND(AND(NOT(ISBLANK(G57)),NOT(G57=$O$1)),AND(NOT(ISBLANK(H57)),NOT(H57=$O$1)))</formula>
    </cfRule>
    <cfRule type="expression" dxfId="904" priority="906">
      <formula>OR(AND(NOT(ISBLANK(G57)),NOT(G57=$O$1)),AND(NOT(ISBLANK(H57)),NOT(H57=$O$1)))</formula>
    </cfRule>
  </conditionalFormatting>
  <conditionalFormatting sqref="E58">
    <cfRule type="expression" dxfId="903" priority="903">
      <formula>AND(AND(NOT(ISBLANK(D58)),NOT(D58=$O$1)),AND(NOT(ISBLANK(C58)),NOT(C58=$O$1)))</formula>
    </cfRule>
    <cfRule type="expression" dxfId="902" priority="904">
      <formula>OR(AND(NOT(ISBLANK(D58)),NOT(D58=$O$1)),AND(NOT(ISBLANK(C58)),NOT(C58=$O$1)))</formula>
    </cfRule>
  </conditionalFormatting>
  <conditionalFormatting sqref="F58">
    <cfRule type="expression" dxfId="901" priority="901">
      <formula>AND(AND(NOT(ISBLANK(G58)),NOT(G58=$O$1)),AND(NOT(ISBLANK(H58)),NOT(H58=$O$1)))</formula>
    </cfRule>
    <cfRule type="expression" dxfId="900" priority="902">
      <formula>OR(AND(NOT(ISBLANK(G58)),NOT(G58=$O$1)),AND(NOT(ISBLANK(H58)),NOT(H58=$O$1)))</formula>
    </cfRule>
  </conditionalFormatting>
  <conditionalFormatting sqref="E59">
    <cfRule type="expression" dxfId="899" priority="899">
      <formula>AND(AND(NOT(ISBLANK(D59)),NOT(D59=$O$1)),AND(NOT(ISBLANK(C59)),NOT(C59=$O$1)))</formula>
    </cfRule>
    <cfRule type="expression" dxfId="898" priority="900">
      <formula>OR(AND(NOT(ISBLANK(D59)),NOT(D59=$O$1)),AND(NOT(ISBLANK(C59)),NOT(C59=$O$1)))</formula>
    </cfRule>
  </conditionalFormatting>
  <conditionalFormatting sqref="F59">
    <cfRule type="expression" dxfId="897" priority="897">
      <formula>AND(AND(NOT(ISBLANK(G59)),NOT(G59=$O$1)),AND(NOT(ISBLANK(H59)),NOT(H59=$O$1)))</formula>
    </cfRule>
    <cfRule type="expression" dxfId="896" priority="898">
      <formula>OR(AND(NOT(ISBLANK(G59)),NOT(G59=$O$1)),AND(NOT(ISBLANK(H59)),NOT(H59=$O$1)))</formula>
    </cfRule>
  </conditionalFormatting>
  <conditionalFormatting sqref="E60">
    <cfRule type="expression" dxfId="895" priority="895">
      <formula>AND(AND(NOT(ISBLANK(D60)),NOT(D60=$O$1)),AND(NOT(ISBLANK(C60)),NOT(C60=$O$1)))</formula>
    </cfRule>
    <cfRule type="expression" dxfId="894" priority="896">
      <formula>OR(AND(NOT(ISBLANK(D60)),NOT(D60=$O$1)),AND(NOT(ISBLANK(C60)),NOT(C60=$O$1)))</formula>
    </cfRule>
  </conditionalFormatting>
  <conditionalFormatting sqref="F60">
    <cfRule type="expression" dxfId="893" priority="893">
      <formula>AND(AND(NOT(ISBLANK(G60)),NOT(G60=$O$1)),AND(NOT(ISBLANK(H60)),NOT(H60=$O$1)))</formula>
    </cfRule>
    <cfRule type="expression" dxfId="892" priority="894">
      <formula>OR(AND(NOT(ISBLANK(G60)),NOT(G60=$O$1)),AND(NOT(ISBLANK(H60)),NOT(H60=$O$1)))</formula>
    </cfRule>
  </conditionalFormatting>
  <conditionalFormatting sqref="E61">
    <cfRule type="expression" dxfId="891" priority="891">
      <formula>AND(AND(NOT(ISBLANK(D61)),NOT(D61=$O$1)),AND(NOT(ISBLANK(C61)),NOT(C61=$O$1)))</formula>
    </cfRule>
    <cfRule type="expression" dxfId="890" priority="892">
      <formula>OR(AND(NOT(ISBLANK(D61)),NOT(D61=$O$1)),AND(NOT(ISBLANK(C61)),NOT(C61=$O$1)))</formula>
    </cfRule>
  </conditionalFormatting>
  <conditionalFormatting sqref="F61">
    <cfRule type="expression" dxfId="889" priority="889">
      <formula>AND(AND(NOT(ISBLANK(G61)),NOT(G61=$O$1)),AND(NOT(ISBLANK(H61)),NOT(H61=$O$1)))</formula>
    </cfRule>
    <cfRule type="expression" dxfId="888" priority="890">
      <formula>OR(AND(NOT(ISBLANK(G61)),NOT(G61=$O$1)),AND(NOT(ISBLANK(H61)),NOT(H61=$O$1)))</formula>
    </cfRule>
  </conditionalFormatting>
  <conditionalFormatting sqref="E62">
    <cfRule type="expression" dxfId="887" priority="887">
      <formula>AND(AND(NOT(ISBLANK(D62)),NOT(D62=$O$1)),AND(NOT(ISBLANK(C62)),NOT(C62=$O$1)))</formula>
    </cfRule>
    <cfRule type="expression" dxfId="886" priority="888">
      <formula>OR(AND(NOT(ISBLANK(D62)),NOT(D62=$O$1)),AND(NOT(ISBLANK(C62)),NOT(C62=$O$1)))</formula>
    </cfRule>
  </conditionalFormatting>
  <conditionalFormatting sqref="F62">
    <cfRule type="expression" dxfId="885" priority="885">
      <formula>AND(AND(NOT(ISBLANK(G62)),NOT(G62=$O$1)),AND(NOT(ISBLANK(H62)),NOT(H62=$O$1)))</formula>
    </cfRule>
    <cfRule type="expression" dxfId="884" priority="886">
      <formula>OR(AND(NOT(ISBLANK(G62)),NOT(G62=$O$1)),AND(NOT(ISBLANK(H62)),NOT(H62=$O$1)))</formula>
    </cfRule>
  </conditionalFormatting>
  <conditionalFormatting sqref="E63">
    <cfRule type="expression" dxfId="883" priority="883">
      <formula>AND(AND(NOT(ISBLANK(D63)),NOT(D63=$O$1)),AND(NOT(ISBLANK(C63)),NOT(C63=$O$1)))</formula>
    </cfRule>
    <cfRule type="expression" dxfId="882" priority="884">
      <formula>OR(AND(NOT(ISBLANK(D63)),NOT(D63=$O$1)),AND(NOT(ISBLANK(C63)),NOT(C63=$O$1)))</formula>
    </cfRule>
  </conditionalFormatting>
  <conditionalFormatting sqref="F63">
    <cfRule type="expression" dxfId="881" priority="881">
      <formula>AND(AND(NOT(ISBLANK(G63)),NOT(G63=$O$1)),AND(NOT(ISBLANK(H63)),NOT(H63=$O$1)))</formula>
    </cfRule>
    <cfRule type="expression" dxfId="880" priority="882">
      <formula>OR(AND(NOT(ISBLANK(G63)),NOT(G63=$O$1)),AND(NOT(ISBLANK(H63)),NOT(H63=$O$1)))</formula>
    </cfRule>
  </conditionalFormatting>
  <conditionalFormatting sqref="E64">
    <cfRule type="expression" dxfId="879" priority="879">
      <formula>AND(AND(NOT(ISBLANK(D64)),NOT(D64=$O$1)),AND(NOT(ISBLANK(C64)),NOT(C64=$O$1)))</formula>
    </cfRule>
    <cfRule type="expression" dxfId="878" priority="880">
      <formula>OR(AND(NOT(ISBLANK(D64)),NOT(D64=$O$1)),AND(NOT(ISBLANK(C64)),NOT(C64=$O$1)))</formula>
    </cfRule>
  </conditionalFormatting>
  <conditionalFormatting sqref="F64">
    <cfRule type="expression" dxfId="877" priority="877">
      <formula>AND(AND(NOT(ISBLANK(G64)),NOT(G64=$O$1)),AND(NOT(ISBLANK(H64)),NOT(H64=$O$1)))</formula>
    </cfRule>
    <cfRule type="expression" dxfId="876" priority="878">
      <formula>OR(AND(NOT(ISBLANK(G64)),NOT(G64=$O$1)),AND(NOT(ISBLANK(H64)),NOT(H64=$O$1)))</formula>
    </cfRule>
  </conditionalFormatting>
  <conditionalFormatting sqref="E65">
    <cfRule type="expression" dxfId="875" priority="875">
      <formula>AND(AND(NOT(ISBLANK(D65)),NOT(D65=$O$1)),AND(NOT(ISBLANK(C65)),NOT(C65=$O$1)))</formula>
    </cfRule>
    <cfRule type="expression" dxfId="874" priority="876">
      <formula>OR(AND(NOT(ISBLANK(D65)),NOT(D65=$O$1)),AND(NOT(ISBLANK(C65)),NOT(C65=$O$1)))</formula>
    </cfRule>
  </conditionalFormatting>
  <conditionalFormatting sqref="F65">
    <cfRule type="expression" dxfId="873" priority="873">
      <formula>AND(AND(NOT(ISBLANK(G65)),NOT(G65=$O$1)),AND(NOT(ISBLANK(H65)),NOT(H65=$O$1)))</formula>
    </cfRule>
    <cfRule type="expression" dxfId="872" priority="874">
      <formula>OR(AND(NOT(ISBLANK(G65)),NOT(G65=$O$1)),AND(NOT(ISBLANK(H65)),NOT(H65=$O$1)))</formula>
    </cfRule>
  </conditionalFormatting>
  <conditionalFormatting sqref="E66">
    <cfRule type="expression" dxfId="871" priority="871">
      <formula>AND(AND(NOT(ISBLANK(D66)),NOT(D66=$O$1)),AND(NOT(ISBLANK(C66)),NOT(C66=$O$1)))</formula>
    </cfRule>
    <cfRule type="expression" dxfId="870" priority="872">
      <formula>OR(AND(NOT(ISBLANK(D66)),NOT(D66=$O$1)),AND(NOT(ISBLANK(C66)),NOT(C66=$O$1)))</formula>
    </cfRule>
  </conditionalFormatting>
  <conditionalFormatting sqref="F66">
    <cfRule type="expression" dxfId="869" priority="869">
      <formula>AND(AND(NOT(ISBLANK(G66)),NOT(G66=$O$1)),AND(NOT(ISBLANK(H66)),NOT(H66=$O$1)))</formula>
    </cfRule>
    <cfRule type="expression" dxfId="868" priority="870">
      <formula>OR(AND(NOT(ISBLANK(G66)),NOT(G66=$O$1)),AND(NOT(ISBLANK(H66)),NOT(H66=$O$1)))</formula>
    </cfRule>
  </conditionalFormatting>
  <conditionalFormatting sqref="E67">
    <cfRule type="expression" dxfId="867" priority="867">
      <formula>AND(AND(NOT(ISBLANK(D67)),NOT(D67=$O$1)),AND(NOT(ISBLANK(C67)),NOT(C67=$O$1)))</formula>
    </cfRule>
    <cfRule type="expression" dxfId="866" priority="868">
      <formula>OR(AND(NOT(ISBLANK(D67)),NOT(D67=$O$1)),AND(NOT(ISBLANK(C67)),NOT(C67=$O$1)))</formula>
    </cfRule>
  </conditionalFormatting>
  <conditionalFormatting sqref="F67">
    <cfRule type="expression" dxfId="865" priority="865">
      <formula>AND(AND(NOT(ISBLANK(G67)),NOT(G67=$O$1)),AND(NOT(ISBLANK(H67)),NOT(H67=$O$1)))</formula>
    </cfRule>
    <cfRule type="expression" dxfId="864" priority="866">
      <formula>OR(AND(NOT(ISBLANK(G67)),NOT(G67=$O$1)),AND(NOT(ISBLANK(H67)),NOT(H67=$O$1)))</formula>
    </cfRule>
  </conditionalFormatting>
  <conditionalFormatting sqref="E68">
    <cfRule type="expression" dxfId="863" priority="863">
      <formula>AND(AND(NOT(ISBLANK(D68)),NOT(D68=$O$1)),AND(NOT(ISBLANK(C68)),NOT(C68=$O$1)))</formula>
    </cfRule>
    <cfRule type="expression" dxfId="862" priority="864">
      <formula>OR(AND(NOT(ISBLANK(D68)),NOT(D68=$O$1)),AND(NOT(ISBLANK(C68)),NOT(C68=$O$1)))</formula>
    </cfRule>
  </conditionalFormatting>
  <conditionalFormatting sqref="F68">
    <cfRule type="expression" dxfId="861" priority="861">
      <formula>AND(AND(NOT(ISBLANK(G68)),NOT(G68=$O$1)),AND(NOT(ISBLANK(H68)),NOT(H68=$O$1)))</formula>
    </cfRule>
    <cfRule type="expression" dxfId="860" priority="862">
      <formula>OR(AND(NOT(ISBLANK(G68)),NOT(G68=$O$1)),AND(NOT(ISBLANK(H68)),NOT(H68=$O$1)))</formula>
    </cfRule>
  </conditionalFormatting>
  <conditionalFormatting sqref="E69">
    <cfRule type="expression" dxfId="859" priority="859">
      <formula>AND(AND(NOT(ISBLANK(D69)),NOT(D69=$O$1)),AND(NOT(ISBLANK(C69)),NOT(C69=$O$1)))</formula>
    </cfRule>
    <cfRule type="expression" dxfId="858" priority="860">
      <formula>OR(AND(NOT(ISBLANK(D69)),NOT(D69=$O$1)),AND(NOT(ISBLANK(C69)),NOT(C69=$O$1)))</formula>
    </cfRule>
  </conditionalFormatting>
  <conditionalFormatting sqref="F69">
    <cfRule type="expression" dxfId="857" priority="857">
      <formula>AND(AND(NOT(ISBLANK(G69)),NOT(G69=$O$1)),AND(NOT(ISBLANK(H69)),NOT(H69=$O$1)))</formula>
    </cfRule>
    <cfRule type="expression" dxfId="856" priority="858">
      <formula>OR(AND(NOT(ISBLANK(G69)),NOT(G69=$O$1)),AND(NOT(ISBLANK(H69)),NOT(H69=$O$1)))</formula>
    </cfRule>
  </conditionalFormatting>
  <conditionalFormatting sqref="E70">
    <cfRule type="expression" dxfId="855" priority="855">
      <formula>AND(AND(NOT(ISBLANK(D70)),NOT(D70=$O$1)),AND(NOT(ISBLANK(C70)),NOT(C70=$O$1)))</formula>
    </cfRule>
    <cfRule type="expression" dxfId="854" priority="856">
      <formula>OR(AND(NOT(ISBLANK(D70)),NOT(D70=$O$1)),AND(NOT(ISBLANK(C70)),NOT(C70=$O$1)))</formula>
    </cfRule>
  </conditionalFormatting>
  <conditionalFormatting sqref="F70">
    <cfRule type="expression" dxfId="853" priority="853">
      <formula>AND(AND(NOT(ISBLANK(G70)),NOT(G70=$O$1)),AND(NOT(ISBLANK(H70)),NOT(H70=$O$1)))</formula>
    </cfRule>
    <cfRule type="expression" dxfId="852" priority="854">
      <formula>OR(AND(NOT(ISBLANK(G70)),NOT(G70=$O$1)),AND(NOT(ISBLANK(H70)),NOT(H70=$O$1)))</formula>
    </cfRule>
  </conditionalFormatting>
  <conditionalFormatting sqref="E71">
    <cfRule type="expression" dxfId="851" priority="851">
      <formula>AND(AND(NOT(ISBLANK(D71)),NOT(D71=$O$1)),AND(NOT(ISBLANK(C71)),NOT(C71=$O$1)))</formula>
    </cfRule>
    <cfRule type="expression" dxfId="850" priority="852">
      <formula>OR(AND(NOT(ISBLANK(D71)),NOT(D71=$O$1)),AND(NOT(ISBLANK(C71)),NOT(C71=$O$1)))</formula>
    </cfRule>
  </conditionalFormatting>
  <conditionalFormatting sqref="F71">
    <cfRule type="expression" dxfId="849" priority="849">
      <formula>AND(AND(NOT(ISBLANK(G71)),NOT(G71=$O$1)),AND(NOT(ISBLANK(H71)),NOT(H71=$O$1)))</formula>
    </cfRule>
    <cfRule type="expression" dxfId="848" priority="850">
      <formula>OR(AND(NOT(ISBLANK(G71)),NOT(G71=$O$1)),AND(NOT(ISBLANK(H71)),NOT(H71=$O$1)))</formula>
    </cfRule>
  </conditionalFormatting>
  <conditionalFormatting sqref="E72">
    <cfRule type="expression" dxfId="847" priority="847">
      <formula>AND(AND(NOT(ISBLANK(D72)),NOT(D72=$O$1)),AND(NOT(ISBLANK(C72)),NOT(C72=$O$1)))</formula>
    </cfRule>
    <cfRule type="expression" dxfId="846" priority="848">
      <formula>OR(AND(NOT(ISBLANK(D72)),NOT(D72=$O$1)),AND(NOT(ISBLANK(C72)),NOT(C72=$O$1)))</formula>
    </cfRule>
  </conditionalFormatting>
  <conditionalFormatting sqref="F72">
    <cfRule type="expression" dxfId="845" priority="845">
      <formula>AND(AND(NOT(ISBLANK(G72)),NOT(G72=$O$1)),AND(NOT(ISBLANK(H72)),NOT(H72=$O$1)))</formula>
    </cfRule>
    <cfRule type="expression" dxfId="844" priority="846">
      <formula>OR(AND(NOT(ISBLANK(G72)),NOT(G72=$O$1)),AND(NOT(ISBLANK(H72)),NOT(H72=$O$1)))</formula>
    </cfRule>
  </conditionalFormatting>
  <conditionalFormatting sqref="E73">
    <cfRule type="expression" dxfId="843" priority="843">
      <formula>AND(AND(NOT(ISBLANK(D73)),NOT(D73=$O$1)),AND(NOT(ISBLANK(C73)),NOT(C73=$O$1)))</formula>
    </cfRule>
    <cfRule type="expression" dxfId="842" priority="844">
      <formula>OR(AND(NOT(ISBLANK(D73)),NOT(D73=$O$1)),AND(NOT(ISBLANK(C73)),NOT(C73=$O$1)))</formula>
    </cfRule>
  </conditionalFormatting>
  <conditionalFormatting sqref="F73">
    <cfRule type="expression" dxfId="841" priority="841">
      <formula>AND(AND(NOT(ISBLANK(G73)),NOT(G73=$O$1)),AND(NOT(ISBLANK(H73)),NOT(H73=$O$1)))</formula>
    </cfRule>
    <cfRule type="expression" dxfId="840" priority="842">
      <formula>OR(AND(NOT(ISBLANK(G73)),NOT(G73=$O$1)),AND(NOT(ISBLANK(H73)),NOT(H73=$O$1)))</formula>
    </cfRule>
  </conditionalFormatting>
  <conditionalFormatting sqref="E74">
    <cfRule type="expression" dxfId="839" priority="839">
      <formula>AND(AND(NOT(ISBLANK(D74)),NOT(D74=$O$1)),AND(NOT(ISBLANK(C74)),NOT(C74=$O$1)))</formula>
    </cfRule>
    <cfRule type="expression" dxfId="838" priority="840">
      <formula>OR(AND(NOT(ISBLANK(D74)),NOT(D74=$O$1)),AND(NOT(ISBLANK(C74)),NOT(C74=$O$1)))</formula>
    </cfRule>
  </conditionalFormatting>
  <conditionalFormatting sqref="F74">
    <cfRule type="expression" dxfId="837" priority="837">
      <formula>AND(AND(NOT(ISBLANK(G74)),NOT(G74=$O$1)),AND(NOT(ISBLANK(H74)),NOT(H74=$O$1)))</formula>
    </cfRule>
    <cfRule type="expression" dxfId="836" priority="838">
      <formula>OR(AND(NOT(ISBLANK(G74)),NOT(G74=$O$1)),AND(NOT(ISBLANK(H74)),NOT(H74=$O$1)))</formula>
    </cfRule>
  </conditionalFormatting>
  <conditionalFormatting sqref="E75">
    <cfRule type="expression" dxfId="835" priority="835">
      <formula>AND(AND(NOT(ISBLANK(D75)),NOT(D75=$O$1)),AND(NOT(ISBLANK(C75)),NOT(C75=$O$1)))</formula>
    </cfRule>
    <cfRule type="expression" dxfId="834" priority="836">
      <formula>OR(AND(NOT(ISBLANK(D75)),NOT(D75=$O$1)),AND(NOT(ISBLANK(C75)),NOT(C75=$O$1)))</formula>
    </cfRule>
  </conditionalFormatting>
  <conditionalFormatting sqref="F75">
    <cfRule type="expression" dxfId="833" priority="833">
      <formula>AND(AND(NOT(ISBLANK(G75)),NOT(G75=$O$1)),AND(NOT(ISBLANK(H75)),NOT(H75=$O$1)))</formula>
    </cfRule>
    <cfRule type="expression" dxfId="832" priority="834">
      <formula>OR(AND(NOT(ISBLANK(G75)),NOT(G75=$O$1)),AND(NOT(ISBLANK(H75)),NOT(H75=$O$1)))</formula>
    </cfRule>
  </conditionalFormatting>
  <conditionalFormatting sqref="E76">
    <cfRule type="expression" dxfId="831" priority="831">
      <formula>AND(AND(NOT(ISBLANK(D76)),NOT(D76=$O$1)),AND(NOT(ISBLANK(C76)),NOT(C76=$O$1)))</formula>
    </cfRule>
    <cfRule type="expression" dxfId="830" priority="832">
      <formula>OR(AND(NOT(ISBLANK(D76)),NOT(D76=$O$1)),AND(NOT(ISBLANK(C76)),NOT(C76=$O$1)))</formula>
    </cfRule>
  </conditionalFormatting>
  <conditionalFormatting sqref="F76">
    <cfRule type="expression" dxfId="829" priority="829">
      <formula>AND(AND(NOT(ISBLANK(G76)),NOT(G76=$O$1)),AND(NOT(ISBLANK(H76)),NOT(H76=$O$1)))</formula>
    </cfRule>
    <cfRule type="expression" dxfId="828" priority="830">
      <formula>OR(AND(NOT(ISBLANK(G76)),NOT(G76=$O$1)),AND(NOT(ISBLANK(H76)),NOT(H76=$O$1)))</formula>
    </cfRule>
  </conditionalFormatting>
  <conditionalFormatting sqref="E77">
    <cfRule type="expression" dxfId="827" priority="827">
      <formula>AND(AND(NOT(ISBLANK(D77)),NOT(D77=$O$1)),AND(NOT(ISBLANK(C77)),NOT(C77=$O$1)))</formula>
    </cfRule>
    <cfRule type="expression" dxfId="826" priority="828">
      <formula>OR(AND(NOT(ISBLANK(D77)),NOT(D77=$O$1)),AND(NOT(ISBLANK(C77)),NOT(C77=$O$1)))</formula>
    </cfRule>
  </conditionalFormatting>
  <conditionalFormatting sqref="F77">
    <cfRule type="expression" dxfId="825" priority="825">
      <formula>AND(AND(NOT(ISBLANK(G77)),NOT(G77=$O$1)),AND(NOT(ISBLANK(H77)),NOT(H77=$O$1)))</formula>
    </cfRule>
    <cfRule type="expression" dxfId="824" priority="826">
      <formula>OR(AND(NOT(ISBLANK(G77)),NOT(G77=$O$1)),AND(NOT(ISBLANK(H77)),NOT(H77=$O$1)))</formula>
    </cfRule>
  </conditionalFormatting>
  <conditionalFormatting sqref="E78">
    <cfRule type="expression" dxfId="823" priority="823">
      <formula>AND(AND(NOT(ISBLANK(D78)),NOT(D78=$O$1)),AND(NOT(ISBLANK(C78)),NOT(C78=$O$1)))</formula>
    </cfRule>
    <cfRule type="expression" dxfId="822" priority="824">
      <formula>OR(AND(NOT(ISBLANK(D78)),NOT(D78=$O$1)),AND(NOT(ISBLANK(C78)),NOT(C78=$O$1)))</formula>
    </cfRule>
  </conditionalFormatting>
  <conditionalFormatting sqref="F78">
    <cfRule type="expression" dxfId="821" priority="821">
      <formula>AND(AND(NOT(ISBLANK(G78)),NOT(G78=$O$1)),AND(NOT(ISBLANK(H78)),NOT(H78=$O$1)))</formula>
    </cfRule>
    <cfRule type="expression" dxfId="820" priority="822">
      <formula>OR(AND(NOT(ISBLANK(G78)),NOT(G78=$O$1)),AND(NOT(ISBLANK(H78)),NOT(H78=$O$1)))</formula>
    </cfRule>
  </conditionalFormatting>
  <conditionalFormatting sqref="E79">
    <cfRule type="expression" dxfId="819" priority="819">
      <formula>AND(AND(NOT(ISBLANK(D79)),NOT(D79=$O$1)),AND(NOT(ISBLANK(C79)),NOT(C79=$O$1)))</formula>
    </cfRule>
    <cfRule type="expression" dxfId="818" priority="820">
      <formula>OR(AND(NOT(ISBLANK(D79)),NOT(D79=$O$1)),AND(NOT(ISBLANK(C79)),NOT(C79=$O$1)))</formula>
    </cfRule>
  </conditionalFormatting>
  <conditionalFormatting sqref="F79">
    <cfRule type="expression" dxfId="817" priority="817">
      <formula>AND(AND(NOT(ISBLANK(G79)),NOT(G79=$O$1)),AND(NOT(ISBLANK(H79)),NOT(H79=$O$1)))</formula>
    </cfRule>
    <cfRule type="expression" dxfId="816" priority="818">
      <formula>OR(AND(NOT(ISBLANK(G79)),NOT(G79=$O$1)),AND(NOT(ISBLANK(H79)),NOT(H79=$O$1)))</formula>
    </cfRule>
  </conditionalFormatting>
  <conditionalFormatting sqref="E80">
    <cfRule type="expression" dxfId="815" priority="815">
      <formula>AND(AND(NOT(ISBLANK(D80)),NOT(D80=$O$1)),AND(NOT(ISBLANK(C80)),NOT(C80=$O$1)))</formula>
    </cfRule>
    <cfRule type="expression" dxfId="814" priority="816">
      <formula>OR(AND(NOT(ISBLANK(D80)),NOT(D80=$O$1)),AND(NOT(ISBLANK(C80)),NOT(C80=$O$1)))</formula>
    </cfRule>
  </conditionalFormatting>
  <conditionalFormatting sqref="F80">
    <cfRule type="expression" dxfId="813" priority="813">
      <formula>AND(AND(NOT(ISBLANK(G80)),NOT(G80=$O$1)),AND(NOT(ISBLANK(H80)),NOT(H80=$O$1)))</formula>
    </cfRule>
    <cfRule type="expression" dxfId="812" priority="814">
      <formula>OR(AND(NOT(ISBLANK(G80)),NOT(G80=$O$1)),AND(NOT(ISBLANK(H80)),NOT(H80=$O$1)))</formula>
    </cfRule>
  </conditionalFormatting>
  <conditionalFormatting sqref="E81">
    <cfRule type="expression" dxfId="811" priority="811">
      <formula>AND(AND(NOT(ISBLANK(D81)),NOT(D81=$O$1)),AND(NOT(ISBLANK(C81)),NOT(C81=$O$1)))</formula>
    </cfRule>
    <cfRule type="expression" dxfId="810" priority="812">
      <formula>OR(AND(NOT(ISBLANK(D81)),NOT(D81=$O$1)),AND(NOT(ISBLANK(C81)),NOT(C81=$O$1)))</formula>
    </cfRule>
  </conditionalFormatting>
  <conditionalFormatting sqref="F81">
    <cfRule type="expression" dxfId="809" priority="809">
      <formula>AND(AND(NOT(ISBLANK(G81)),NOT(G81=$O$1)),AND(NOT(ISBLANK(H81)),NOT(H81=$O$1)))</formula>
    </cfRule>
    <cfRule type="expression" dxfId="808" priority="810">
      <formula>OR(AND(NOT(ISBLANK(G81)),NOT(G81=$O$1)),AND(NOT(ISBLANK(H81)),NOT(H81=$O$1)))</formula>
    </cfRule>
  </conditionalFormatting>
  <conditionalFormatting sqref="E82">
    <cfRule type="expression" dxfId="807" priority="807">
      <formula>AND(AND(NOT(ISBLANK(D82)),NOT(D82=$O$1)),AND(NOT(ISBLANK(C82)),NOT(C82=$O$1)))</formula>
    </cfRule>
    <cfRule type="expression" dxfId="806" priority="808">
      <formula>OR(AND(NOT(ISBLANK(D82)),NOT(D82=$O$1)),AND(NOT(ISBLANK(C82)),NOT(C82=$O$1)))</formula>
    </cfRule>
  </conditionalFormatting>
  <conditionalFormatting sqref="F82">
    <cfRule type="expression" dxfId="805" priority="805">
      <formula>AND(AND(NOT(ISBLANK(G82)),NOT(G82=$O$1)),AND(NOT(ISBLANK(H82)),NOT(H82=$O$1)))</formula>
    </cfRule>
    <cfRule type="expression" dxfId="804" priority="806">
      <formula>OR(AND(NOT(ISBLANK(G82)),NOT(G82=$O$1)),AND(NOT(ISBLANK(H82)),NOT(H82=$O$1)))</formula>
    </cfRule>
  </conditionalFormatting>
  <conditionalFormatting sqref="E83">
    <cfRule type="expression" dxfId="803" priority="803">
      <formula>AND(AND(NOT(ISBLANK(D83)),NOT(D83=$O$1)),AND(NOT(ISBLANK(C83)),NOT(C83=$O$1)))</formula>
    </cfRule>
    <cfRule type="expression" dxfId="802" priority="804">
      <formula>OR(AND(NOT(ISBLANK(D83)),NOT(D83=$O$1)),AND(NOT(ISBLANK(C83)),NOT(C83=$O$1)))</formula>
    </cfRule>
  </conditionalFormatting>
  <conditionalFormatting sqref="F83">
    <cfRule type="expression" dxfId="801" priority="801">
      <formula>AND(AND(NOT(ISBLANK(G83)),NOT(G83=$O$1)),AND(NOT(ISBLANK(H83)),NOT(H83=$O$1)))</formula>
    </cfRule>
    <cfRule type="expression" dxfId="800" priority="802">
      <formula>OR(AND(NOT(ISBLANK(G83)),NOT(G83=$O$1)),AND(NOT(ISBLANK(H83)),NOT(H83=$O$1)))</formula>
    </cfRule>
  </conditionalFormatting>
  <conditionalFormatting sqref="E84">
    <cfRule type="expression" dxfId="799" priority="799">
      <formula>AND(AND(NOT(ISBLANK(D84)),NOT(D84=$O$1)),AND(NOT(ISBLANK(C84)),NOT(C84=$O$1)))</formula>
    </cfRule>
    <cfRule type="expression" dxfId="798" priority="800">
      <formula>OR(AND(NOT(ISBLANK(D84)),NOT(D84=$O$1)),AND(NOT(ISBLANK(C84)),NOT(C84=$O$1)))</formula>
    </cfRule>
  </conditionalFormatting>
  <conditionalFormatting sqref="F84">
    <cfRule type="expression" dxfId="797" priority="797">
      <formula>AND(AND(NOT(ISBLANK(G84)),NOT(G84=$O$1)),AND(NOT(ISBLANK(H84)),NOT(H84=$O$1)))</formula>
    </cfRule>
    <cfRule type="expression" dxfId="796" priority="798">
      <formula>OR(AND(NOT(ISBLANK(G84)),NOT(G84=$O$1)),AND(NOT(ISBLANK(H84)),NOT(H84=$O$1)))</formula>
    </cfRule>
  </conditionalFormatting>
  <conditionalFormatting sqref="E85">
    <cfRule type="expression" dxfId="795" priority="795">
      <formula>AND(AND(NOT(ISBLANK(D85)),NOT(D85=$O$1)),AND(NOT(ISBLANK(C85)),NOT(C85=$O$1)))</formula>
    </cfRule>
    <cfRule type="expression" dxfId="794" priority="796">
      <formula>OR(AND(NOT(ISBLANK(D85)),NOT(D85=$O$1)),AND(NOT(ISBLANK(C85)),NOT(C85=$O$1)))</formula>
    </cfRule>
  </conditionalFormatting>
  <conditionalFormatting sqref="F85">
    <cfRule type="expression" dxfId="793" priority="793">
      <formula>AND(AND(NOT(ISBLANK(G85)),NOT(G85=$O$1)),AND(NOT(ISBLANK(H85)),NOT(H85=$O$1)))</formula>
    </cfRule>
    <cfRule type="expression" dxfId="792" priority="794">
      <formula>OR(AND(NOT(ISBLANK(G85)),NOT(G85=$O$1)),AND(NOT(ISBLANK(H85)),NOT(H85=$O$1)))</formula>
    </cfRule>
  </conditionalFormatting>
  <conditionalFormatting sqref="E86">
    <cfRule type="expression" dxfId="791" priority="791">
      <formula>AND(AND(NOT(ISBLANK(D86)),NOT(D86=$O$1)),AND(NOT(ISBLANK(C86)),NOT(C86=$O$1)))</formula>
    </cfRule>
    <cfRule type="expression" dxfId="790" priority="792">
      <formula>OR(AND(NOT(ISBLANK(D86)),NOT(D86=$O$1)),AND(NOT(ISBLANK(C86)),NOT(C86=$O$1)))</formula>
    </cfRule>
  </conditionalFormatting>
  <conditionalFormatting sqref="F86">
    <cfRule type="expression" dxfId="789" priority="789">
      <formula>AND(AND(NOT(ISBLANK(G86)),NOT(G86=$O$1)),AND(NOT(ISBLANK(H86)),NOT(H86=$O$1)))</formula>
    </cfRule>
    <cfRule type="expression" dxfId="788" priority="790">
      <formula>OR(AND(NOT(ISBLANK(G86)),NOT(G86=$O$1)),AND(NOT(ISBLANK(H86)),NOT(H86=$O$1)))</formula>
    </cfRule>
  </conditionalFormatting>
  <conditionalFormatting sqref="E87">
    <cfRule type="expression" dxfId="787" priority="787">
      <formula>AND(AND(NOT(ISBLANK(D87)),NOT(D87=$O$1)),AND(NOT(ISBLANK(C87)),NOT(C87=$O$1)))</formula>
    </cfRule>
    <cfRule type="expression" dxfId="786" priority="788">
      <formula>OR(AND(NOT(ISBLANK(D87)),NOT(D87=$O$1)),AND(NOT(ISBLANK(C87)),NOT(C87=$O$1)))</formula>
    </cfRule>
  </conditionalFormatting>
  <conditionalFormatting sqref="F87">
    <cfRule type="expression" dxfId="785" priority="785">
      <formula>AND(AND(NOT(ISBLANK(G87)),NOT(G87=$O$1)),AND(NOT(ISBLANK(H87)),NOT(H87=$O$1)))</formula>
    </cfRule>
    <cfRule type="expression" dxfId="784" priority="786">
      <formula>OR(AND(NOT(ISBLANK(G87)),NOT(G87=$O$1)),AND(NOT(ISBLANK(H87)),NOT(H87=$O$1)))</formula>
    </cfRule>
  </conditionalFormatting>
  <conditionalFormatting sqref="E88">
    <cfRule type="expression" dxfId="783" priority="783">
      <formula>AND(AND(NOT(ISBLANK(D88)),NOT(D88=$O$1)),AND(NOT(ISBLANK(C88)),NOT(C88=$O$1)))</formula>
    </cfRule>
    <cfRule type="expression" dxfId="782" priority="784">
      <formula>OR(AND(NOT(ISBLANK(D88)),NOT(D88=$O$1)),AND(NOT(ISBLANK(C88)),NOT(C88=$O$1)))</formula>
    </cfRule>
  </conditionalFormatting>
  <conditionalFormatting sqref="F88">
    <cfRule type="expression" dxfId="781" priority="781">
      <formula>AND(AND(NOT(ISBLANK(G88)),NOT(G88=$O$1)),AND(NOT(ISBLANK(H88)),NOT(H88=$O$1)))</formula>
    </cfRule>
    <cfRule type="expression" dxfId="780" priority="782">
      <formula>OR(AND(NOT(ISBLANK(G88)),NOT(G88=$O$1)),AND(NOT(ISBLANK(H88)),NOT(H88=$O$1)))</formula>
    </cfRule>
  </conditionalFormatting>
  <conditionalFormatting sqref="E89">
    <cfRule type="expression" dxfId="779" priority="779">
      <formula>AND(AND(NOT(ISBLANK(D89)),NOT(D89=$O$1)),AND(NOT(ISBLANK(C89)),NOT(C89=$O$1)))</formula>
    </cfRule>
    <cfRule type="expression" dxfId="778" priority="780">
      <formula>OR(AND(NOT(ISBLANK(D89)),NOT(D89=$O$1)),AND(NOT(ISBLANK(C89)),NOT(C89=$O$1)))</formula>
    </cfRule>
  </conditionalFormatting>
  <conditionalFormatting sqref="F89">
    <cfRule type="expression" dxfId="777" priority="777">
      <formula>AND(AND(NOT(ISBLANK(G89)),NOT(G89=$O$1)),AND(NOT(ISBLANK(H89)),NOT(H89=$O$1)))</formula>
    </cfRule>
    <cfRule type="expression" dxfId="776" priority="778">
      <formula>OR(AND(NOT(ISBLANK(G89)),NOT(G89=$O$1)),AND(NOT(ISBLANK(H89)),NOT(H89=$O$1)))</formula>
    </cfRule>
  </conditionalFormatting>
  <conditionalFormatting sqref="E90">
    <cfRule type="expression" dxfId="775" priority="775">
      <formula>AND(AND(NOT(ISBLANK(D90)),NOT(D90=$O$1)),AND(NOT(ISBLANK(C90)),NOT(C90=$O$1)))</formula>
    </cfRule>
    <cfRule type="expression" dxfId="774" priority="776">
      <formula>OR(AND(NOT(ISBLANK(D90)),NOT(D90=$O$1)),AND(NOT(ISBLANK(C90)),NOT(C90=$O$1)))</formula>
    </cfRule>
  </conditionalFormatting>
  <conditionalFormatting sqref="F90">
    <cfRule type="expression" dxfId="773" priority="773">
      <formula>AND(AND(NOT(ISBLANK(G90)),NOT(G90=$O$1)),AND(NOT(ISBLANK(H90)),NOT(H90=$O$1)))</formula>
    </cfRule>
    <cfRule type="expression" dxfId="772" priority="774">
      <formula>OR(AND(NOT(ISBLANK(G90)),NOT(G90=$O$1)),AND(NOT(ISBLANK(H90)),NOT(H90=$O$1)))</formula>
    </cfRule>
  </conditionalFormatting>
  <conditionalFormatting sqref="E91">
    <cfRule type="expression" dxfId="771" priority="771">
      <formula>AND(AND(NOT(ISBLANK(D91)),NOT(D91=$O$1)),AND(NOT(ISBLANK(C91)),NOT(C91=$O$1)))</formula>
    </cfRule>
    <cfRule type="expression" dxfId="770" priority="772">
      <formula>OR(AND(NOT(ISBLANK(D91)),NOT(D91=$O$1)),AND(NOT(ISBLANK(C91)),NOT(C91=$O$1)))</formula>
    </cfRule>
  </conditionalFormatting>
  <conditionalFormatting sqref="F91">
    <cfRule type="expression" dxfId="769" priority="769">
      <formula>AND(AND(NOT(ISBLANK(G91)),NOT(G91=$O$1)),AND(NOT(ISBLANK(H91)),NOT(H91=$O$1)))</formula>
    </cfRule>
    <cfRule type="expression" dxfId="768" priority="770">
      <formula>OR(AND(NOT(ISBLANK(G91)),NOT(G91=$O$1)),AND(NOT(ISBLANK(H91)),NOT(H91=$O$1)))</formula>
    </cfRule>
  </conditionalFormatting>
  <conditionalFormatting sqref="E92">
    <cfRule type="expression" dxfId="767" priority="767">
      <formula>AND(AND(NOT(ISBLANK(D92)),NOT(D92=$O$1)),AND(NOT(ISBLANK(C92)),NOT(C92=$O$1)))</formula>
    </cfRule>
    <cfRule type="expression" dxfId="766" priority="768">
      <formula>OR(AND(NOT(ISBLANK(D92)),NOT(D92=$O$1)),AND(NOT(ISBLANK(C92)),NOT(C92=$O$1)))</formula>
    </cfRule>
  </conditionalFormatting>
  <conditionalFormatting sqref="F92">
    <cfRule type="expression" dxfId="765" priority="765">
      <formula>AND(AND(NOT(ISBLANK(G92)),NOT(G92=$O$1)),AND(NOT(ISBLANK(H92)),NOT(H92=$O$1)))</formula>
    </cfRule>
    <cfRule type="expression" dxfId="764" priority="766">
      <formula>OR(AND(NOT(ISBLANK(G92)),NOT(G92=$O$1)),AND(NOT(ISBLANK(H92)),NOT(H92=$O$1)))</formula>
    </cfRule>
  </conditionalFormatting>
  <conditionalFormatting sqref="E93">
    <cfRule type="expression" dxfId="763" priority="763">
      <formula>AND(AND(NOT(ISBLANK(D93)),NOT(D93=$O$1)),AND(NOT(ISBLANK(C93)),NOT(C93=$O$1)))</formula>
    </cfRule>
    <cfRule type="expression" dxfId="762" priority="764">
      <formula>OR(AND(NOT(ISBLANK(D93)),NOT(D93=$O$1)),AND(NOT(ISBLANK(C93)),NOT(C93=$O$1)))</formula>
    </cfRule>
  </conditionalFormatting>
  <conditionalFormatting sqref="F93">
    <cfRule type="expression" dxfId="761" priority="761">
      <formula>AND(AND(NOT(ISBLANK(G93)),NOT(G93=$O$1)),AND(NOT(ISBLANK(H93)),NOT(H93=$O$1)))</formula>
    </cfRule>
    <cfRule type="expression" dxfId="760" priority="762">
      <formula>OR(AND(NOT(ISBLANK(G93)),NOT(G93=$O$1)),AND(NOT(ISBLANK(H93)),NOT(H93=$O$1)))</formula>
    </cfRule>
  </conditionalFormatting>
  <conditionalFormatting sqref="E94">
    <cfRule type="expression" dxfId="759" priority="759">
      <formula>AND(AND(NOT(ISBLANK(D94)),NOT(D94=$O$1)),AND(NOT(ISBLANK(C94)),NOT(C94=$O$1)))</formula>
    </cfRule>
    <cfRule type="expression" dxfId="758" priority="760">
      <formula>OR(AND(NOT(ISBLANK(D94)),NOT(D94=$O$1)),AND(NOT(ISBLANK(C94)),NOT(C94=$O$1)))</formula>
    </cfRule>
  </conditionalFormatting>
  <conditionalFormatting sqref="F94">
    <cfRule type="expression" dxfId="757" priority="757">
      <formula>AND(AND(NOT(ISBLANK(G94)),NOT(G94=$O$1)),AND(NOT(ISBLANK(H94)),NOT(H94=$O$1)))</formula>
    </cfRule>
    <cfRule type="expression" dxfId="756" priority="758">
      <formula>OR(AND(NOT(ISBLANK(G94)),NOT(G94=$O$1)),AND(NOT(ISBLANK(H94)),NOT(H94=$O$1)))</formula>
    </cfRule>
  </conditionalFormatting>
  <conditionalFormatting sqref="E95">
    <cfRule type="expression" dxfId="755" priority="755">
      <formula>AND(AND(NOT(ISBLANK(D95)),NOT(D95=$O$1)),AND(NOT(ISBLANK(C95)),NOT(C95=$O$1)))</formula>
    </cfRule>
    <cfRule type="expression" dxfId="754" priority="756">
      <formula>OR(AND(NOT(ISBLANK(D95)),NOT(D95=$O$1)),AND(NOT(ISBLANK(C95)),NOT(C95=$O$1)))</formula>
    </cfRule>
  </conditionalFormatting>
  <conditionalFormatting sqref="F95">
    <cfRule type="expression" dxfId="753" priority="753">
      <formula>AND(AND(NOT(ISBLANK(G95)),NOT(G95=$O$1)),AND(NOT(ISBLANK(H95)),NOT(H95=$O$1)))</formula>
    </cfRule>
    <cfRule type="expression" dxfId="752" priority="754">
      <formula>OR(AND(NOT(ISBLANK(G95)),NOT(G95=$O$1)),AND(NOT(ISBLANK(H95)),NOT(H95=$O$1)))</formula>
    </cfRule>
  </conditionalFormatting>
  <conditionalFormatting sqref="E96">
    <cfRule type="expression" dxfId="751" priority="751">
      <formula>AND(AND(NOT(ISBLANK(D96)),NOT(D96=$O$1)),AND(NOT(ISBLANK(C96)),NOT(C96=$O$1)))</formula>
    </cfRule>
    <cfRule type="expression" dxfId="750" priority="752">
      <formula>OR(AND(NOT(ISBLANK(D96)),NOT(D96=$O$1)),AND(NOT(ISBLANK(C96)),NOT(C96=$O$1)))</formula>
    </cfRule>
  </conditionalFormatting>
  <conditionalFormatting sqref="F96">
    <cfRule type="expression" dxfId="749" priority="749">
      <formula>AND(AND(NOT(ISBLANK(G96)),NOT(G96=$O$1)),AND(NOT(ISBLANK(H96)),NOT(H96=$O$1)))</formula>
    </cfRule>
    <cfRule type="expression" dxfId="748" priority="750">
      <formula>OR(AND(NOT(ISBLANK(G96)),NOT(G96=$O$1)),AND(NOT(ISBLANK(H96)),NOT(H96=$O$1)))</formula>
    </cfRule>
  </conditionalFormatting>
  <conditionalFormatting sqref="E97">
    <cfRule type="expression" dxfId="747" priority="747">
      <formula>AND(AND(NOT(ISBLANK(D97)),NOT(D97=$O$1)),AND(NOT(ISBLANK(C97)),NOT(C97=$O$1)))</formula>
    </cfRule>
    <cfRule type="expression" dxfId="746" priority="748">
      <formula>OR(AND(NOT(ISBLANK(D97)),NOT(D97=$O$1)),AND(NOT(ISBLANK(C97)),NOT(C97=$O$1)))</formula>
    </cfRule>
  </conditionalFormatting>
  <conditionalFormatting sqref="F97">
    <cfRule type="expression" dxfId="745" priority="745">
      <formula>AND(AND(NOT(ISBLANK(G97)),NOT(G97=$O$1)),AND(NOT(ISBLANK(H97)),NOT(H97=$O$1)))</formula>
    </cfRule>
    <cfRule type="expression" dxfId="744" priority="746">
      <formula>OR(AND(NOT(ISBLANK(G97)),NOT(G97=$O$1)),AND(NOT(ISBLANK(H97)),NOT(H97=$O$1)))</formula>
    </cfRule>
  </conditionalFormatting>
  <conditionalFormatting sqref="E98">
    <cfRule type="expression" dxfId="743" priority="743">
      <formula>AND(AND(NOT(ISBLANK(D98)),NOT(D98=$O$1)),AND(NOT(ISBLANK(C98)),NOT(C98=$O$1)))</formula>
    </cfRule>
    <cfRule type="expression" dxfId="742" priority="744">
      <formula>OR(AND(NOT(ISBLANK(D98)),NOT(D98=$O$1)),AND(NOT(ISBLANK(C98)),NOT(C98=$O$1)))</formula>
    </cfRule>
  </conditionalFormatting>
  <conditionalFormatting sqref="F98">
    <cfRule type="expression" dxfId="741" priority="741">
      <formula>AND(AND(NOT(ISBLANK(G98)),NOT(G98=$O$1)),AND(NOT(ISBLANK(H98)),NOT(H98=$O$1)))</formula>
    </cfRule>
    <cfRule type="expression" dxfId="740" priority="742">
      <formula>OR(AND(NOT(ISBLANK(G98)),NOT(G98=$O$1)),AND(NOT(ISBLANK(H98)),NOT(H98=$O$1)))</formula>
    </cfRule>
  </conditionalFormatting>
  <conditionalFormatting sqref="E99">
    <cfRule type="expression" dxfId="739" priority="739">
      <formula>AND(AND(NOT(ISBLANK(D99)),NOT(D99=$O$1)),AND(NOT(ISBLANK(C99)),NOT(C99=$O$1)))</formula>
    </cfRule>
    <cfRule type="expression" dxfId="738" priority="740">
      <formula>OR(AND(NOT(ISBLANK(D99)),NOT(D99=$O$1)),AND(NOT(ISBLANK(C99)),NOT(C99=$O$1)))</formula>
    </cfRule>
  </conditionalFormatting>
  <conditionalFormatting sqref="F99">
    <cfRule type="expression" dxfId="737" priority="737">
      <formula>AND(AND(NOT(ISBLANK(G99)),NOT(G99=$O$1)),AND(NOT(ISBLANK(H99)),NOT(H99=$O$1)))</formula>
    </cfRule>
    <cfRule type="expression" dxfId="736" priority="738">
      <formula>OR(AND(NOT(ISBLANK(G99)),NOT(G99=$O$1)),AND(NOT(ISBLANK(H99)),NOT(H99=$O$1)))</formula>
    </cfRule>
  </conditionalFormatting>
  <conditionalFormatting sqref="E100">
    <cfRule type="expression" dxfId="735" priority="735">
      <formula>AND(AND(NOT(ISBLANK(D100)),NOT(D100=$O$1)),AND(NOT(ISBLANK(C100)),NOT(C100=$O$1)))</formula>
    </cfRule>
    <cfRule type="expression" dxfId="734" priority="736">
      <formula>OR(AND(NOT(ISBLANK(D100)),NOT(D100=$O$1)),AND(NOT(ISBLANK(C100)),NOT(C100=$O$1)))</formula>
    </cfRule>
  </conditionalFormatting>
  <conditionalFormatting sqref="F100">
    <cfRule type="expression" dxfId="733" priority="733">
      <formula>AND(AND(NOT(ISBLANK(G100)),NOT(G100=$O$1)),AND(NOT(ISBLANK(H100)),NOT(H100=$O$1)))</formula>
    </cfRule>
    <cfRule type="expression" dxfId="732" priority="734">
      <formula>OR(AND(NOT(ISBLANK(G100)),NOT(G100=$O$1)),AND(NOT(ISBLANK(H100)),NOT(H100=$O$1)))</formula>
    </cfRule>
  </conditionalFormatting>
  <conditionalFormatting sqref="E101">
    <cfRule type="expression" dxfId="731" priority="731">
      <formula>AND(AND(NOT(ISBLANK(D101)),NOT(D101=$O$1)),AND(NOT(ISBLANK(C101)),NOT(C101=$O$1)))</formula>
    </cfRule>
    <cfRule type="expression" dxfId="730" priority="732">
      <formula>OR(AND(NOT(ISBLANK(D101)),NOT(D101=$O$1)),AND(NOT(ISBLANK(C101)),NOT(C101=$O$1)))</formula>
    </cfRule>
  </conditionalFormatting>
  <conditionalFormatting sqref="F101">
    <cfRule type="expression" dxfId="729" priority="729">
      <formula>AND(AND(NOT(ISBLANK(G101)),NOT(G101=$O$1)),AND(NOT(ISBLANK(H101)),NOT(H101=$O$1)))</formula>
    </cfRule>
    <cfRule type="expression" dxfId="728" priority="730">
      <formula>OR(AND(NOT(ISBLANK(G101)),NOT(G101=$O$1)),AND(NOT(ISBLANK(H101)),NOT(H101=$O$1)))</formula>
    </cfRule>
  </conditionalFormatting>
  <conditionalFormatting sqref="E102">
    <cfRule type="expression" dxfId="727" priority="727">
      <formula>AND(AND(NOT(ISBLANK(D102)),NOT(D102=$O$1)),AND(NOT(ISBLANK(C102)),NOT(C102=$O$1)))</formula>
    </cfRule>
    <cfRule type="expression" dxfId="726" priority="728">
      <formula>OR(AND(NOT(ISBLANK(D102)),NOT(D102=$O$1)),AND(NOT(ISBLANK(C102)),NOT(C102=$O$1)))</formula>
    </cfRule>
  </conditionalFormatting>
  <conditionalFormatting sqref="F102">
    <cfRule type="expression" dxfId="725" priority="725">
      <formula>AND(AND(NOT(ISBLANK(G102)),NOT(G102=$O$1)),AND(NOT(ISBLANK(H102)),NOT(H102=$O$1)))</formula>
    </cfRule>
    <cfRule type="expression" dxfId="724" priority="726">
      <formula>OR(AND(NOT(ISBLANK(G102)),NOT(G102=$O$1)),AND(NOT(ISBLANK(H102)),NOT(H102=$O$1)))</formula>
    </cfRule>
  </conditionalFormatting>
  <conditionalFormatting sqref="E103">
    <cfRule type="expression" dxfId="723" priority="723">
      <formula>AND(AND(NOT(ISBLANK(D103)),NOT(D103=$O$1)),AND(NOT(ISBLANK(C103)),NOT(C103=$O$1)))</formula>
    </cfRule>
    <cfRule type="expression" dxfId="722" priority="724">
      <formula>OR(AND(NOT(ISBLANK(D103)),NOT(D103=$O$1)),AND(NOT(ISBLANK(C103)),NOT(C103=$O$1)))</formula>
    </cfRule>
  </conditionalFormatting>
  <conditionalFormatting sqref="F103">
    <cfRule type="expression" dxfId="721" priority="721">
      <formula>AND(AND(NOT(ISBLANK(G103)),NOT(G103=$O$1)),AND(NOT(ISBLANK(H103)),NOT(H103=$O$1)))</formula>
    </cfRule>
    <cfRule type="expression" dxfId="720" priority="722">
      <formula>OR(AND(NOT(ISBLANK(G103)),NOT(G103=$O$1)),AND(NOT(ISBLANK(H103)),NOT(H103=$O$1)))</formula>
    </cfRule>
  </conditionalFormatting>
  <conditionalFormatting sqref="E104">
    <cfRule type="expression" dxfId="719" priority="719">
      <formula>AND(AND(NOT(ISBLANK(D104)),NOT(D104=$O$1)),AND(NOT(ISBLANK(C104)),NOT(C104=$O$1)))</formula>
    </cfRule>
    <cfRule type="expression" dxfId="718" priority="720">
      <formula>OR(AND(NOT(ISBLANK(D104)),NOT(D104=$O$1)),AND(NOT(ISBLANK(C104)),NOT(C104=$O$1)))</formula>
    </cfRule>
  </conditionalFormatting>
  <conditionalFormatting sqref="F104">
    <cfRule type="expression" dxfId="717" priority="717">
      <formula>AND(AND(NOT(ISBLANK(G104)),NOT(G104=$O$1)),AND(NOT(ISBLANK(H104)),NOT(H104=$O$1)))</formula>
    </cfRule>
    <cfRule type="expression" dxfId="716" priority="718">
      <formula>OR(AND(NOT(ISBLANK(G104)),NOT(G104=$O$1)),AND(NOT(ISBLANK(H104)),NOT(H104=$O$1)))</formula>
    </cfRule>
  </conditionalFormatting>
  <conditionalFormatting sqref="E105">
    <cfRule type="expression" dxfId="715" priority="715">
      <formula>AND(AND(NOT(ISBLANK(D105)),NOT(D105=$O$1)),AND(NOT(ISBLANK(C105)),NOT(C105=$O$1)))</formula>
    </cfRule>
    <cfRule type="expression" dxfId="714" priority="716">
      <formula>OR(AND(NOT(ISBLANK(D105)),NOT(D105=$O$1)),AND(NOT(ISBLANK(C105)),NOT(C105=$O$1)))</formula>
    </cfRule>
  </conditionalFormatting>
  <conditionalFormatting sqref="F105">
    <cfRule type="expression" dxfId="713" priority="713">
      <formula>AND(AND(NOT(ISBLANK(G105)),NOT(G105=$O$1)),AND(NOT(ISBLANK(H105)),NOT(H105=$O$1)))</formula>
    </cfRule>
    <cfRule type="expression" dxfId="712" priority="714">
      <formula>OR(AND(NOT(ISBLANK(G105)),NOT(G105=$O$1)),AND(NOT(ISBLANK(H105)),NOT(H105=$O$1)))</formula>
    </cfRule>
  </conditionalFormatting>
  <conditionalFormatting sqref="E106">
    <cfRule type="expression" dxfId="711" priority="711">
      <formula>AND(AND(NOT(ISBLANK(D106)),NOT(D106=$O$1)),AND(NOT(ISBLANK(C106)),NOT(C106=$O$1)))</formula>
    </cfRule>
    <cfRule type="expression" dxfId="710" priority="712">
      <formula>OR(AND(NOT(ISBLANK(D106)),NOT(D106=$O$1)),AND(NOT(ISBLANK(C106)),NOT(C106=$O$1)))</formula>
    </cfRule>
  </conditionalFormatting>
  <conditionalFormatting sqref="F106">
    <cfRule type="expression" dxfId="709" priority="709">
      <formula>AND(AND(NOT(ISBLANK(G106)),NOT(G106=$O$1)),AND(NOT(ISBLANK(H106)),NOT(H106=$O$1)))</formula>
    </cfRule>
    <cfRule type="expression" dxfId="708" priority="710">
      <formula>OR(AND(NOT(ISBLANK(G106)),NOT(G106=$O$1)),AND(NOT(ISBLANK(H106)),NOT(H106=$O$1)))</formula>
    </cfRule>
  </conditionalFormatting>
  <conditionalFormatting sqref="E107">
    <cfRule type="expression" dxfId="707" priority="707">
      <formula>AND(AND(NOT(ISBLANK(D107)),NOT(D107=$O$1)),AND(NOT(ISBLANK(C107)),NOT(C107=$O$1)))</formula>
    </cfRule>
    <cfRule type="expression" dxfId="706" priority="708">
      <formula>OR(AND(NOT(ISBLANK(D107)),NOT(D107=$O$1)),AND(NOT(ISBLANK(C107)),NOT(C107=$O$1)))</formula>
    </cfRule>
  </conditionalFormatting>
  <conditionalFormatting sqref="F107">
    <cfRule type="expression" dxfId="705" priority="705">
      <formula>AND(AND(NOT(ISBLANK(G107)),NOT(G107=$O$1)),AND(NOT(ISBLANK(H107)),NOT(H107=$O$1)))</formula>
    </cfRule>
    <cfRule type="expression" dxfId="704" priority="706">
      <formula>OR(AND(NOT(ISBLANK(G107)),NOT(G107=$O$1)),AND(NOT(ISBLANK(H107)),NOT(H107=$O$1)))</formula>
    </cfRule>
  </conditionalFormatting>
  <conditionalFormatting sqref="E108">
    <cfRule type="expression" dxfId="703" priority="703">
      <formula>AND(AND(NOT(ISBLANK(D108)),NOT(D108=$O$1)),AND(NOT(ISBLANK(C108)),NOT(C108=$O$1)))</formula>
    </cfRule>
    <cfRule type="expression" dxfId="702" priority="704">
      <formula>OR(AND(NOT(ISBLANK(D108)),NOT(D108=$O$1)),AND(NOT(ISBLANK(C108)),NOT(C108=$O$1)))</formula>
    </cfRule>
  </conditionalFormatting>
  <conditionalFormatting sqref="F108">
    <cfRule type="expression" dxfId="701" priority="701">
      <formula>AND(AND(NOT(ISBLANK(G108)),NOT(G108=$O$1)),AND(NOT(ISBLANK(H108)),NOT(H108=$O$1)))</formula>
    </cfRule>
    <cfRule type="expression" dxfId="700" priority="702">
      <formula>OR(AND(NOT(ISBLANK(G108)),NOT(G108=$O$1)),AND(NOT(ISBLANK(H108)),NOT(H108=$O$1)))</formula>
    </cfRule>
  </conditionalFormatting>
  <conditionalFormatting sqref="E109">
    <cfRule type="expression" dxfId="699" priority="699">
      <formula>AND(AND(NOT(ISBLANK(D109)),NOT(D109=$O$1)),AND(NOT(ISBLANK(C109)),NOT(C109=$O$1)))</formula>
    </cfRule>
    <cfRule type="expression" dxfId="698" priority="700">
      <formula>OR(AND(NOT(ISBLANK(D109)),NOT(D109=$O$1)),AND(NOT(ISBLANK(C109)),NOT(C109=$O$1)))</formula>
    </cfRule>
  </conditionalFormatting>
  <conditionalFormatting sqref="F109">
    <cfRule type="expression" dxfId="697" priority="697">
      <formula>AND(AND(NOT(ISBLANK(G109)),NOT(G109=$O$1)),AND(NOT(ISBLANK(H109)),NOT(H109=$O$1)))</formula>
    </cfRule>
    <cfRule type="expression" dxfId="696" priority="698">
      <formula>OR(AND(NOT(ISBLANK(G109)),NOT(G109=$O$1)),AND(NOT(ISBLANK(H109)),NOT(H109=$O$1)))</formula>
    </cfRule>
  </conditionalFormatting>
  <conditionalFormatting sqref="E110">
    <cfRule type="expression" dxfId="695" priority="695">
      <formula>AND(AND(NOT(ISBLANK(D110)),NOT(D110=$O$1)),AND(NOT(ISBLANK(C110)),NOT(C110=$O$1)))</formula>
    </cfRule>
    <cfRule type="expression" dxfId="694" priority="696">
      <formula>OR(AND(NOT(ISBLANK(D110)),NOT(D110=$O$1)),AND(NOT(ISBLANK(C110)),NOT(C110=$O$1)))</formula>
    </cfRule>
  </conditionalFormatting>
  <conditionalFormatting sqref="F110">
    <cfRule type="expression" dxfId="693" priority="693">
      <formula>AND(AND(NOT(ISBLANK(G110)),NOT(G110=$O$1)),AND(NOT(ISBLANK(H110)),NOT(H110=$O$1)))</formula>
    </cfRule>
    <cfRule type="expression" dxfId="692" priority="694">
      <formula>OR(AND(NOT(ISBLANK(G110)),NOT(G110=$O$1)),AND(NOT(ISBLANK(H110)),NOT(H110=$O$1)))</formula>
    </cfRule>
  </conditionalFormatting>
  <conditionalFormatting sqref="E111">
    <cfRule type="expression" dxfId="691" priority="691">
      <formula>AND(AND(NOT(ISBLANK(D111)),NOT(D111=$O$1)),AND(NOT(ISBLANK(C111)),NOT(C111=$O$1)))</formula>
    </cfRule>
    <cfRule type="expression" dxfId="690" priority="692">
      <formula>OR(AND(NOT(ISBLANK(D111)),NOT(D111=$O$1)),AND(NOT(ISBLANK(C111)),NOT(C111=$O$1)))</formula>
    </cfRule>
  </conditionalFormatting>
  <conditionalFormatting sqref="F111">
    <cfRule type="expression" dxfId="689" priority="689">
      <formula>AND(AND(NOT(ISBLANK(G111)),NOT(G111=$O$1)),AND(NOT(ISBLANK(H111)),NOT(H111=$O$1)))</formula>
    </cfRule>
    <cfRule type="expression" dxfId="688" priority="690">
      <formula>OR(AND(NOT(ISBLANK(G111)),NOT(G111=$O$1)),AND(NOT(ISBLANK(H111)),NOT(H111=$O$1)))</formula>
    </cfRule>
  </conditionalFormatting>
  <conditionalFormatting sqref="E112">
    <cfRule type="expression" dxfId="687" priority="687">
      <formula>AND(AND(NOT(ISBLANK(D112)),NOT(D112=$O$1)),AND(NOT(ISBLANK(C112)),NOT(C112=$O$1)))</formula>
    </cfRule>
    <cfRule type="expression" dxfId="686" priority="688">
      <formula>OR(AND(NOT(ISBLANK(D112)),NOT(D112=$O$1)),AND(NOT(ISBLANK(C112)),NOT(C112=$O$1)))</formula>
    </cfRule>
  </conditionalFormatting>
  <conditionalFormatting sqref="F112">
    <cfRule type="expression" dxfId="685" priority="685">
      <formula>AND(AND(NOT(ISBLANK(G112)),NOT(G112=$O$1)),AND(NOT(ISBLANK(H112)),NOT(H112=$O$1)))</formula>
    </cfRule>
    <cfRule type="expression" dxfId="684" priority="686">
      <formula>OR(AND(NOT(ISBLANK(G112)),NOT(G112=$O$1)),AND(NOT(ISBLANK(H112)),NOT(H112=$O$1)))</formula>
    </cfRule>
  </conditionalFormatting>
  <conditionalFormatting sqref="E113">
    <cfRule type="expression" dxfId="683" priority="683">
      <formula>AND(AND(NOT(ISBLANK(D113)),NOT(D113=$O$1)),AND(NOT(ISBLANK(C113)),NOT(C113=$O$1)))</formula>
    </cfRule>
    <cfRule type="expression" dxfId="682" priority="684">
      <formula>OR(AND(NOT(ISBLANK(D113)),NOT(D113=$O$1)),AND(NOT(ISBLANK(C113)),NOT(C113=$O$1)))</formula>
    </cfRule>
  </conditionalFormatting>
  <conditionalFormatting sqref="F113">
    <cfRule type="expression" dxfId="681" priority="681">
      <formula>AND(AND(NOT(ISBLANK(G113)),NOT(G113=$O$1)),AND(NOT(ISBLANK(H113)),NOT(H113=$O$1)))</formula>
    </cfRule>
    <cfRule type="expression" dxfId="680" priority="682">
      <formula>OR(AND(NOT(ISBLANK(G113)),NOT(G113=$O$1)),AND(NOT(ISBLANK(H113)),NOT(H113=$O$1)))</formula>
    </cfRule>
  </conditionalFormatting>
  <conditionalFormatting sqref="E114">
    <cfRule type="expression" dxfId="679" priority="679">
      <formula>AND(AND(NOT(ISBLANK(D114)),NOT(D114=$O$1)),AND(NOT(ISBLANK(C114)),NOT(C114=$O$1)))</formula>
    </cfRule>
    <cfRule type="expression" dxfId="678" priority="680">
      <formula>OR(AND(NOT(ISBLANK(D114)),NOT(D114=$O$1)),AND(NOT(ISBLANK(C114)),NOT(C114=$O$1)))</formula>
    </cfRule>
  </conditionalFormatting>
  <conditionalFormatting sqref="F114">
    <cfRule type="expression" dxfId="677" priority="677">
      <formula>AND(AND(NOT(ISBLANK(G114)),NOT(G114=$O$1)),AND(NOT(ISBLANK(H114)),NOT(H114=$O$1)))</formula>
    </cfRule>
    <cfRule type="expression" dxfId="676" priority="678">
      <formula>OR(AND(NOT(ISBLANK(G114)),NOT(G114=$O$1)),AND(NOT(ISBLANK(H114)),NOT(H114=$O$1)))</formula>
    </cfRule>
  </conditionalFormatting>
  <conditionalFormatting sqref="E115">
    <cfRule type="expression" dxfId="675" priority="675">
      <formula>AND(AND(NOT(ISBLANK(D115)),NOT(D115=$O$1)),AND(NOT(ISBLANK(C115)),NOT(C115=$O$1)))</formula>
    </cfRule>
    <cfRule type="expression" dxfId="674" priority="676">
      <formula>OR(AND(NOT(ISBLANK(D115)),NOT(D115=$O$1)),AND(NOT(ISBLANK(C115)),NOT(C115=$O$1)))</formula>
    </cfRule>
  </conditionalFormatting>
  <conditionalFormatting sqref="F115">
    <cfRule type="expression" dxfId="673" priority="673">
      <formula>AND(AND(NOT(ISBLANK(G115)),NOT(G115=$O$1)),AND(NOT(ISBLANK(H115)),NOT(H115=$O$1)))</formula>
    </cfRule>
    <cfRule type="expression" dxfId="672" priority="674">
      <formula>OR(AND(NOT(ISBLANK(G115)),NOT(G115=$O$1)),AND(NOT(ISBLANK(H115)),NOT(H115=$O$1)))</formula>
    </cfRule>
  </conditionalFormatting>
  <conditionalFormatting sqref="E116">
    <cfRule type="expression" dxfId="671" priority="671">
      <formula>AND(AND(NOT(ISBLANK(D116)),NOT(D116=$O$1)),AND(NOT(ISBLANK(C116)),NOT(C116=$O$1)))</formula>
    </cfRule>
    <cfRule type="expression" dxfId="670" priority="672">
      <formula>OR(AND(NOT(ISBLANK(D116)),NOT(D116=$O$1)),AND(NOT(ISBLANK(C116)),NOT(C116=$O$1)))</formula>
    </cfRule>
  </conditionalFormatting>
  <conditionalFormatting sqref="F116">
    <cfRule type="expression" dxfId="669" priority="669">
      <formula>AND(AND(NOT(ISBLANK(G116)),NOT(G116=$O$1)),AND(NOT(ISBLANK(H116)),NOT(H116=$O$1)))</formula>
    </cfRule>
    <cfRule type="expression" dxfId="668" priority="670">
      <formula>OR(AND(NOT(ISBLANK(G116)),NOT(G116=$O$1)),AND(NOT(ISBLANK(H116)),NOT(H116=$O$1)))</formula>
    </cfRule>
  </conditionalFormatting>
  <conditionalFormatting sqref="E117">
    <cfRule type="expression" dxfId="667" priority="667">
      <formula>AND(AND(NOT(ISBLANK(D117)),NOT(D117=$O$1)),AND(NOT(ISBLANK(C117)),NOT(C117=$O$1)))</formula>
    </cfRule>
    <cfRule type="expression" dxfId="666" priority="668">
      <formula>OR(AND(NOT(ISBLANK(D117)),NOT(D117=$O$1)),AND(NOT(ISBLANK(C117)),NOT(C117=$O$1)))</formula>
    </cfRule>
  </conditionalFormatting>
  <conditionalFormatting sqref="F117">
    <cfRule type="expression" dxfId="665" priority="665">
      <formula>AND(AND(NOT(ISBLANK(G117)),NOT(G117=$O$1)),AND(NOT(ISBLANK(H117)),NOT(H117=$O$1)))</formula>
    </cfRule>
    <cfRule type="expression" dxfId="664" priority="666">
      <formula>OR(AND(NOT(ISBLANK(G117)),NOT(G117=$O$1)),AND(NOT(ISBLANK(H117)),NOT(H117=$O$1)))</formula>
    </cfRule>
  </conditionalFormatting>
  <conditionalFormatting sqref="E118">
    <cfRule type="expression" dxfId="663" priority="663">
      <formula>AND(AND(NOT(ISBLANK(D118)),NOT(D118=$O$1)),AND(NOT(ISBLANK(C118)),NOT(C118=$O$1)))</formula>
    </cfRule>
    <cfRule type="expression" dxfId="662" priority="664">
      <formula>OR(AND(NOT(ISBLANK(D118)),NOT(D118=$O$1)),AND(NOT(ISBLANK(C118)),NOT(C118=$O$1)))</formula>
    </cfRule>
  </conditionalFormatting>
  <conditionalFormatting sqref="F118">
    <cfRule type="expression" dxfId="661" priority="661">
      <formula>AND(AND(NOT(ISBLANK(G118)),NOT(G118=$O$1)),AND(NOT(ISBLANK(H118)),NOT(H118=$O$1)))</formula>
    </cfRule>
    <cfRule type="expression" dxfId="660" priority="662">
      <formula>OR(AND(NOT(ISBLANK(G118)),NOT(G118=$O$1)),AND(NOT(ISBLANK(H118)),NOT(H118=$O$1)))</formula>
    </cfRule>
  </conditionalFormatting>
  <conditionalFormatting sqref="E119">
    <cfRule type="expression" dxfId="659" priority="659">
      <formula>AND(AND(NOT(ISBLANK(D119)),NOT(D119=$O$1)),AND(NOT(ISBLANK(C119)),NOT(C119=$O$1)))</formula>
    </cfRule>
    <cfRule type="expression" dxfId="658" priority="660">
      <formula>OR(AND(NOT(ISBLANK(D119)),NOT(D119=$O$1)),AND(NOT(ISBLANK(C119)),NOT(C119=$O$1)))</formula>
    </cfRule>
  </conditionalFormatting>
  <conditionalFormatting sqref="F119">
    <cfRule type="expression" dxfId="657" priority="657">
      <formula>AND(AND(NOT(ISBLANK(G119)),NOT(G119=$O$1)),AND(NOT(ISBLANK(H119)),NOT(H119=$O$1)))</formula>
    </cfRule>
    <cfRule type="expression" dxfId="656" priority="658">
      <formula>OR(AND(NOT(ISBLANK(G119)),NOT(G119=$O$1)),AND(NOT(ISBLANK(H119)),NOT(H119=$O$1)))</formula>
    </cfRule>
  </conditionalFormatting>
  <conditionalFormatting sqref="E120">
    <cfRule type="expression" dxfId="655" priority="655">
      <formula>AND(AND(NOT(ISBLANK(D120)),NOT(D120=$O$1)),AND(NOT(ISBLANK(C120)),NOT(C120=$O$1)))</formula>
    </cfRule>
    <cfRule type="expression" dxfId="654" priority="656">
      <formula>OR(AND(NOT(ISBLANK(D120)),NOT(D120=$O$1)),AND(NOT(ISBLANK(C120)),NOT(C120=$O$1)))</formula>
    </cfRule>
  </conditionalFormatting>
  <conditionalFormatting sqref="F120">
    <cfRule type="expression" dxfId="653" priority="653">
      <formula>AND(AND(NOT(ISBLANK(G120)),NOT(G120=$O$1)),AND(NOT(ISBLANK(H120)),NOT(H120=$O$1)))</formula>
    </cfRule>
    <cfRule type="expression" dxfId="652" priority="654">
      <formula>OR(AND(NOT(ISBLANK(G120)),NOT(G120=$O$1)),AND(NOT(ISBLANK(H120)),NOT(H120=$O$1)))</formula>
    </cfRule>
  </conditionalFormatting>
  <conditionalFormatting sqref="E121">
    <cfRule type="expression" dxfId="651" priority="651">
      <formula>AND(AND(NOT(ISBLANK(D121)),NOT(D121=$O$1)),AND(NOT(ISBLANK(C121)),NOT(C121=$O$1)))</formula>
    </cfRule>
    <cfRule type="expression" dxfId="650" priority="652">
      <formula>OR(AND(NOT(ISBLANK(D121)),NOT(D121=$O$1)),AND(NOT(ISBLANK(C121)),NOT(C121=$O$1)))</formula>
    </cfRule>
  </conditionalFormatting>
  <conditionalFormatting sqref="F121">
    <cfRule type="expression" dxfId="649" priority="649">
      <formula>AND(AND(NOT(ISBLANK(G121)),NOT(G121=$O$1)),AND(NOT(ISBLANK(H121)),NOT(H121=$O$1)))</formula>
    </cfRule>
    <cfRule type="expression" dxfId="648" priority="650">
      <formula>OR(AND(NOT(ISBLANK(G121)),NOT(G121=$O$1)),AND(NOT(ISBLANK(H121)),NOT(H121=$O$1)))</formula>
    </cfRule>
  </conditionalFormatting>
  <conditionalFormatting sqref="E122">
    <cfRule type="expression" dxfId="647" priority="647">
      <formula>AND(AND(NOT(ISBLANK(D122)),NOT(D122=$O$1)),AND(NOT(ISBLANK(C122)),NOT(C122=$O$1)))</formula>
    </cfRule>
    <cfRule type="expression" dxfId="646" priority="648">
      <formula>OR(AND(NOT(ISBLANK(D122)),NOT(D122=$O$1)),AND(NOT(ISBLANK(C122)),NOT(C122=$O$1)))</formula>
    </cfRule>
  </conditionalFormatting>
  <conditionalFormatting sqref="F122">
    <cfRule type="expression" dxfId="645" priority="645">
      <formula>AND(AND(NOT(ISBLANK(G122)),NOT(G122=$O$1)),AND(NOT(ISBLANK(H122)),NOT(H122=$O$1)))</formula>
    </cfRule>
    <cfRule type="expression" dxfId="644" priority="646">
      <formula>OR(AND(NOT(ISBLANK(G122)),NOT(G122=$O$1)),AND(NOT(ISBLANK(H122)),NOT(H122=$O$1)))</formula>
    </cfRule>
  </conditionalFormatting>
  <conditionalFormatting sqref="E123">
    <cfRule type="expression" dxfId="643" priority="643">
      <formula>AND(AND(NOT(ISBLANK(D123)),NOT(D123=$O$1)),AND(NOT(ISBLANK(C123)),NOT(C123=$O$1)))</formula>
    </cfRule>
    <cfRule type="expression" dxfId="642" priority="644">
      <formula>OR(AND(NOT(ISBLANK(D123)),NOT(D123=$O$1)),AND(NOT(ISBLANK(C123)),NOT(C123=$O$1)))</formula>
    </cfRule>
  </conditionalFormatting>
  <conditionalFormatting sqref="F123">
    <cfRule type="expression" dxfId="641" priority="641">
      <formula>AND(AND(NOT(ISBLANK(G123)),NOT(G123=$O$1)),AND(NOT(ISBLANK(H123)),NOT(H123=$O$1)))</formula>
    </cfRule>
    <cfRule type="expression" dxfId="640" priority="642">
      <formula>OR(AND(NOT(ISBLANK(G123)),NOT(G123=$O$1)),AND(NOT(ISBLANK(H123)),NOT(H123=$O$1)))</formula>
    </cfRule>
  </conditionalFormatting>
  <conditionalFormatting sqref="E124">
    <cfRule type="expression" dxfId="639" priority="639">
      <formula>AND(AND(NOT(ISBLANK(D124)),NOT(D124=$O$1)),AND(NOT(ISBLANK(C124)),NOT(C124=$O$1)))</formula>
    </cfRule>
    <cfRule type="expression" dxfId="638" priority="640">
      <formula>OR(AND(NOT(ISBLANK(D124)),NOT(D124=$O$1)),AND(NOT(ISBLANK(C124)),NOT(C124=$O$1)))</formula>
    </cfRule>
  </conditionalFormatting>
  <conditionalFormatting sqref="F124">
    <cfRule type="expression" dxfId="637" priority="637">
      <formula>AND(AND(NOT(ISBLANK(G124)),NOT(G124=$O$1)),AND(NOT(ISBLANK(H124)),NOT(H124=$O$1)))</formula>
    </cfRule>
    <cfRule type="expression" dxfId="636" priority="638">
      <formula>OR(AND(NOT(ISBLANK(G124)),NOT(G124=$O$1)),AND(NOT(ISBLANK(H124)),NOT(H124=$O$1)))</formula>
    </cfRule>
  </conditionalFormatting>
  <conditionalFormatting sqref="E125">
    <cfRule type="expression" dxfId="635" priority="635">
      <formula>AND(AND(NOT(ISBLANK(D125)),NOT(D125=$O$1)),AND(NOT(ISBLANK(C125)),NOT(C125=$O$1)))</formula>
    </cfRule>
    <cfRule type="expression" dxfId="634" priority="636">
      <formula>OR(AND(NOT(ISBLANK(D125)),NOT(D125=$O$1)),AND(NOT(ISBLANK(C125)),NOT(C125=$O$1)))</formula>
    </cfRule>
  </conditionalFormatting>
  <conditionalFormatting sqref="F125">
    <cfRule type="expression" dxfId="633" priority="633">
      <formula>AND(AND(NOT(ISBLANK(G125)),NOT(G125=$O$1)),AND(NOT(ISBLANK(H125)),NOT(H125=$O$1)))</formula>
    </cfRule>
    <cfRule type="expression" dxfId="632" priority="634">
      <formula>OR(AND(NOT(ISBLANK(G125)),NOT(G125=$O$1)),AND(NOT(ISBLANK(H125)),NOT(H125=$O$1)))</formula>
    </cfRule>
  </conditionalFormatting>
  <conditionalFormatting sqref="E126">
    <cfRule type="expression" dxfId="631" priority="631">
      <formula>AND(AND(NOT(ISBLANK(D126)),NOT(D126=$O$1)),AND(NOT(ISBLANK(C126)),NOT(C126=$O$1)))</formula>
    </cfRule>
    <cfRule type="expression" dxfId="630" priority="632">
      <formula>OR(AND(NOT(ISBLANK(D126)),NOT(D126=$O$1)),AND(NOT(ISBLANK(C126)),NOT(C126=$O$1)))</formula>
    </cfRule>
  </conditionalFormatting>
  <conditionalFormatting sqref="F126">
    <cfRule type="expression" dxfId="629" priority="629">
      <formula>AND(AND(NOT(ISBLANK(G126)),NOT(G126=$O$1)),AND(NOT(ISBLANK(H126)),NOT(H126=$O$1)))</formula>
    </cfRule>
    <cfRule type="expression" dxfId="628" priority="630">
      <formula>OR(AND(NOT(ISBLANK(G126)),NOT(G126=$O$1)),AND(NOT(ISBLANK(H126)),NOT(H126=$O$1)))</formula>
    </cfRule>
  </conditionalFormatting>
  <conditionalFormatting sqref="E127">
    <cfRule type="expression" dxfId="627" priority="627">
      <formula>AND(AND(NOT(ISBLANK(D127)),NOT(D127=$O$1)),AND(NOT(ISBLANK(C127)),NOT(C127=$O$1)))</formula>
    </cfRule>
    <cfRule type="expression" dxfId="626" priority="628">
      <formula>OR(AND(NOT(ISBLANK(D127)),NOT(D127=$O$1)),AND(NOT(ISBLANK(C127)),NOT(C127=$O$1)))</formula>
    </cfRule>
  </conditionalFormatting>
  <conditionalFormatting sqref="F127">
    <cfRule type="expression" dxfId="625" priority="625">
      <formula>AND(AND(NOT(ISBLANK(G127)),NOT(G127=$O$1)),AND(NOT(ISBLANK(H127)),NOT(H127=$O$1)))</formula>
    </cfRule>
    <cfRule type="expression" dxfId="624" priority="626">
      <formula>OR(AND(NOT(ISBLANK(G127)),NOT(G127=$O$1)),AND(NOT(ISBLANK(H127)),NOT(H127=$O$1)))</formula>
    </cfRule>
  </conditionalFormatting>
  <conditionalFormatting sqref="E128">
    <cfRule type="expression" dxfId="623" priority="623">
      <formula>AND(AND(NOT(ISBLANK(D128)),NOT(D128=$O$1)),AND(NOT(ISBLANK(C128)),NOT(C128=$O$1)))</formula>
    </cfRule>
    <cfRule type="expression" dxfId="622" priority="624">
      <formula>OR(AND(NOT(ISBLANK(D128)),NOT(D128=$O$1)),AND(NOT(ISBLANK(C128)),NOT(C128=$O$1)))</formula>
    </cfRule>
  </conditionalFormatting>
  <conditionalFormatting sqref="F128">
    <cfRule type="expression" dxfId="621" priority="621">
      <formula>AND(AND(NOT(ISBLANK(G128)),NOT(G128=$O$1)),AND(NOT(ISBLANK(H128)),NOT(H128=$O$1)))</formula>
    </cfRule>
    <cfRule type="expression" dxfId="620" priority="622">
      <formula>OR(AND(NOT(ISBLANK(G128)),NOT(G128=$O$1)),AND(NOT(ISBLANK(H128)),NOT(H128=$O$1)))</formula>
    </cfRule>
  </conditionalFormatting>
  <conditionalFormatting sqref="E129">
    <cfRule type="expression" dxfId="619" priority="619">
      <formula>AND(AND(NOT(ISBLANK(D129)),NOT(D129=$O$1)),AND(NOT(ISBLANK(C129)),NOT(C129=$O$1)))</formula>
    </cfRule>
    <cfRule type="expression" dxfId="618" priority="620">
      <formula>OR(AND(NOT(ISBLANK(D129)),NOT(D129=$O$1)),AND(NOT(ISBLANK(C129)),NOT(C129=$O$1)))</formula>
    </cfRule>
  </conditionalFormatting>
  <conditionalFormatting sqref="F129">
    <cfRule type="expression" dxfId="617" priority="617">
      <formula>AND(AND(NOT(ISBLANK(G129)),NOT(G129=$O$1)),AND(NOT(ISBLANK(H129)),NOT(H129=$O$1)))</formula>
    </cfRule>
    <cfRule type="expression" dxfId="616" priority="618">
      <formula>OR(AND(NOT(ISBLANK(G129)),NOT(G129=$O$1)),AND(NOT(ISBLANK(H129)),NOT(H129=$O$1)))</formula>
    </cfRule>
  </conditionalFormatting>
  <conditionalFormatting sqref="E130">
    <cfRule type="expression" dxfId="615" priority="615">
      <formula>AND(AND(NOT(ISBLANK(D130)),NOT(D130=$O$1)),AND(NOT(ISBLANK(C130)),NOT(C130=$O$1)))</formula>
    </cfRule>
    <cfRule type="expression" dxfId="614" priority="616">
      <formula>OR(AND(NOT(ISBLANK(D130)),NOT(D130=$O$1)),AND(NOT(ISBLANK(C130)),NOT(C130=$O$1)))</formula>
    </cfRule>
  </conditionalFormatting>
  <conditionalFormatting sqref="F130">
    <cfRule type="expression" dxfId="613" priority="613">
      <formula>AND(AND(NOT(ISBLANK(G130)),NOT(G130=$O$1)),AND(NOT(ISBLANK(H130)),NOT(H130=$O$1)))</formula>
    </cfRule>
    <cfRule type="expression" dxfId="612" priority="614">
      <formula>OR(AND(NOT(ISBLANK(G130)),NOT(G130=$O$1)),AND(NOT(ISBLANK(H130)),NOT(H130=$O$1)))</formula>
    </cfRule>
  </conditionalFormatting>
  <conditionalFormatting sqref="E131">
    <cfRule type="expression" dxfId="611" priority="611">
      <formula>AND(AND(NOT(ISBLANK(D131)),NOT(D131=$O$1)),AND(NOT(ISBLANK(C131)),NOT(C131=$O$1)))</formula>
    </cfRule>
    <cfRule type="expression" dxfId="610" priority="612">
      <formula>OR(AND(NOT(ISBLANK(D131)),NOT(D131=$O$1)),AND(NOT(ISBLANK(C131)),NOT(C131=$O$1)))</formula>
    </cfRule>
  </conditionalFormatting>
  <conditionalFormatting sqref="F131">
    <cfRule type="expression" dxfId="609" priority="609">
      <formula>AND(AND(NOT(ISBLANK(G131)),NOT(G131=$O$1)),AND(NOT(ISBLANK(H131)),NOT(H131=$O$1)))</formula>
    </cfRule>
    <cfRule type="expression" dxfId="608" priority="610">
      <formula>OR(AND(NOT(ISBLANK(G131)),NOT(G131=$O$1)),AND(NOT(ISBLANK(H131)),NOT(H131=$O$1)))</formula>
    </cfRule>
  </conditionalFormatting>
  <conditionalFormatting sqref="E132">
    <cfRule type="expression" dxfId="607" priority="607">
      <formula>AND(AND(NOT(ISBLANK(D132)),NOT(D132=$O$1)),AND(NOT(ISBLANK(C132)),NOT(C132=$O$1)))</formula>
    </cfRule>
    <cfRule type="expression" dxfId="606" priority="608">
      <formula>OR(AND(NOT(ISBLANK(D132)),NOT(D132=$O$1)),AND(NOT(ISBLANK(C132)),NOT(C132=$O$1)))</formula>
    </cfRule>
  </conditionalFormatting>
  <conditionalFormatting sqref="F132">
    <cfRule type="expression" dxfId="605" priority="605">
      <formula>AND(AND(NOT(ISBLANK(G132)),NOT(G132=$O$1)),AND(NOT(ISBLANK(H132)),NOT(H132=$O$1)))</formula>
    </cfRule>
    <cfRule type="expression" dxfId="604" priority="606">
      <formula>OR(AND(NOT(ISBLANK(G132)),NOT(G132=$O$1)),AND(NOT(ISBLANK(H132)),NOT(H132=$O$1)))</formula>
    </cfRule>
  </conditionalFormatting>
  <conditionalFormatting sqref="E133">
    <cfRule type="expression" dxfId="603" priority="603">
      <formula>AND(AND(NOT(ISBLANK(D133)),NOT(D133=$O$1)),AND(NOT(ISBLANK(C133)),NOT(C133=$O$1)))</formula>
    </cfRule>
    <cfRule type="expression" dxfId="602" priority="604">
      <formula>OR(AND(NOT(ISBLANK(D133)),NOT(D133=$O$1)),AND(NOT(ISBLANK(C133)),NOT(C133=$O$1)))</formula>
    </cfRule>
  </conditionalFormatting>
  <conditionalFormatting sqref="F133">
    <cfRule type="expression" dxfId="601" priority="601">
      <formula>AND(AND(NOT(ISBLANK(G133)),NOT(G133=$O$1)),AND(NOT(ISBLANK(H133)),NOT(H133=$O$1)))</formula>
    </cfRule>
    <cfRule type="expression" dxfId="600" priority="602">
      <formula>OR(AND(NOT(ISBLANK(G133)),NOT(G133=$O$1)),AND(NOT(ISBLANK(H133)),NOT(H133=$O$1)))</formula>
    </cfRule>
  </conditionalFormatting>
  <conditionalFormatting sqref="E134">
    <cfRule type="expression" dxfId="599" priority="599">
      <formula>AND(AND(NOT(ISBLANK(D134)),NOT(D134=$O$1)),AND(NOT(ISBLANK(C134)),NOT(C134=$O$1)))</formula>
    </cfRule>
    <cfRule type="expression" dxfId="598" priority="600">
      <formula>OR(AND(NOT(ISBLANK(D134)),NOT(D134=$O$1)),AND(NOT(ISBLANK(C134)),NOT(C134=$O$1)))</formula>
    </cfRule>
  </conditionalFormatting>
  <conditionalFormatting sqref="F134">
    <cfRule type="expression" dxfId="597" priority="597">
      <formula>AND(AND(NOT(ISBLANK(G134)),NOT(G134=$O$1)),AND(NOT(ISBLANK(H134)),NOT(H134=$O$1)))</formula>
    </cfRule>
    <cfRule type="expression" dxfId="596" priority="598">
      <formula>OR(AND(NOT(ISBLANK(G134)),NOT(G134=$O$1)),AND(NOT(ISBLANK(H134)),NOT(H134=$O$1)))</formula>
    </cfRule>
  </conditionalFormatting>
  <conditionalFormatting sqref="E135">
    <cfRule type="expression" dxfId="595" priority="595">
      <formula>AND(AND(NOT(ISBLANK(D135)),NOT(D135=$O$1)),AND(NOT(ISBLANK(C135)),NOT(C135=$O$1)))</formula>
    </cfRule>
    <cfRule type="expression" dxfId="594" priority="596">
      <formula>OR(AND(NOT(ISBLANK(D135)),NOT(D135=$O$1)),AND(NOT(ISBLANK(C135)),NOT(C135=$O$1)))</formula>
    </cfRule>
  </conditionalFormatting>
  <conditionalFormatting sqref="F135">
    <cfRule type="expression" dxfId="593" priority="593">
      <formula>AND(AND(NOT(ISBLANK(G135)),NOT(G135=$O$1)),AND(NOT(ISBLANK(H135)),NOT(H135=$O$1)))</formula>
    </cfRule>
    <cfRule type="expression" dxfId="592" priority="594">
      <formula>OR(AND(NOT(ISBLANK(G135)),NOT(G135=$O$1)),AND(NOT(ISBLANK(H135)),NOT(H135=$O$1)))</formula>
    </cfRule>
  </conditionalFormatting>
  <conditionalFormatting sqref="E136">
    <cfRule type="expression" dxfId="591" priority="591">
      <formula>AND(AND(NOT(ISBLANK(D136)),NOT(D136=$O$1)),AND(NOT(ISBLANK(C136)),NOT(C136=$O$1)))</formula>
    </cfRule>
    <cfRule type="expression" dxfId="590" priority="592">
      <formula>OR(AND(NOT(ISBLANK(D136)),NOT(D136=$O$1)),AND(NOT(ISBLANK(C136)),NOT(C136=$O$1)))</formula>
    </cfRule>
  </conditionalFormatting>
  <conditionalFormatting sqref="F136">
    <cfRule type="expression" dxfId="589" priority="589">
      <formula>AND(AND(NOT(ISBLANK(G136)),NOT(G136=$O$1)),AND(NOT(ISBLANK(H136)),NOT(H136=$O$1)))</formula>
    </cfRule>
    <cfRule type="expression" dxfId="588" priority="590">
      <formula>OR(AND(NOT(ISBLANK(G136)),NOT(G136=$O$1)),AND(NOT(ISBLANK(H136)),NOT(H136=$O$1)))</formula>
    </cfRule>
  </conditionalFormatting>
  <conditionalFormatting sqref="E137">
    <cfRule type="expression" dxfId="587" priority="587">
      <formula>AND(AND(NOT(ISBLANK(D137)),NOT(D137=$O$1)),AND(NOT(ISBLANK(C137)),NOT(C137=$O$1)))</formula>
    </cfRule>
    <cfRule type="expression" dxfId="586" priority="588">
      <formula>OR(AND(NOT(ISBLANK(D137)),NOT(D137=$O$1)),AND(NOT(ISBLANK(C137)),NOT(C137=$O$1)))</formula>
    </cfRule>
  </conditionalFormatting>
  <conditionalFormatting sqref="F137">
    <cfRule type="expression" dxfId="585" priority="585">
      <formula>AND(AND(NOT(ISBLANK(G137)),NOT(G137=$O$1)),AND(NOT(ISBLANK(H137)),NOT(H137=$O$1)))</formula>
    </cfRule>
    <cfRule type="expression" dxfId="584" priority="586">
      <formula>OR(AND(NOT(ISBLANK(G137)),NOT(G137=$O$1)),AND(NOT(ISBLANK(H137)),NOT(H137=$O$1)))</formula>
    </cfRule>
  </conditionalFormatting>
  <conditionalFormatting sqref="E138">
    <cfRule type="expression" dxfId="583" priority="583">
      <formula>AND(AND(NOT(ISBLANK(D138)),NOT(D138=$O$1)),AND(NOT(ISBLANK(C138)),NOT(C138=$O$1)))</formula>
    </cfRule>
    <cfRule type="expression" dxfId="582" priority="584">
      <formula>OR(AND(NOT(ISBLANK(D138)),NOT(D138=$O$1)),AND(NOT(ISBLANK(C138)),NOT(C138=$O$1)))</formula>
    </cfRule>
  </conditionalFormatting>
  <conditionalFormatting sqref="F138">
    <cfRule type="expression" dxfId="581" priority="581">
      <formula>AND(AND(NOT(ISBLANK(G138)),NOT(G138=$O$1)),AND(NOT(ISBLANK(H138)),NOT(H138=$O$1)))</formula>
    </cfRule>
    <cfRule type="expression" dxfId="580" priority="582">
      <formula>OR(AND(NOT(ISBLANK(G138)),NOT(G138=$O$1)),AND(NOT(ISBLANK(H138)),NOT(H138=$O$1)))</formula>
    </cfRule>
  </conditionalFormatting>
  <conditionalFormatting sqref="E139">
    <cfRule type="expression" dxfId="579" priority="579">
      <formula>AND(AND(NOT(ISBLANK(D139)),NOT(D139=$O$1)),AND(NOT(ISBLANK(C139)),NOT(C139=$O$1)))</formula>
    </cfRule>
    <cfRule type="expression" dxfId="578" priority="580">
      <formula>OR(AND(NOT(ISBLANK(D139)),NOT(D139=$O$1)),AND(NOT(ISBLANK(C139)),NOT(C139=$O$1)))</formula>
    </cfRule>
  </conditionalFormatting>
  <conditionalFormatting sqref="F139">
    <cfRule type="expression" dxfId="577" priority="577">
      <formula>AND(AND(NOT(ISBLANK(G139)),NOT(G139=$O$1)),AND(NOT(ISBLANK(H139)),NOT(H139=$O$1)))</formula>
    </cfRule>
    <cfRule type="expression" dxfId="576" priority="578">
      <formula>OR(AND(NOT(ISBLANK(G139)),NOT(G139=$O$1)),AND(NOT(ISBLANK(H139)),NOT(H139=$O$1)))</formula>
    </cfRule>
  </conditionalFormatting>
  <conditionalFormatting sqref="E140">
    <cfRule type="expression" dxfId="575" priority="575">
      <formula>AND(AND(NOT(ISBLANK(D140)),NOT(D140=$O$1)),AND(NOT(ISBLANK(C140)),NOT(C140=$O$1)))</formula>
    </cfRule>
    <cfRule type="expression" dxfId="574" priority="576">
      <formula>OR(AND(NOT(ISBLANK(D140)),NOT(D140=$O$1)),AND(NOT(ISBLANK(C140)),NOT(C140=$O$1)))</formula>
    </cfRule>
  </conditionalFormatting>
  <conditionalFormatting sqref="F140">
    <cfRule type="expression" dxfId="573" priority="573">
      <formula>AND(AND(NOT(ISBLANK(G140)),NOT(G140=$O$1)),AND(NOT(ISBLANK(H140)),NOT(H140=$O$1)))</formula>
    </cfRule>
    <cfRule type="expression" dxfId="572" priority="574">
      <formula>OR(AND(NOT(ISBLANK(G140)),NOT(G140=$O$1)),AND(NOT(ISBLANK(H140)),NOT(H140=$O$1)))</formula>
    </cfRule>
  </conditionalFormatting>
  <conditionalFormatting sqref="E141">
    <cfRule type="expression" dxfId="571" priority="571">
      <formula>AND(AND(NOT(ISBLANK(D141)),NOT(D141=$O$1)),AND(NOT(ISBLANK(C141)),NOT(C141=$O$1)))</formula>
    </cfRule>
    <cfRule type="expression" dxfId="570" priority="572">
      <formula>OR(AND(NOT(ISBLANK(D141)),NOT(D141=$O$1)),AND(NOT(ISBLANK(C141)),NOT(C141=$O$1)))</formula>
    </cfRule>
  </conditionalFormatting>
  <conditionalFormatting sqref="F141">
    <cfRule type="expression" dxfId="569" priority="569">
      <formula>AND(AND(NOT(ISBLANK(G141)),NOT(G141=$O$1)),AND(NOT(ISBLANK(H141)),NOT(H141=$O$1)))</formula>
    </cfRule>
    <cfRule type="expression" dxfId="568" priority="570">
      <formula>OR(AND(NOT(ISBLANK(G141)),NOT(G141=$O$1)),AND(NOT(ISBLANK(H141)),NOT(H141=$O$1)))</formula>
    </cfRule>
  </conditionalFormatting>
  <conditionalFormatting sqref="E142">
    <cfRule type="expression" dxfId="567" priority="567">
      <formula>AND(AND(NOT(ISBLANK(D142)),NOT(D142=$O$1)),AND(NOT(ISBLANK(C142)),NOT(C142=$O$1)))</formula>
    </cfRule>
    <cfRule type="expression" dxfId="566" priority="568">
      <formula>OR(AND(NOT(ISBLANK(D142)),NOT(D142=$O$1)),AND(NOT(ISBLANK(C142)),NOT(C142=$O$1)))</formula>
    </cfRule>
  </conditionalFormatting>
  <conditionalFormatting sqref="F142">
    <cfRule type="expression" dxfId="565" priority="565">
      <formula>AND(AND(NOT(ISBLANK(G142)),NOT(G142=$O$1)),AND(NOT(ISBLANK(H142)),NOT(H142=$O$1)))</formula>
    </cfRule>
    <cfRule type="expression" dxfId="564" priority="566">
      <formula>OR(AND(NOT(ISBLANK(G142)),NOT(G142=$O$1)),AND(NOT(ISBLANK(H142)),NOT(H142=$O$1)))</formula>
    </cfRule>
  </conditionalFormatting>
  <conditionalFormatting sqref="E143">
    <cfRule type="expression" dxfId="563" priority="563">
      <formula>AND(AND(NOT(ISBLANK(D143)),NOT(D143=$O$1)),AND(NOT(ISBLANK(C143)),NOT(C143=$O$1)))</formula>
    </cfRule>
    <cfRule type="expression" dxfId="562" priority="564">
      <formula>OR(AND(NOT(ISBLANK(D143)),NOT(D143=$O$1)),AND(NOT(ISBLANK(C143)),NOT(C143=$O$1)))</formula>
    </cfRule>
  </conditionalFormatting>
  <conditionalFormatting sqref="F143">
    <cfRule type="expression" dxfId="561" priority="561">
      <formula>AND(AND(NOT(ISBLANK(G143)),NOT(G143=$O$1)),AND(NOT(ISBLANK(H143)),NOT(H143=$O$1)))</formula>
    </cfRule>
    <cfRule type="expression" dxfId="560" priority="562">
      <formula>OR(AND(NOT(ISBLANK(G143)),NOT(G143=$O$1)),AND(NOT(ISBLANK(H143)),NOT(H143=$O$1)))</formula>
    </cfRule>
  </conditionalFormatting>
  <conditionalFormatting sqref="E144">
    <cfRule type="expression" dxfId="559" priority="559">
      <formula>AND(AND(NOT(ISBLANK(D144)),NOT(D144=$O$1)),AND(NOT(ISBLANK(C144)),NOT(C144=$O$1)))</formula>
    </cfRule>
    <cfRule type="expression" dxfId="558" priority="560">
      <formula>OR(AND(NOT(ISBLANK(D144)),NOT(D144=$O$1)),AND(NOT(ISBLANK(C144)),NOT(C144=$O$1)))</formula>
    </cfRule>
  </conditionalFormatting>
  <conditionalFormatting sqref="F144">
    <cfRule type="expression" dxfId="557" priority="557">
      <formula>AND(AND(NOT(ISBLANK(G144)),NOT(G144=$O$1)),AND(NOT(ISBLANK(H144)),NOT(H144=$O$1)))</formula>
    </cfRule>
    <cfRule type="expression" dxfId="556" priority="558">
      <formula>OR(AND(NOT(ISBLANK(G144)),NOT(G144=$O$1)),AND(NOT(ISBLANK(H144)),NOT(H144=$O$1)))</formula>
    </cfRule>
  </conditionalFormatting>
  <conditionalFormatting sqref="E145">
    <cfRule type="expression" dxfId="555" priority="555">
      <formula>AND(AND(NOT(ISBLANK(D145)),NOT(D145=$O$1)),AND(NOT(ISBLANK(C145)),NOT(C145=$O$1)))</formula>
    </cfRule>
    <cfRule type="expression" dxfId="554" priority="556">
      <formula>OR(AND(NOT(ISBLANK(D145)),NOT(D145=$O$1)),AND(NOT(ISBLANK(C145)),NOT(C145=$O$1)))</formula>
    </cfRule>
  </conditionalFormatting>
  <conditionalFormatting sqref="F145">
    <cfRule type="expression" dxfId="553" priority="553">
      <formula>AND(AND(NOT(ISBLANK(G145)),NOT(G145=$O$1)),AND(NOT(ISBLANK(H145)),NOT(H145=$O$1)))</formula>
    </cfRule>
    <cfRule type="expression" dxfId="552" priority="554">
      <formula>OR(AND(NOT(ISBLANK(G145)),NOT(G145=$O$1)),AND(NOT(ISBLANK(H145)),NOT(H145=$O$1)))</formula>
    </cfRule>
  </conditionalFormatting>
  <conditionalFormatting sqref="E146">
    <cfRule type="expression" dxfId="551" priority="551">
      <formula>AND(AND(NOT(ISBLANK(D146)),NOT(D146=$O$1)),AND(NOT(ISBLANK(C146)),NOT(C146=$O$1)))</formula>
    </cfRule>
    <cfRule type="expression" dxfId="550" priority="552">
      <formula>OR(AND(NOT(ISBLANK(D146)),NOT(D146=$O$1)),AND(NOT(ISBLANK(C146)),NOT(C146=$O$1)))</formula>
    </cfRule>
  </conditionalFormatting>
  <conditionalFormatting sqref="F146">
    <cfRule type="expression" dxfId="549" priority="549">
      <formula>AND(AND(NOT(ISBLANK(G146)),NOT(G146=$O$1)),AND(NOT(ISBLANK(H146)),NOT(H146=$O$1)))</formula>
    </cfRule>
    <cfRule type="expression" dxfId="548" priority="550">
      <formula>OR(AND(NOT(ISBLANK(G146)),NOT(G146=$O$1)),AND(NOT(ISBLANK(H146)),NOT(H146=$O$1)))</formula>
    </cfRule>
  </conditionalFormatting>
  <conditionalFormatting sqref="E147">
    <cfRule type="expression" dxfId="547" priority="547">
      <formula>AND(AND(NOT(ISBLANK(D147)),NOT(D147=$O$1)),AND(NOT(ISBLANK(C147)),NOT(C147=$O$1)))</formula>
    </cfRule>
    <cfRule type="expression" dxfId="546" priority="548">
      <formula>OR(AND(NOT(ISBLANK(D147)),NOT(D147=$O$1)),AND(NOT(ISBLANK(C147)),NOT(C147=$O$1)))</formula>
    </cfRule>
  </conditionalFormatting>
  <conditionalFormatting sqref="F147">
    <cfRule type="expression" dxfId="545" priority="545">
      <formula>AND(AND(NOT(ISBLANK(G147)),NOT(G147=$O$1)),AND(NOT(ISBLANK(H147)),NOT(H147=$O$1)))</formula>
    </cfRule>
    <cfRule type="expression" dxfId="544" priority="546">
      <formula>OR(AND(NOT(ISBLANK(G147)),NOT(G147=$O$1)),AND(NOT(ISBLANK(H147)),NOT(H147=$O$1)))</formula>
    </cfRule>
  </conditionalFormatting>
  <conditionalFormatting sqref="E148">
    <cfRule type="expression" dxfId="543" priority="543">
      <formula>AND(AND(NOT(ISBLANK(D148)),NOT(D148=$O$1)),AND(NOT(ISBLANK(C148)),NOT(C148=$O$1)))</formula>
    </cfRule>
    <cfRule type="expression" dxfId="542" priority="544">
      <formula>OR(AND(NOT(ISBLANK(D148)),NOT(D148=$O$1)),AND(NOT(ISBLANK(C148)),NOT(C148=$O$1)))</formula>
    </cfRule>
  </conditionalFormatting>
  <conditionalFormatting sqref="F148">
    <cfRule type="expression" dxfId="541" priority="541">
      <formula>AND(AND(NOT(ISBLANK(G148)),NOT(G148=$O$1)),AND(NOT(ISBLANK(H148)),NOT(H148=$O$1)))</formula>
    </cfRule>
    <cfRule type="expression" dxfId="540" priority="542">
      <formula>OR(AND(NOT(ISBLANK(G148)),NOT(G148=$O$1)),AND(NOT(ISBLANK(H148)),NOT(H148=$O$1)))</formula>
    </cfRule>
  </conditionalFormatting>
  <conditionalFormatting sqref="E149">
    <cfRule type="expression" dxfId="539" priority="539">
      <formula>AND(AND(NOT(ISBLANK(D149)),NOT(D149=$O$1)),AND(NOT(ISBLANK(C149)),NOT(C149=$O$1)))</formula>
    </cfRule>
    <cfRule type="expression" dxfId="538" priority="540">
      <formula>OR(AND(NOT(ISBLANK(D149)),NOT(D149=$O$1)),AND(NOT(ISBLANK(C149)),NOT(C149=$O$1)))</formula>
    </cfRule>
  </conditionalFormatting>
  <conditionalFormatting sqref="F149">
    <cfRule type="expression" dxfId="537" priority="537">
      <formula>AND(AND(NOT(ISBLANK(G149)),NOT(G149=$O$1)),AND(NOT(ISBLANK(H149)),NOT(H149=$O$1)))</formula>
    </cfRule>
    <cfRule type="expression" dxfId="536" priority="538">
      <formula>OR(AND(NOT(ISBLANK(G149)),NOT(G149=$O$1)),AND(NOT(ISBLANK(H149)),NOT(H149=$O$1)))</formula>
    </cfRule>
  </conditionalFormatting>
  <conditionalFormatting sqref="E150">
    <cfRule type="expression" dxfId="535" priority="535">
      <formula>AND(AND(NOT(ISBLANK(D150)),NOT(D150=$O$1)),AND(NOT(ISBLANK(C150)),NOT(C150=$O$1)))</formula>
    </cfRule>
    <cfRule type="expression" dxfId="534" priority="536">
      <formula>OR(AND(NOT(ISBLANK(D150)),NOT(D150=$O$1)),AND(NOT(ISBLANK(C150)),NOT(C150=$O$1)))</formula>
    </cfRule>
  </conditionalFormatting>
  <conditionalFormatting sqref="F150">
    <cfRule type="expression" dxfId="533" priority="533">
      <formula>AND(AND(NOT(ISBLANK(G150)),NOT(G150=$O$1)),AND(NOT(ISBLANK(H150)),NOT(H150=$O$1)))</formula>
    </cfRule>
    <cfRule type="expression" dxfId="532" priority="534">
      <formula>OR(AND(NOT(ISBLANK(G150)),NOT(G150=$O$1)),AND(NOT(ISBLANK(H150)),NOT(H150=$O$1)))</formula>
    </cfRule>
  </conditionalFormatting>
  <conditionalFormatting sqref="E151">
    <cfRule type="expression" dxfId="531" priority="531">
      <formula>AND(AND(NOT(ISBLANK(D151)),NOT(D151=$O$1)),AND(NOT(ISBLANK(C151)),NOT(C151=$O$1)))</formula>
    </cfRule>
    <cfRule type="expression" dxfId="530" priority="532">
      <formula>OR(AND(NOT(ISBLANK(D151)),NOT(D151=$O$1)),AND(NOT(ISBLANK(C151)),NOT(C151=$O$1)))</formula>
    </cfRule>
  </conditionalFormatting>
  <conditionalFormatting sqref="F151">
    <cfRule type="expression" dxfId="529" priority="529">
      <formula>AND(AND(NOT(ISBLANK(G151)),NOT(G151=$O$1)),AND(NOT(ISBLANK(H151)),NOT(H151=$O$1)))</formula>
    </cfRule>
    <cfRule type="expression" dxfId="528" priority="530">
      <formula>OR(AND(NOT(ISBLANK(G151)),NOT(G151=$O$1)),AND(NOT(ISBLANK(H151)),NOT(H151=$O$1)))</formula>
    </cfRule>
  </conditionalFormatting>
  <conditionalFormatting sqref="E152">
    <cfRule type="expression" dxfId="527" priority="527">
      <formula>AND(AND(NOT(ISBLANK(D152)),NOT(D152=$O$1)),AND(NOT(ISBLANK(C152)),NOT(C152=$O$1)))</formula>
    </cfRule>
    <cfRule type="expression" dxfId="526" priority="528">
      <formula>OR(AND(NOT(ISBLANK(D152)),NOT(D152=$O$1)),AND(NOT(ISBLANK(C152)),NOT(C152=$O$1)))</formula>
    </cfRule>
  </conditionalFormatting>
  <conditionalFormatting sqref="F152">
    <cfRule type="expression" dxfId="525" priority="525">
      <formula>AND(AND(NOT(ISBLANK(G152)),NOT(G152=$O$1)),AND(NOT(ISBLANK(H152)),NOT(H152=$O$1)))</formula>
    </cfRule>
    <cfRule type="expression" dxfId="524" priority="526">
      <formula>OR(AND(NOT(ISBLANK(G152)),NOT(G152=$O$1)),AND(NOT(ISBLANK(H152)),NOT(H152=$O$1)))</formula>
    </cfRule>
  </conditionalFormatting>
  <conditionalFormatting sqref="E153">
    <cfRule type="expression" dxfId="523" priority="523">
      <formula>AND(AND(NOT(ISBLANK(D153)),NOT(D153=$O$1)),AND(NOT(ISBLANK(C153)),NOT(C153=$O$1)))</formula>
    </cfRule>
    <cfRule type="expression" dxfId="522" priority="524">
      <formula>OR(AND(NOT(ISBLANK(D153)),NOT(D153=$O$1)),AND(NOT(ISBLANK(C153)),NOT(C153=$O$1)))</formula>
    </cfRule>
  </conditionalFormatting>
  <conditionalFormatting sqref="F153">
    <cfRule type="expression" dxfId="521" priority="521">
      <formula>AND(AND(NOT(ISBLANK(G153)),NOT(G153=$O$1)),AND(NOT(ISBLANK(H153)),NOT(H153=$O$1)))</formula>
    </cfRule>
    <cfRule type="expression" dxfId="520" priority="522">
      <formula>OR(AND(NOT(ISBLANK(G153)),NOT(G153=$O$1)),AND(NOT(ISBLANK(H153)),NOT(H153=$O$1)))</formula>
    </cfRule>
  </conditionalFormatting>
  <conditionalFormatting sqref="E154">
    <cfRule type="expression" dxfId="519" priority="519">
      <formula>AND(AND(NOT(ISBLANK(D154)),NOT(D154=$O$1)),AND(NOT(ISBLANK(C154)),NOT(C154=$O$1)))</formula>
    </cfRule>
    <cfRule type="expression" dxfId="518" priority="520">
      <formula>OR(AND(NOT(ISBLANK(D154)),NOT(D154=$O$1)),AND(NOT(ISBLANK(C154)),NOT(C154=$O$1)))</formula>
    </cfRule>
  </conditionalFormatting>
  <conditionalFormatting sqref="F154">
    <cfRule type="expression" dxfId="517" priority="517">
      <formula>AND(AND(NOT(ISBLANK(G154)),NOT(G154=$O$1)),AND(NOT(ISBLANK(H154)),NOT(H154=$O$1)))</formula>
    </cfRule>
    <cfRule type="expression" dxfId="516" priority="518">
      <formula>OR(AND(NOT(ISBLANK(G154)),NOT(G154=$O$1)),AND(NOT(ISBLANK(H154)),NOT(H154=$O$1)))</formula>
    </cfRule>
  </conditionalFormatting>
  <conditionalFormatting sqref="E155">
    <cfRule type="expression" dxfId="515" priority="515">
      <formula>AND(AND(NOT(ISBLANK(D155)),NOT(D155=$O$1)),AND(NOT(ISBLANK(C155)),NOT(C155=$O$1)))</formula>
    </cfRule>
    <cfRule type="expression" dxfId="514" priority="516">
      <formula>OR(AND(NOT(ISBLANK(D155)),NOT(D155=$O$1)),AND(NOT(ISBLANK(C155)),NOT(C155=$O$1)))</formula>
    </cfRule>
  </conditionalFormatting>
  <conditionalFormatting sqref="F155">
    <cfRule type="expression" dxfId="513" priority="513">
      <formula>AND(AND(NOT(ISBLANK(G155)),NOT(G155=$O$1)),AND(NOT(ISBLANK(H155)),NOT(H155=$O$1)))</formula>
    </cfRule>
    <cfRule type="expression" dxfId="512" priority="514">
      <formula>OR(AND(NOT(ISBLANK(G155)),NOT(G155=$O$1)),AND(NOT(ISBLANK(H155)),NOT(H155=$O$1)))</formula>
    </cfRule>
  </conditionalFormatting>
  <conditionalFormatting sqref="E156">
    <cfRule type="expression" dxfId="511" priority="511">
      <formula>AND(AND(NOT(ISBLANK(D156)),NOT(D156=$O$1)),AND(NOT(ISBLANK(C156)),NOT(C156=$O$1)))</formula>
    </cfRule>
    <cfRule type="expression" dxfId="510" priority="512">
      <formula>OR(AND(NOT(ISBLANK(D156)),NOT(D156=$O$1)),AND(NOT(ISBLANK(C156)),NOT(C156=$O$1)))</formula>
    </cfRule>
  </conditionalFormatting>
  <conditionalFormatting sqref="F156">
    <cfRule type="expression" dxfId="509" priority="509">
      <formula>AND(AND(NOT(ISBLANK(G156)),NOT(G156=$O$1)),AND(NOT(ISBLANK(H156)),NOT(H156=$O$1)))</formula>
    </cfRule>
    <cfRule type="expression" dxfId="508" priority="510">
      <formula>OR(AND(NOT(ISBLANK(G156)),NOT(G156=$O$1)),AND(NOT(ISBLANK(H156)),NOT(H156=$O$1)))</formula>
    </cfRule>
  </conditionalFormatting>
  <conditionalFormatting sqref="E157">
    <cfRule type="expression" dxfId="507" priority="507">
      <formula>AND(AND(NOT(ISBLANK(D157)),NOT(D157=$O$1)),AND(NOT(ISBLANK(C157)),NOT(C157=$O$1)))</formula>
    </cfRule>
    <cfRule type="expression" dxfId="506" priority="508">
      <formula>OR(AND(NOT(ISBLANK(D157)),NOT(D157=$O$1)),AND(NOT(ISBLANK(C157)),NOT(C157=$O$1)))</formula>
    </cfRule>
  </conditionalFormatting>
  <conditionalFormatting sqref="F157">
    <cfRule type="expression" dxfId="505" priority="505">
      <formula>AND(AND(NOT(ISBLANK(G157)),NOT(G157=$O$1)),AND(NOT(ISBLANK(H157)),NOT(H157=$O$1)))</formula>
    </cfRule>
    <cfRule type="expression" dxfId="504" priority="506">
      <formula>OR(AND(NOT(ISBLANK(G157)),NOT(G157=$O$1)),AND(NOT(ISBLANK(H157)),NOT(H157=$O$1)))</formula>
    </cfRule>
  </conditionalFormatting>
  <conditionalFormatting sqref="E158">
    <cfRule type="expression" dxfId="503" priority="503">
      <formula>AND(AND(NOT(ISBLANK(D158)),NOT(D158=$O$1)),AND(NOT(ISBLANK(C158)),NOT(C158=$O$1)))</formula>
    </cfRule>
    <cfRule type="expression" dxfId="502" priority="504">
      <formula>OR(AND(NOT(ISBLANK(D158)),NOT(D158=$O$1)),AND(NOT(ISBLANK(C158)),NOT(C158=$O$1)))</formula>
    </cfRule>
  </conditionalFormatting>
  <conditionalFormatting sqref="F158">
    <cfRule type="expression" dxfId="501" priority="501">
      <formula>AND(AND(NOT(ISBLANK(G158)),NOT(G158=$O$1)),AND(NOT(ISBLANK(H158)),NOT(H158=$O$1)))</formula>
    </cfRule>
    <cfRule type="expression" dxfId="500" priority="502">
      <formula>OR(AND(NOT(ISBLANK(G158)),NOT(G158=$O$1)),AND(NOT(ISBLANK(H158)),NOT(H158=$O$1)))</formula>
    </cfRule>
  </conditionalFormatting>
  <conditionalFormatting sqref="E159">
    <cfRule type="expression" dxfId="499" priority="499">
      <formula>AND(AND(NOT(ISBLANK(D159)),NOT(D159=$O$1)),AND(NOT(ISBLANK(C159)),NOT(C159=$O$1)))</formula>
    </cfRule>
    <cfRule type="expression" dxfId="498" priority="500">
      <formula>OR(AND(NOT(ISBLANK(D159)),NOT(D159=$O$1)),AND(NOT(ISBLANK(C159)),NOT(C159=$O$1)))</formula>
    </cfRule>
  </conditionalFormatting>
  <conditionalFormatting sqref="F159">
    <cfRule type="expression" dxfId="497" priority="497">
      <formula>AND(AND(NOT(ISBLANK(G159)),NOT(G159=$O$1)),AND(NOT(ISBLANK(H159)),NOT(H159=$O$1)))</formula>
    </cfRule>
    <cfRule type="expression" dxfId="496" priority="498">
      <formula>OR(AND(NOT(ISBLANK(G159)),NOT(G159=$O$1)),AND(NOT(ISBLANK(H159)),NOT(H159=$O$1)))</formula>
    </cfRule>
  </conditionalFormatting>
  <conditionalFormatting sqref="E160">
    <cfRule type="expression" dxfId="495" priority="495">
      <formula>AND(AND(NOT(ISBLANK(D160)),NOT(D160=$O$1)),AND(NOT(ISBLANK(C160)),NOT(C160=$O$1)))</formula>
    </cfRule>
    <cfRule type="expression" dxfId="494" priority="496">
      <formula>OR(AND(NOT(ISBLANK(D160)),NOT(D160=$O$1)),AND(NOT(ISBLANK(C160)),NOT(C160=$O$1)))</formula>
    </cfRule>
  </conditionalFormatting>
  <conditionalFormatting sqref="F160">
    <cfRule type="expression" dxfId="493" priority="493">
      <formula>AND(AND(NOT(ISBLANK(G160)),NOT(G160=$O$1)),AND(NOT(ISBLANK(H160)),NOT(H160=$O$1)))</formula>
    </cfRule>
    <cfRule type="expression" dxfId="492" priority="494">
      <formula>OR(AND(NOT(ISBLANK(G160)),NOT(G160=$O$1)),AND(NOT(ISBLANK(H160)),NOT(H160=$O$1)))</formula>
    </cfRule>
  </conditionalFormatting>
  <conditionalFormatting sqref="E161">
    <cfRule type="expression" dxfId="491" priority="491">
      <formula>AND(AND(NOT(ISBLANK(D161)),NOT(D161=$O$1)),AND(NOT(ISBLANK(C161)),NOT(C161=$O$1)))</formula>
    </cfRule>
    <cfRule type="expression" dxfId="490" priority="492">
      <formula>OR(AND(NOT(ISBLANK(D161)),NOT(D161=$O$1)),AND(NOT(ISBLANK(C161)),NOT(C161=$O$1)))</formula>
    </cfRule>
  </conditionalFormatting>
  <conditionalFormatting sqref="F161">
    <cfRule type="expression" dxfId="489" priority="489">
      <formula>AND(AND(NOT(ISBLANK(G161)),NOT(G161=$O$1)),AND(NOT(ISBLANK(H161)),NOT(H161=$O$1)))</formula>
    </cfRule>
    <cfRule type="expression" dxfId="488" priority="490">
      <formula>OR(AND(NOT(ISBLANK(G161)),NOT(G161=$O$1)),AND(NOT(ISBLANK(H161)),NOT(H161=$O$1)))</formula>
    </cfRule>
  </conditionalFormatting>
  <conditionalFormatting sqref="E162">
    <cfRule type="expression" dxfId="487" priority="487">
      <formula>AND(AND(NOT(ISBLANK(D162)),NOT(D162=$O$1)),AND(NOT(ISBLANK(C162)),NOT(C162=$O$1)))</formula>
    </cfRule>
    <cfRule type="expression" dxfId="486" priority="488">
      <formula>OR(AND(NOT(ISBLANK(D162)),NOT(D162=$O$1)),AND(NOT(ISBLANK(C162)),NOT(C162=$O$1)))</formula>
    </cfRule>
  </conditionalFormatting>
  <conditionalFormatting sqref="F162">
    <cfRule type="expression" dxfId="485" priority="485">
      <formula>AND(AND(NOT(ISBLANK(G162)),NOT(G162=$O$1)),AND(NOT(ISBLANK(H162)),NOT(H162=$O$1)))</formula>
    </cfRule>
    <cfRule type="expression" dxfId="484" priority="486">
      <formula>OR(AND(NOT(ISBLANK(G162)),NOT(G162=$O$1)),AND(NOT(ISBLANK(H162)),NOT(H162=$O$1)))</formula>
    </cfRule>
  </conditionalFormatting>
  <conditionalFormatting sqref="E163">
    <cfRule type="expression" dxfId="483" priority="483">
      <formula>AND(AND(NOT(ISBLANK(D163)),NOT(D163=$O$1)),AND(NOT(ISBLANK(C163)),NOT(C163=$O$1)))</formula>
    </cfRule>
    <cfRule type="expression" dxfId="482" priority="484">
      <formula>OR(AND(NOT(ISBLANK(D163)),NOT(D163=$O$1)),AND(NOT(ISBLANK(C163)),NOT(C163=$O$1)))</formula>
    </cfRule>
  </conditionalFormatting>
  <conditionalFormatting sqref="F163">
    <cfRule type="expression" dxfId="481" priority="481">
      <formula>AND(AND(NOT(ISBLANK(G163)),NOT(G163=$O$1)),AND(NOT(ISBLANK(H163)),NOT(H163=$O$1)))</formula>
    </cfRule>
    <cfRule type="expression" dxfId="480" priority="482">
      <formula>OR(AND(NOT(ISBLANK(G163)),NOT(G163=$O$1)),AND(NOT(ISBLANK(H163)),NOT(H163=$O$1)))</formula>
    </cfRule>
  </conditionalFormatting>
  <conditionalFormatting sqref="E164">
    <cfRule type="expression" dxfId="479" priority="479">
      <formula>AND(AND(NOT(ISBLANK(D164)),NOT(D164=$O$1)),AND(NOT(ISBLANK(C164)),NOT(C164=$O$1)))</formula>
    </cfRule>
    <cfRule type="expression" dxfId="478" priority="480">
      <formula>OR(AND(NOT(ISBLANK(D164)),NOT(D164=$O$1)),AND(NOT(ISBLANK(C164)),NOT(C164=$O$1)))</formula>
    </cfRule>
  </conditionalFormatting>
  <conditionalFormatting sqref="F164">
    <cfRule type="expression" dxfId="477" priority="477">
      <formula>AND(AND(NOT(ISBLANK(G164)),NOT(G164=$O$1)),AND(NOT(ISBLANK(H164)),NOT(H164=$O$1)))</formula>
    </cfRule>
    <cfRule type="expression" dxfId="476" priority="478">
      <formula>OR(AND(NOT(ISBLANK(G164)),NOT(G164=$O$1)),AND(NOT(ISBLANK(H164)),NOT(H164=$O$1)))</formula>
    </cfRule>
  </conditionalFormatting>
  <conditionalFormatting sqref="E165">
    <cfRule type="expression" dxfId="475" priority="475">
      <formula>AND(AND(NOT(ISBLANK(D165)),NOT(D165=$O$1)),AND(NOT(ISBLANK(C165)),NOT(C165=$O$1)))</formula>
    </cfRule>
    <cfRule type="expression" dxfId="474" priority="476">
      <formula>OR(AND(NOT(ISBLANK(D165)),NOT(D165=$O$1)),AND(NOT(ISBLANK(C165)),NOT(C165=$O$1)))</formula>
    </cfRule>
  </conditionalFormatting>
  <conditionalFormatting sqref="F165">
    <cfRule type="expression" dxfId="473" priority="473">
      <formula>AND(AND(NOT(ISBLANK(G165)),NOT(G165=$O$1)),AND(NOT(ISBLANK(H165)),NOT(H165=$O$1)))</formula>
    </cfRule>
    <cfRule type="expression" dxfId="472" priority="474">
      <formula>OR(AND(NOT(ISBLANK(G165)),NOT(G165=$O$1)),AND(NOT(ISBLANK(H165)),NOT(H165=$O$1)))</formula>
    </cfRule>
  </conditionalFormatting>
  <conditionalFormatting sqref="E166">
    <cfRule type="expression" dxfId="471" priority="471">
      <formula>AND(AND(NOT(ISBLANK(D166)),NOT(D166=$O$1)),AND(NOT(ISBLANK(C166)),NOT(C166=$O$1)))</formula>
    </cfRule>
    <cfRule type="expression" dxfId="470" priority="472">
      <formula>OR(AND(NOT(ISBLANK(D166)),NOT(D166=$O$1)),AND(NOT(ISBLANK(C166)),NOT(C166=$O$1)))</formula>
    </cfRule>
  </conditionalFormatting>
  <conditionalFormatting sqref="F166">
    <cfRule type="expression" dxfId="469" priority="469">
      <formula>AND(AND(NOT(ISBLANK(G166)),NOT(G166=$O$1)),AND(NOT(ISBLANK(H166)),NOT(H166=$O$1)))</formula>
    </cfRule>
    <cfRule type="expression" dxfId="468" priority="470">
      <formula>OR(AND(NOT(ISBLANK(G166)),NOT(G166=$O$1)),AND(NOT(ISBLANK(H166)),NOT(H166=$O$1)))</formula>
    </cfRule>
  </conditionalFormatting>
  <conditionalFormatting sqref="E167">
    <cfRule type="expression" dxfId="467" priority="467">
      <formula>AND(AND(NOT(ISBLANK(D167)),NOT(D167=$O$1)),AND(NOT(ISBLANK(C167)),NOT(C167=$O$1)))</formula>
    </cfRule>
    <cfRule type="expression" dxfId="466" priority="468">
      <formula>OR(AND(NOT(ISBLANK(D167)),NOT(D167=$O$1)),AND(NOT(ISBLANK(C167)),NOT(C167=$O$1)))</formula>
    </cfRule>
  </conditionalFormatting>
  <conditionalFormatting sqref="F167">
    <cfRule type="expression" dxfId="465" priority="465">
      <formula>AND(AND(NOT(ISBLANK(G167)),NOT(G167=$O$1)),AND(NOT(ISBLANK(H167)),NOT(H167=$O$1)))</formula>
    </cfRule>
    <cfRule type="expression" dxfId="464" priority="466">
      <formula>OR(AND(NOT(ISBLANK(G167)),NOT(G167=$O$1)),AND(NOT(ISBLANK(H167)),NOT(H167=$O$1)))</formula>
    </cfRule>
  </conditionalFormatting>
  <conditionalFormatting sqref="E168">
    <cfRule type="expression" dxfId="463" priority="463">
      <formula>AND(AND(NOT(ISBLANK(D168)),NOT(D168=$O$1)),AND(NOT(ISBLANK(C168)),NOT(C168=$O$1)))</formula>
    </cfRule>
    <cfRule type="expression" dxfId="462" priority="464">
      <formula>OR(AND(NOT(ISBLANK(D168)),NOT(D168=$O$1)),AND(NOT(ISBLANK(C168)),NOT(C168=$O$1)))</formula>
    </cfRule>
  </conditionalFormatting>
  <conditionalFormatting sqref="F168">
    <cfRule type="expression" dxfId="461" priority="461">
      <formula>AND(AND(NOT(ISBLANK(G168)),NOT(G168=$O$1)),AND(NOT(ISBLANK(H168)),NOT(H168=$O$1)))</formula>
    </cfRule>
    <cfRule type="expression" dxfId="460" priority="462">
      <formula>OR(AND(NOT(ISBLANK(G168)),NOT(G168=$O$1)),AND(NOT(ISBLANK(H168)),NOT(H168=$O$1)))</formula>
    </cfRule>
  </conditionalFormatting>
  <conditionalFormatting sqref="C10">
    <cfRule type="expression" dxfId="459" priority="460" stopIfTrue="1">
      <formula>AND(NOT(ISBLANK(C10)),NOT(_xlfn.ISFORMULA(C10)))</formula>
    </cfRule>
  </conditionalFormatting>
  <conditionalFormatting sqref="D10">
    <cfRule type="expression" dxfId="458" priority="459" stopIfTrue="1">
      <formula>AND(NOT(ISBLANK(D10)),NOT(_xlfn.ISFORMULA(D10)))</formula>
    </cfRule>
  </conditionalFormatting>
  <conditionalFormatting sqref="G10">
    <cfRule type="expression" dxfId="457" priority="458" stopIfTrue="1">
      <formula>AND(NOT(ISBLANK(G10)),NOT(_xlfn.ISFORMULA(G10)))</formula>
    </cfRule>
  </conditionalFormatting>
  <conditionalFormatting sqref="H10">
    <cfRule type="expression" dxfId="456" priority="457" stopIfTrue="1">
      <formula>AND(NOT(ISBLANK(H10)),NOT(_xlfn.ISFORMULA(H10)))</formula>
    </cfRule>
  </conditionalFormatting>
  <conditionalFormatting sqref="C11">
    <cfRule type="expression" dxfId="455" priority="456" stopIfTrue="1">
      <formula>AND(NOT(ISBLANK(C11)),NOT(_xlfn.ISFORMULA(C11)))</formula>
    </cfRule>
  </conditionalFormatting>
  <conditionalFormatting sqref="D11">
    <cfRule type="expression" dxfId="454" priority="455" stopIfTrue="1">
      <formula>AND(NOT(ISBLANK(D11)),NOT(_xlfn.ISFORMULA(D11)))</formula>
    </cfRule>
  </conditionalFormatting>
  <conditionalFormatting sqref="G11">
    <cfRule type="expression" dxfId="453" priority="454" stopIfTrue="1">
      <formula>AND(NOT(ISBLANK(G11)),NOT(_xlfn.ISFORMULA(G11)))</formula>
    </cfRule>
  </conditionalFormatting>
  <conditionalFormatting sqref="H11">
    <cfRule type="expression" dxfId="452" priority="453" stopIfTrue="1">
      <formula>AND(NOT(ISBLANK(H11)),NOT(_xlfn.ISFORMULA(H11)))</formula>
    </cfRule>
  </conditionalFormatting>
  <conditionalFormatting sqref="C12">
    <cfRule type="expression" dxfId="451" priority="452" stopIfTrue="1">
      <formula>AND(NOT(ISBLANK(C12)),NOT(_xlfn.ISFORMULA(C12)))</formula>
    </cfRule>
  </conditionalFormatting>
  <conditionalFormatting sqref="D12">
    <cfRule type="expression" dxfId="450" priority="451" stopIfTrue="1">
      <formula>AND(NOT(ISBLANK(D12)),NOT(_xlfn.ISFORMULA(D12)))</formula>
    </cfRule>
  </conditionalFormatting>
  <conditionalFormatting sqref="C13">
    <cfRule type="expression" dxfId="449" priority="450" stopIfTrue="1">
      <formula>AND(NOT(ISBLANK(C13)),NOT(_xlfn.ISFORMULA(C13)))</formula>
    </cfRule>
  </conditionalFormatting>
  <conditionalFormatting sqref="D13">
    <cfRule type="expression" dxfId="448" priority="449" stopIfTrue="1">
      <formula>AND(NOT(ISBLANK(D13)),NOT(_xlfn.ISFORMULA(D13)))</formula>
    </cfRule>
  </conditionalFormatting>
  <conditionalFormatting sqref="C14">
    <cfRule type="expression" dxfId="447" priority="448" stopIfTrue="1">
      <formula>AND(NOT(ISBLANK(C14)),NOT(_xlfn.ISFORMULA(C14)))</formula>
    </cfRule>
  </conditionalFormatting>
  <conditionalFormatting sqref="D14">
    <cfRule type="expression" dxfId="446" priority="447" stopIfTrue="1">
      <formula>AND(NOT(ISBLANK(D14)),NOT(_xlfn.ISFORMULA(D14)))</formula>
    </cfRule>
  </conditionalFormatting>
  <conditionalFormatting sqref="G14">
    <cfRule type="expression" dxfId="445" priority="446" stopIfTrue="1">
      <formula>AND(NOT(ISBLANK(G14)),NOT(_xlfn.ISFORMULA(G14)))</formula>
    </cfRule>
  </conditionalFormatting>
  <conditionalFormatting sqref="H14">
    <cfRule type="expression" dxfId="444" priority="445" stopIfTrue="1">
      <formula>AND(NOT(ISBLANK(H14)),NOT(_xlfn.ISFORMULA(H14)))</formula>
    </cfRule>
  </conditionalFormatting>
  <conditionalFormatting sqref="C15">
    <cfRule type="expression" dxfId="443" priority="444" stopIfTrue="1">
      <formula>AND(NOT(ISBLANK(C15)),NOT(_xlfn.ISFORMULA(C15)))</formula>
    </cfRule>
  </conditionalFormatting>
  <conditionalFormatting sqref="D15">
    <cfRule type="expression" dxfId="442" priority="443" stopIfTrue="1">
      <formula>AND(NOT(ISBLANK(D15)),NOT(_xlfn.ISFORMULA(D15)))</formula>
    </cfRule>
  </conditionalFormatting>
  <conditionalFormatting sqref="G15">
    <cfRule type="expression" dxfId="441" priority="442" stopIfTrue="1">
      <formula>AND(NOT(ISBLANK(G15)),NOT(_xlfn.ISFORMULA(G15)))</formula>
    </cfRule>
  </conditionalFormatting>
  <conditionalFormatting sqref="H15">
    <cfRule type="expression" dxfId="440" priority="441" stopIfTrue="1">
      <formula>AND(NOT(ISBLANK(H15)),NOT(_xlfn.ISFORMULA(H15)))</formula>
    </cfRule>
  </conditionalFormatting>
  <conditionalFormatting sqref="C17">
    <cfRule type="expression" dxfId="439" priority="440" stopIfTrue="1">
      <formula>AND(NOT(ISBLANK(C17)),NOT(_xlfn.ISFORMULA(C17)))</formula>
    </cfRule>
  </conditionalFormatting>
  <conditionalFormatting sqref="D17">
    <cfRule type="expression" dxfId="438" priority="439" stopIfTrue="1">
      <formula>AND(NOT(ISBLANK(D17)),NOT(_xlfn.ISFORMULA(D17)))</formula>
    </cfRule>
  </conditionalFormatting>
  <conditionalFormatting sqref="G17">
    <cfRule type="expression" dxfId="437" priority="438" stopIfTrue="1">
      <formula>AND(NOT(ISBLANK(G17)),NOT(_xlfn.ISFORMULA(G17)))</formula>
    </cfRule>
  </conditionalFormatting>
  <conditionalFormatting sqref="H17">
    <cfRule type="expression" dxfId="436" priority="437" stopIfTrue="1">
      <formula>AND(NOT(ISBLANK(H17)),NOT(_xlfn.ISFORMULA(H17)))</formula>
    </cfRule>
  </conditionalFormatting>
  <conditionalFormatting sqref="C18">
    <cfRule type="expression" dxfId="435" priority="436" stopIfTrue="1">
      <formula>AND(NOT(ISBLANK(C18)),NOT(_xlfn.ISFORMULA(C18)))</formula>
    </cfRule>
  </conditionalFormatting>
  <conditionalFormatting sqref="D18">
    <cfRule type="expression" dxfId="434" priority="435" stopIfTrue="1">
      <formula>AND(NOT(ISBLANK(D18)),NOT(_xlfn.ISFORMULA(D18)))</formula>
    </cfRule>
  </conditionalFormatting>
  <conditionalFormatting sqref="G18">
    <cfRule type="expression" dxfId="433" priority="434" stopIfTrue="1">
      <formula>AND(NOT(ISBLANK(G18)),NOT(_xlfn.ISFORMULA(G18)))</formula>
    </cfRule>
  </conditionalFormatting>
  <conditionalFormatting sqref="H18">
    <cfRule type="expression" dxfId="432" priority="433" stopIfTrue="1">
      <formula>AND(NOT(ISBLANK(H18)),NOT(_xlfn.ISFORMULA(H18)))</formula>
    </cfRule>
  </conditionalFormatting>
  <conditionalFormatting sqref="C19">
    <cfRule type="expression" dxfId="431" priority="432" stopIfTrue="1">
      <formula>AND(NOT(ISBLANK(C19)),NOT(_xlfn.ISFORMULA(C19)))</formula>
    </cfRule>
  </conditionalFormatting>
  <conditionalFormatting sqref="D19">
    <cfRule type="expression" dxfId="430" priority="431" stopIfTrue="1">
      <formula>AND(NOT(ISBLANK(D19)),NOT(_xlfn.ISFORMULA(D19)))</formula>
    </cfRule>
  </conditionalFormatting>
  <conditionalFormatting sqref="C20">
    <cfRule type="expression" dxfId="429" priority="430" stopIfTrue="1">
      <formula>AND(NOT(ISBLANK(C20)),NOT(_xlfn.ISFORMULA(C20)))</formula>
    </cfRule>
  </conditionalFormatting>
  <conditionalFormatting sqref="D20">
    <cfRule type="expression" dxfId="428" priority="429" stopIfTrue="1">
      <formula>AND(NOT(ISBLANK(D20)),NOT(_xlfn.ISFORMULA(D20)))</formula>
    </cfRule>
  </conditionalFormatting>
  <conditionalFormatting sqref="C21">
    <cfRule type="expression" dxfId="427" priority="428" stopIfTrue="1">
      <formula>AND(NOT(ISBLANK(C21)),NOT(_xlfn.ISFORMULA(C21)))</formula>
    </cfRule>
  </conditionalFormatting>
  <conditionalFormatting sqref="D21">
    <cfRule type="expression" dxfId="426" priority="427" stopIfTrue="1">
      <formula>AND(NOT(ISBLANK(D21)),NOT(_xlfn.ISFORMULA(D21)))</formula>
    </cfRule>
  </conditionalFormatting>
  <conditionalFormatting sqref="G21">
    <cfRule type="expression" dxfId="425" priority="426" stopIfTrue="1">
      <formula>AND(NOT(ISBLANK(G21)),NOT(_xlfn.ISFORMULA(G21)))</formula>
    </cfRule>
  </conditionalFormatting>
  <conditionalFormatting sqref="H21">
    <cfRule type="expression" dxfId="424" priority="425" stopIfTrue="1">
      <formula>AND(NOT(ISBLANK(H21)),NOT(_xlfn.ISFORMULA(H21)))</formula>
    </cfRule>
  </conditionalFormatting>
  <conditionalFormatting sqref="C22">
    <cfRule type="expression" dxfId="423" priority="424" stopIfTrue="1">
      <formula>AND(NOT(ISBLANK(C22)),NOT(_xlfn.ISFORMULA(C22)))</formula>
    </cfRule>
  </conditionalFormatting>
  <conditionalFormatting sqref="D22">
    <cfRule type="expression" dxfId="422" priority="423" stopIfTrue="1">
      <formula>AND(NOT(ISBLANK(D22)),NOT(_xlfn.ISFORMULA(D22)))</formula>
    </cfRule>
  </conditionalFormatting>
  <conditionalFormatting sqref="G22">
    <cfRule type="expression" dxfId="421" priority="422" stopIfTrue="1">
      <formula>AND(NOT(ISBLANK(G22)),NOT(_xlfn.ISFORMULA(G22)))</formula>
    </cfRule>
  </conditionalFormatting>
  <conditionalFormatting sqref="H22">
    <cfRule type="expression" dxfId="420" priority="421" stopIfTrue="1">
      <formula>AND(NOT(ISBLANK(H22)),NOT(_xlfn.ISFORMULA(H22)))</formula>
    </cfRule>
  </conditionalFormatting>
  <conditionalFormatting sqref="C23">
    <cfRule type="expression" dxfId="419" priority="420" stopIfTrue="1">
      <formula>AND(NOT(ISBLANK(C23)),NOT(_xlfn.ISFORMULA(C23)))</formula>
    </cfRule>
  </conditionalFormatting>
  <conditionalFormatting sqref="D23">
    <cfRule type="expression" dxfId="418" priority="419" stopIfTrue="1">
      <formula>AND(NOT(ISBLANK(D23)),NOT(_xlfn.ISFORMULA(D23)))</formula>
    </cfRule>
  </conditionalFormatting>
  <conditionalFormatting sqref="G23">
    <cfRule type="expression" dxfId="417" priority="418" stopIfTrue="1">
      <formula>AND(NOT(ISBLANK(G23)),NOT(_xlfn.ISFORMULA(G23)))</formula>
    </cfRule>
  </conditionalFormatting>
  <conditionalFormatting sqref="H23">
    <cfRule type="expression" dxfId="416" priority="417" stopIfTrue="1">
      <formula>AND(NOT(ISBLANK(H23)),NOT(_xlfn.ISFORMULA(H23)))</formula>
    </cfRule>
  </conditionalFormatting>
  <conditionalFormatting sqref="C24">
    <cfRule type="expression" dxfId="415" priority="416" stopIfTrue="1">
      <formula>AND(NOT(ISBLANK(C24)),NOT(_xlfn.ISFORMULA(C24)))</formula>
    </cfRule>
  </conditionalFormatting>
  <conditionalFormatting sqref="D24">
    <cfRule type="expression" dxfId="414" priority="415" stopIfTrue="1">
      <formula>AND(NOT(ISBLANK(D24)),NOT(_xlfn.ISFORMULA(D24)))</formula>
    </cfRule>
  </conditionalFormatting>
  <conditionalFormatting sqref="C25">
    <cfRule type="expression" dxfId="413" priority="414" stopIfTrue="1">
      <formula>AND(NOT(ISBLANK(C25)),NOT(_xlfn.ISFORMULA(C25)))</formula>
    </cfRule>
  </conditionalFormatting>
  <conditionalFormatting sqref="D25">
    <cfRule type="expression" dxfId="412" priority="413" stopIfTrue="1">
      <formula>AND(NOT(ISBLANK(D25)),NOT(_xlfn.ISFORMULA(D25)))</formula>
    </cfRule>
  </conditionalFormatting>
  <conditionalFormatting sqref="C26">
    <cfRule type="expression" dxfId="411" priority="412" stopIfTrue="1">
      <formula>AND(NOT(ISBLANK(C26)),NOT(_xlfn.ISFORMULA(C26)))</formula>
    </cfRule>
  </conditionalFormatting>
  <conditionalFormatting sqref="D26">
    <cfRule type="expression" dxfId="410" priority="411" stopIfTrue="1">
      <formula>AND(NOT(ISBLANK(D26)),NOT(_xlfn.ISFORMULA(D26)))</formula>
    </cfRule>
  </conditionalFormatting>
  <conditionalFormatting sqref="G26">
    <cfRule type="expression" dxfId="409" priority="410" stopIfTrue="1">
      <formula>AND(NOT(ISBLANK(G26)),NOT(_xlfn.ISFORMULA(G26)))</formula>
    </cfRule>
  </conditionalFormatting>
  <conditionalFormatting sqref="H26">
    <cfRule type="expression" dxfId="408" priority="409" stopIfTrue="1">
      <formula>AND(NOT(ISBLANK(H26)),NOT(_xlfn.ISFORMULA(H26)))</formula>
    </cfRule>
  </conditionalFormatting>
  <conditionalFormatting sqref="C27">
    <cfRule type="expression" dxfId="407" priority="408" stopIfTrue="1">
      <formula>AND(NOT(ISBLANK(C27)),NOT(_xlfn.ISFORMULA(C27)))</formula>
    </cfRule>
  </conditionalFormatting>
  <conditionalFormatting sqref="D27">
    <cfRule type="expression" dxfId="406" priority="407" stopIfTrue="1">
      <formula>AND(NOT(ISBLANK(D27)),NOT(_xlfn.ISFORMULA(D27)))</formula>
    </cfRule>
  </conditionalFormatting>
  <conditionalFormatting sqref="G27">
    <cfRule type="expression" dxfId="405" priority="406" stopIfTrue="1">
      <formula>AND(NOT(ISBLANK(G27)),NOT(_xlfn.ISFORMULA(G27)))</formula>
    </cfRule>
  </conditionalFormatting>
  <conditionalFormatting sqref="H27">
    <cfRule type="expression" dxfId="404" priority="405" stopIfTrue="1">
      <formula>AND(NOT(ISBLANK(H27)),NOT(_xlfn.ISFORMULA(H27)))</formula>
    </cfRule>
  </conditionalFormatting>
  <conditionalFormatting sqref="C28">
    <cfRule type="expression" dxfId="403" priority="404" stopIfTrue="1">
      <formula>AND(NOT(ISBLANK(C28)),NOT(_xlfn.ISFORMULA(C28)))</formula>
    </cfRule>
  </conditionalFormatting>
  <conditionalFormatting sqref="D28">
    <cfRule type="expression" dxfId="402" priority="403" stopIfTrue="1">
      <formula>AND(NOT(ISBLANK(D28)),NOT(_xlfn.ISFORMULA(D28)))</formula>
    </cfRule>
  </conditionalFormatting>
  <conditionalFormatting sqref="G28">
    <cfRule type="expression" dxfId="401" priority="402" stopIfTrue="1">
      <formula>AND(NOT(ISBLANK(G28)),NOT(_xlfn.ISFORMULA(G28)))</formula>
    </cfRule>
  </conditionalFormatting>
  <conditionalFormatting sqref="H28">
    <cfRule type="expression" dxfId="400" priority="401" stopIfTrue="1">
      <formula>AND(NOT(ISBLANK(H28)),NOT(_xlfn.ISFORMULA(H28)))</formula>
    </cfRule>
  </conditionalFormatting>
  <conditionalFormatting sqref="C29">
    <cfRule type="expression" dxfId="399" priority="400" stopIfTrue="1">
      <formula>AND(NOT(ISBLANK(C29)),NOT(_xlfn.ISFORMULA(C29)))</formula>
    </cfRule>
  </conditionalFormatting>
  <conditionalFormatting sqref="D29">
    <cfRule type="expression" dxfId="398" priority="399" stopIfTrue="1">
      <formula>AND(NOT(ISBLANK(D29)),NOT(_xlfn.ISFORMULA(D29)))</formula>
    </cfRule>
  </conditionalFormatting>
  <conditionalFormatting sqref="G29">
    <cfRule type="expression" dxfId="397" priority="398" stopIfTrue="1">
      <formula>AND(NOT(ISBLANK(G29)),NOT(_xlfn.ISFORMULA(G29)))</formula>
    </cfRule>
  </conditionalFormatting>
  <conditionalFormatting sqref="H29">
    <cfRule type="expression" dxfId="396" priority="397" stopIfTrue="1">
      <formula>AND(NOT(ISBLANK(H29)),NOT(_xlfn.ISFORMULA(H29)))</formula>
    </cfRule>
  </conditionalFormatting>
  <conditionalFormatting sqref="C30">
    <cfRule type="expression" dxfId="395" priority="396" stopIfTrue="1">
      <formula>AND(NOT(ISBLANK(C30)),NOT(_xlfn.ISFORMULA(C30)))</formula>
    </cfRule>
  </conditionalFormatting>
  <conditionalFormatting sqref="D30">
    <cfRule type="expression" dxfId="394" priority="395" stopIfTrue="1">
      <formula>AND(NOT(ISBLANK(D30)),NOT(_xlfn.ISFORMULA(D30)))</formula>
    </cfRule>
  </conditionalFormatting>
  <conditionalFormatting sqref="C31">
    <cfRule type="expression" dxfId="393" priority="394" stopIfTrue="1">
      <formula>AND(NOT(ISBLANK(C31)),NOT(_xlfn.ISFORMULA(C31)))</formula>
    </cfRule>
  </conditionalFormatting>
  <conditionalFormatting sqref="D31">
    <cfRule type="expression" dxfId="392" priority="393" stopIfTrue="1">
      <formula>AND(NOT(ISBLANK(D31)),NOT(_xlfn.ISFORMULA(D31)))</formula>
    </cfRule>
  </conditionalFormatting>
  <conditionalFormatting sqref="C32">
    <cfRule type="expression" dxfId="391" priority="392" stopIfTrue="1">
      <formula>AND(NOT(ISBLANK(C32)),NOT(_xlfn.ISFORMULA(C32)))</formula>
    </cfRule>
  </conditionalFormatting>
  <conditionalFormatting sqref="D32">
    <cfRule type="expression" dxfId="390" priority="391" stopIfTrue="1">
      <formula>AND(NOT(ISBLANK(D32)),NOT(_xlfn.ISFORMULA(D32)))</formula>
    </cfRule>
  </conditionalFormatting>
  <conditionalFormatting sqref="G32">
    <cfRule type="expression" dxfId="389" priority="390" stopIfTrue="1">
      <formula>AND(NOT(ISBLANK(G32)),NOT(_xlfn.ISFORMULA(G32)))</formula>
    </cfRule>
  </conditionalFormatting>
  <conditionalFormatting sqref="H32">
    <cfRule type="expression" dxfId="388" priority="389" stopIfTrue="1">
      <formula>AND(NOT(ISBLANK(H32)),NOT(_xlfn.ISFORMULA(H32)))</formula>
    </cfRule>
  </conditionalFormatting>
  <conditionalFormatting sqref="C33">
    <cfRule type="expression" dxfId="387" priority="388" stopIfTrue="1">
      <formula>AND(NOT(ISBLANK(C33)),NOT(_xlfn.ISFORMULA(C33)))</formula>
    </cfRule>
  </conditionalFormatting>
  <conditionalFormatting sqref="D33">
    <cfRule type="expression" dxfId="386" priority="387" stopIfTrue="1">
      <formula>AND(NOT(ISBLANK(D33)),NOT(_xlfn.ISFORMULA(D33)))</formula>
    </cfRule>
  </conditionalFormatting>
  <conditionalFormatting sqref="G33">
    <cfRule type="expression" dxfId="385" priority="386" stopIfTrue="1">
      <formula>AND(NOT(ISBLANK(G33)),NOT(_xlfn.ISFORMULA(G33)))</formula>
    </cfRule>
  </conditionalFormatting>
  <conditionalFormatting sqref="H33">
    <cfRule type="expression" dxfId="384" priority="385" stopIfTrue="1">
      <formula>AND(NOT(ISBLANK(H33)),NOT(_xlfn.ISFORMULA(H33)))</formula>
    </cfRule>
  </conditionalFormatting>
  <conditionalFormatting sqref="C36">
    <cfRule type="expression" dxfId="383" priority="384" stopIfTrue="1">
      <formula>AND(NOT(ISBLANK(C36)),NOT(_xlfn.ISFORMULA(C36)))</formula>
    </cfRule>
  </conditionalFormatting>
  <conditionalFormatting sqref="D36">
    <cfRule type="expression" dxfId="382" priority="383" stopIfTrue="1">
      <formula>AND(NOT(ISBLANK(D36)),NOT(_xlfn.ISFORMULA(D36)))</formula>
    </cfRule>
  </conditionalFormatting>
  <conditionalFormatting sqref="G36">
    <cfRule type="expression" dxfId="381" priority="382" stopIfTrue="1">
      <formula>AND(NOT(ISBLANK(G36)),NOT(_xlfn.ISFORMULA(G36)))</formula>
    </cfRule>
  </conditionalFormatting>
  <conditionalFormatting sqref="H36">
    <cfRule type="expression" dxfId="380" priority="381" stopIfTrue="1">
      <formula>AND(NOT(ISBLANK(H36)),NOT(_xlfn.ISFORMULA(H36)))</formula>
    </cfRule>
  </conditionalFormatting>
  <conditionalFormatting sqref="C37">
    <cfRule type="expression" dxfId="379" priority="380" stopIfTrue="1">
      <formula>AND(NOT(ISBLANK(C37)),NOT(_xlfn.ISFORMULA(C37)))</formula>
    </cfRule>
  </conditionalFormatting>
  <conditionalFormatting sqref="D37">
    <cfRule type="expression" dxfId="378" priority="379" stopIfTrue="1">
      <formula>AND(NOT(ISBLANK(D37)),NOT(_xlfn.ISFORMULA(D37)))</formula>
    </cfRule>
  </conditionalFormatting>
  <conditionalFormatting sqref="G37">
    <cfRule type="expression" dxfId="377" priority="378" stopIfTrue="1">
      <formula>AND(NOT(ISBLANK(G37)),NOT(_xlfn.ISFORMULA(G37)))</formula>
    </cfRule>
  </conditionalFormatting>
  <conditionalFormatting sqref="H37">
    <cfRule type="expression" dxfId="376" priority="377" stopIfTrue="1">
      <formula>AND(NOT(ISBLANK(H37)),NOT(_xlfn.ISFORMULA(H37)))</formula>
    </cfRule>
  </conditionalFormatting>
  <conditionalFormatting sqref="C38">
    <cfRule type="expression" dxfId="375" priority="376" stopIfTrue="1">
      <formula>AND(NOT(ISBLANK(C38)),NOT(_xlfn.ISFORMULA(C38)))</formula>
    </cfRule>
  </conditionalFormatting>
  <conditionalFormatting sqref="D38">
    <cfRule type="expression" dxfId="374" priority="375" stopIfTrue="1">
      <formula>AND(NOT(ISBLANK(D38)),NOT(_xlfn.ISFORMULA(D38)))</formula>
    </cfRule>
  </conditionalFormatting>
  <conditionalFormatting sqref="C39">
    <cfRule type="expression" dxfId="373" priority="374" stopIfTrue="1">
      <formula>AND(NOT(ISBLANK(C39)),NOT(_xlfn.ISFORMULA(C39)))</formula>
    </cfRule>
  </conditionalFormatting>
  <conditionalFormatting sqref="D39">
    <cfRule type="expression" dxfId="372" priority="373" stopIfTrue="1">
      <formula>AND(NOT(ISBLANK(D39)),NOT(_xlfn.ISFORMULA(D39)))</formula>
    </cfRule>
  </conditionalFormatting>
  <conditionalFormatting sqref="C40">
    <cfRule type="expression" dxfId="371" priority="372" stopIfTrue="1">
      <formula>AND(NOT(ISBLANK(C40)),NOT(_xlfn.ISFORMULA(C40)))</formula>
    </cfRule>
  </conditionalFormatting>
  <conditionalFormatting sqref="D40">
    <cfRule type="expression" dxfId="370" priority="371" stopIfTrue="1">
      <formula>AND(NOT(ISBLANK(D40)),NOT(_xlfn.ISFORMULA(D40)))</formula>
    </cfRule>
  </conditionalFormatting>
  <conditionalFormatting sqref="C41">
    <cfRule type="expression" dxfId="369" priority="370" stopIfTrue="1">
      <formula>AND(NOT(ISBLANK(C41)),NOT(_xlfn.ISFORMULA(C41)))</formula>
    </cfRule>
  </conditionalFormatting>
  <conditionalFormatting sqref="D41">
    <cfRule type="expression" dxfId="368" priority="369" stopIfTrue="1">
      <formula>AND(NOT(ISBLANK(D41)),NOT(_xlfn.ISFORMULA(D41)))</formula>
    </cfRule>
  </conditionalFormatting>
  <conditionalFormatting sqref="C42">
    <cfRule type="expression" dxfId="367" priority="368" stopIfTrue="1">
      <formula>AND(NOT(ISBLANK(C42)),NOT(_xlfn.ISFORMULA(C42)))</formula>
    </cfRule>
  </conditionalFormatting>
  <conditionalFormatting sqref="D42">
    <cfRule type="expression" dxfId="366" priority="367" stopIfTrue="1">
      <formula>AND(NOT(ISBLANK(D42)),NOT(_xlfn.ISFORMULA(D42)))</formula>
    </cfRule>
  </conditionalFormatting>
  <conditionalFormatting sqref="G42">
    <cfRule type="expression" dxfId="365" priority="366" stopIfTrue="1">
      <formula>AND(NOT(ISBLANK(G42)),NOT(_xlfn.ISFORMULA(G42)))</formula>
    </cfRule>
  </conditionalFormatting>
  <conditionalFormatting sqref="H42">
    <cfRule type="expression" dxfId="364" priority="365" stopIfTrue="1">
      <formula>AND(NOT(ISBLANK(H42)),NOT(_xlfn.ISFORMULA(H42)))</formula>
    </cfRule>
  </conditionalFormatting>
  <conditionalFormatting sqref="C43">
    <cfRule type="expression" dxfId="363" priority="364" stopIfTrue="1">
      <formula>AND(NOT(ISBLANK(C43)),NOT(_xlfn.ISFORMULA(C43)))</formula>
    </cfRule>
  </conditionalFormatting>
  <conditionalFormatting sqref="D43">
    <cfRule type="expression" dxfId="362" priority="363" stopIfTrue="1">
      <formula>AND(NOT(ISBLANK(D43)),NOT(_xlfn.ISFORMULA(D43)))</formula>
    </cfRule>
  </conditionalFormatting>
  <conditionalFormatting sqref="C45">
    <cfRule type="expression" dxfId="361" priority="362" stopIfTrue="1">
      <formula>AND(NOT(ISBLANK(C45)),NOT(_xlfn.ISFORMULA(C45)))</formula>
    </cfRule>
  </conditionalFormatting>
  <conditionalFormatting sqref="D45">
    <cfRule type="expression" dxfId="360" priority="361" stopIfTrue="1">
      <formula>AND(NOT(ISBLANK(D45)),NOT(_xlfn.ISFORMULA(D45)))</formula>
    </cfRule>
  </conditionalFormatting>
  <conditionalFormatting sqref="G45">
    <cfRule type="expression" dxfId="359" priority="360" stopIfTrue="1">
      <formula>AND(NOT(ISBLANK(G45)),NOT(_xlfn.ISFORMULA(G45)))</formula>
    </cfRule>
  </conditionalFormatting>
  <conditionalFormatting sqref="H45">
    <cfRule type="expression" dxfId="358" priority="359" stopIfTrue="1">
      <formula>AND(NOT(ISBLANK(H45)),NOT(_xlfn.ISFORMULA(H45)))</formula>
    </cfRule>
  </conditionalFormatting>
  <conditionalFormatting sqref="C46">
    <cfRule type="expression" dxfId="357" priority="358" stopIfTrue="1">
      <formula>AND(NOT(ISBLANK(C46)),NOT(_xlfn.ISFORMULA(C46)))</formula>
    </cfRule>
  </conditionalFormatting>
  <conditionalFormatting sqref="D46">
    <cfRule type="expression" dxfId="356" priority="357" stopIfTrue="1">
      <formula>AND(NOT(ISBLANK(D46)),NOT(_xlfn.ISFORMULA(D46)))</formula>
    </cfRule>
  </conditionalFormatting>
  <conditionalFormatting sqref="G46">
    <cfRule type="expression" dxfId="355" priority="356" stopIfTrue="1">
      <formula>AND(NOT(ISBLANK(G46)),NOT(_xlfn.ISFORMULA(G46)))</formula>
    </cfRule>
  </conditionalFormatting>
  <conditionalFormatting sqref="H46">
    <cfRule type="expression" dxfId="354" priority="355" stopIfTrue="1">
      <formula>AND(NOT(ISBLANK(H46)),NOT(_xlfn.ISFORMULA(H46)))</formula>
    </cfRule>
  </conditionalFormatting>
  <conditionalFormatting sqref="C47">
    <cfRule type="expression" dxfId="353" priority="354" stopIfTrue="1">
      <formula>AND(NOT(ISBLANK(C47)),NOT(_xlfn.ISFORMULA(C47)))</formula>
    </cfRule>
  </conditionalFormatting>
  <conditionalFormatting sqref="D47">
    <cfRule type="expression" dxfId="352" priority="353" stopIfTrue="1">
      <formula>AND(NOT(ISBLANK(D47)),NOT(_xlfn.ISFORMULA(D47)))</formula>
    </cfRule>
  </conditionalFormatting>
  <conditionalFormatting sqref="C48">
    <cfRule type="expression" dxfId="351" priority="352" stopIfTrue="1">
      <formula>AND(NOT(ISBLANK(C48)),NOT(_xlfn.ISFORMULA(C48)))</formula>
    </cfRule>
  </conditionalFormatting>
  <conditionalFormatting sqref="D48">
    <cfRule type="expression" dxfId="350" priority="351" stopIfTrue="1">
      <formula>AND(NOT(ISBLANK(D48)),NOT(_xlfn.ISFORMULA(D48)))</formula>
    </cfRule>
  </conditionalFormatting>
  <conditionalFormatting sqref="G48">
    <cfRule type="expression" dxfId="349" priority="350" stopIfTrue="1">
      <formula>AND(NOT(ISBLANK(G48)),NOT(_xlfn.ISFORMULA(G48)))</formula>
    </cfRule>
  </conditionalFormatting>
  <conditionalFormatting sqref="H48">
    <cfRule type="expression" dxfId="348" priority="349" stopIfTrue="1">
      <formula>AND(NOT(ISBLANK(H48)),NOT(_xlfn.ISFORMULA(H48)))</formula>
    </cfRule>
  </conditionalFormatting>
  <conditionalFormatting sqref="C49">
    <cfRule type="expression" dxfId="347" priority="348" stopIfTrue="1">
      <formula>AND(NOT(ISBLANK(C49)),NOT(_xlfn.ISFORMULA(C49)))</formula>
    </cfRule>
  </conditionalFormatting>
  <conditionalFormatting sqref="D49">
    <cfRule type="expression" dxfId="346" priority="347" stopIfTrue="1">
      <formula>AND(NOT(ISBLANK(D49)),NOT(_xlfn.ISFORMULA(D49)))</formula>
    </cfRule>
  </conditionalFormatting>
  <conditionalFormatting sqref="G49">
    <cfRule type="expression" dxfId="345" priority="346" stopIfTrue="1">
      <formula>AND(NOT(ISBLANK(G49)),NOT(_xlfn.ISFORMULA(G49)))</formula>
    </cfRule>
  </conditionalFormatting>
  <conditionalFormatting sqref="H49">
    <cfRule type="expression" dxfId="344" priority="345" stopIfTrue="1">
      <formula>AND(NOT(ISBLANK(H49)),NOT(_xlfn.ISFORMULA(H49)))</formula>
    </cfRule>
  </conditionalFormatting>
  <conditionalFormatting sqref="C50">
    <cfRule type="expression" dxfId="343" priority="344" stopIfTrue="1">
      <formula>AND(NOT(ISBLANK(C50)),NOT(_xlfn.ISFORMULA(C50)))</formula>
    </cfRule>
  </conditionalFormatting>
  <conditionalFormatting sqref="D50">
    <cfRule type="expression" dxfId="342" priority="343" stopIfTrue="1">
      <formula>AND(NOT(ISBLANK(D50)),NOT(_xlfn.ISFORMULA(D50)))</formula>
    </cfRule>
  </conditionalFormatting>
  <conditionalFormatting sqref="G50">
    <cfRule type="expression" dxfId="341" priority="342" stopIfTrue="1">
      <formula>AND(NOT(ISBLANK(G50)),NOT(_xlfn.ISFORMULA(G50)))</formula>
    </cfRule>
  </conditionalFormatting>
  <conditionalFormatting sqref="H50">
    <cfRule type="expression" dxfId="340" priority="341" stopIfTrue="1">
      <formula>AND(NOT(ISBLANK(H50)),NOT(_xlfn.ISFORMULA(H50)))</formula>
    </cfRule>
  </conditionalFormatting>
  <conditionalFormatting sqref="C52">
    <cfRule type="expression" dxfId="339" priority="340" stopIfTrue="1">
      <formula>AND(NOT(ISBLANK(C52)),NOT(_xlfn.ISFORMULA(C52)))</formula>
    </cfRule>
  </conditionalFormatting>
  <conditionalFormatting sqref="D52">
    <cfRule type="expression" dxfId="338" priority="339" stopIfTrue="1">
      <formula>AND(NOT(ISBLANK(D52)),NOT(_xlfn.ISFORMULA(D52)))</formula>
    </cfRule>
  </conditionalFormatting>
  <conditionalFormatting sqref="G52">
    <cfRule type="expression" dxfId="337" priority="338" stopIfTrue="1">
      <formula>AND(NOT(ISBLANK(G52)),NOT(_xlfn.ISFORMULA(G52)))</formula>
    </cfRule>
  </conditionalFormatting>
  <conditionalFormatting sqref="H52">
    <cfRule type="expression" dxfId="336" priority="337" stopIfTrue="1">
      <formula>AND(NOT(ISBLANK(H52)),NOT(_xlfn.ISFORMULA(H52)))</formula>
    </cfRule>
  </conditionalFormatting>
  <conditionalFormatting sqref="C53">
    <cfRule type="expression" dxfId="335" priority="336" stopIfTrue="1">
      <formula>AND(NOT(ISBLANK(C53)),NOT(_xlfn.ISFORMULA(C53)))</formula>
    </cfRule>
  </conditionalFormatting>
  <conditionalFormatting sqref="D53">
    <cfRule type="expression" dxfId="334" priority="335" stopIfTrue="1">
      <formula>AND(NOT(ISBLANK(D53)),NOT(_xlfn.ISFORMULA(D53)))</formula>
    </cfRule>
  </conditionalFormatting>
  <conditionalFormatting sqref="G53">
    <cfRule type="expression" dxfId="333" priority="334" stopIfTrue="1">
      <formula>AND(NOT(ISBLANK(G53)),NOT(_xlfn.ISFORMULA(G53)))</formula>
    </cfRule>
  </conditionalFormatting>
  <conditionalFormatting sqref="H53">
    <cfRule type="expression" dxfId="332" priority="333" stopIfTrue="1">
      <formula>AND(NOT(ISBLANK(H53)),NOT(_xlfn.ISFORMULA(H53)))</formula>
    </cfRule>
  </conditionalFormatting>
  <conditionalFormatting sqref="C54">
    <cfRule type="expression" dxfId="331" priority="332" stopIfTrue="1">
      <formula>AND(NOT(ISBLANK(C54)),NOT(_xlfn.ISFORMULA(C54)))</formula>
    </cfRule>
  </conditionalFormatting>
  <conditionalFormatting sqref="D54">
    <cfRule type="expression" dxfId="330" priority="331" stopIfTrue="1">
      <formula>AND(NOT(ISBLANK(D54)),NOT(_xlfn.ISFORMULA(D54)))</formula>
    </cfRule>
  </conditionalFormatting>
  <conditionalFormatting sqref="C55">
    <cfRule type="expression" dxfId="329" priority="330" stopIfTrue="1">
      <formula>AND(NOT(ISBLANK(C55)),NOT(_xlfn.ISFORMULA(C55)))</formula>
    </cfRule>
  </conditionalFormatting>
  <conditionalFormatting sqref="D55">
    <cfRule type="expression" dxfId="328" priority="329" stopIfTrue="1">
      <formula>AND(NOT(ISBLANK(D55)),NOT(_xlfn.ISFORMULA(D55)))</formula>
    </cfRule>
  </conditionalFormatting>
  <conditionalFormatting sqref="C56">
    <cfRule type="expression" dxfId="327" priority="328" stopIfTrue="1">
      <formula>AND(NOT(ISBLANK(C56)),NOT(_xlfn.ISFORMULA(C56)))</formula>
    </cfRule>
  </conditionalFormatting>
  <conditionalFormatting sqref="D56">
    <cfRule type="expression" dxfId="326" priority="327" stopIfTrue="1">
      <formula>AND(NOT(ISBLANK(D56)),NOT(_xlfn.ISFORMULA(D56)))</formula>
    </cfRule>
  </conditionalFormatting>
  <conditionalFormatting sqref="G56">
    <cfRule type="expression" dxfId="325" priority="326" stopIfTrue="1">
      <formula>AND(NOT(ISBLANK(G56)),NOT(_xlfn.ISFORMULA(G56)))</formula>
    </cfRule>
  </conditionalFormatting>
  <conditionalFormatting sqref="H56">
    <cfRule type="expression" dxfId="324" priority="325" stopIfTrue="1">
      <formula>AND(NOT(ISBLANK(H56)),NOT(_xlfn.ISFORMULA(H56)))</formula>
    </cfRule>
  </conditionalFormatting>
  <conditionalFormatting sqref="C57">
    <cfRule type="expression" dxfId="323" priority="324" stopIfTrue="1">
      <formula>AND(NOT(ISBLANK(C57)),NOT(_xlfn.ISFORMULA(C57)))</formula>
    </cfRule>
  </conditionalFormatting>
  <conditionalFormatting sqref="D57">
    <cfRule type="expression" dxfId="322" priority="323" stopIfTrue="1">
      <formula>AND(NOT(ISBLANK(D57)),NOT(_xlfn.ISFORMULA(D57)))</formula>
    </cfRule>
  </conditionalFormatting>
  <conditionalFormatting sqref="G57">
    <cfRule type="expression" dxfId="321" priority="322" stopIfTrue="1">
      <formula>AND(NOT(ISBLANK(G57)),NOT(_xlfn.ISFORMULA(G57)))</formula>
    </cfRule>
  </conditionalFormatting>
  <conditionalFormatting sqref="H57">
    <cfRule type="expression" dxfId="320" priority="321" stopIfTrue="1">
      <formula>AND(NOT(ISBLANK(H57)),NOT(_xlfn.ISFORMULA(H57)))</formula>
    </cfRule>
  </conditionalFormatting>
  <conditionalFormatting sqref="C59">
    <cfRule type="expression" dxfId="319" priority="320" stopIfTrue="1">
      <formula>AND(NOT(ISBLANK(C59)),NOT(_xlfn.ISFORMULA(C59)))</formula>
    </cfRule>
  </conditionalFormatting>
  <conditionalFormatting sqref="D59">
    <cfRule type="expression" dxfId="318" priority="319" stopIfTrue="1">
      <formula>AND(NOT(ISBLANK(D59)),NOT(_xlfn.ISFORMULA(D59)))</formula>
    </cfRule>
  </conditionalFormatting>
  <conditionalFormatting sqref="G59">
    <cfRule type="expression" dxfId="317" priority="318" stopIfTrue="1">
      <formula>AND(NOT(ISBLANK(G59)),NOT(_xlfn.ISFORMULA(G59)))</formula>
    </cfRule>
  </conditionalFormatting>
  <conditionalFormatting sqref="H59">
    <cfRule type="expression" dxfId="316" priority="317" stopIfTrue="1">
      <formula>AND(NOT(ISBLANK(H59)),NOT(_xlfn.ISFORMULA(H59)))</formula>
    </cfRule>
  </conditionalFormatting>
  <conditionalFormatting sqref="C60">
    <cfRule type="expression" dxfId="315" priority="316" stopIfTrue="1">
      <formula>AND(NOT(ISBLANK(C60)),NOT(_xlfn.ISFORMULA(C60)))</formula>
    </cfRule>
  </conditionalFormatting>
  <conditionalFormatting sqref="D60">
    <cfRule type="expression" dxfId="314" priority="315" stopIfTrue="1">
      <formula>AND(NOT(ISBLANK(D60)),NOT(_xlfn.ISFORMULA(D60)))</formula>
    </cfRule>
  </conditionalFormatting>
  <conditionalFormatting sqref="G60">
    <cfRule type="expression" dxfId="313" priority="314" stopIfTrue="1">
      <formula>AND(NOT(ISBLANK(G60)),NOT(_xlfn.ISFORMULA(G60)))</formula>
    </cfRule>
  </conditionalFormatting>
  <conditionalFormatting sqref="H60">
    <cfRule type="expression" dxfId="312" priority="313" stopIfTrue="1">
      <formula>AND(NOT(ISBLANK(H60)),NOT(_xlfn.ISFORMULA(H60)))</formula>
    </cfRule>
  </conditionalFormatting>
  <conditionalFormatting sqref="C61">
    <cfRule type="expression" dxfId="311" priority="312" stopIfTrue="1">
      <formula>AND(NOT(ISBLANK(C61)),NOT(_xlfn.ISFORMULA(C61)))</formula>
    </cfRule>
  </conditionalFormatting>
  <conditionalFormatting sqref="D61">
    <cfRule type="expression" dxfId="310" priority="311" stopIfTrue="1">
      <formula>AND(NOT(ISBLANK(D61)),NOT(_xlfn.ISFORMULA(D61)))</formula>
    </cfRule>
  </conditionalFormatting>
  <conditionalFormatting sqref="C62">
    <cfRule type="expression" dxfId="309" priority="310" stopIfTrue="1">
      <formula>AND(NOT(ISBLANK(C62)),NOT(_xlfn.ISFORMULA(C62)))</formula>
    </cfRule>
  </conditionalFormatting>
  <conditionalFormatting sqref="D62">
    <cfRule type="expression" dxfId="308" priority="309" stopIfTrue="1">
      <formula>AND(NOT(ISBLANK(D62)),NOT(_xlfn.ISFORMULA(D62)))</formula>
    </cfRule>
  </conditionalFormatting>
  <conditionalFormatting sqref="C63">
    <cfRule type="expression" dxfId="307" priority="308" stopIfTrue="1">
      <formula>AND(NOT(ISBLANK(C63)),NOT(_xlfn.ISFORMULA(C63)))</formula>
    </cfRule>
  </conditionalFormatting>
  <conditionalFormatting sqref="D63">
    <cfRule type="expression" dxfId="306" priority="307" stopIfTrue="1">
      <formula>AND(NOT(ISBLANK(D63)),NOT(_xlfn.ISFORMULA(D63)))</formula>
    </cfRule>
  </conditionalFormatting>
  <conditionalFormatting sqref="G63">
    <cfRule type="expression" dxfId="305" priority="306" stopIfTrue="1">
      <formula>AND(NOT(ISBLANK(G63)),NOT(_xlfn.ISFORMULA(G63)))</formula>
    </cfRule>
  </conditionalFormatting>
  <conditionalFormatting sqref="H63">
    <cfRule type="expression" dxfId="304" priority="305" stopIfTrue="1">
      <formula>AND(NOT(ISBLANK(H63)),NOT(_xlfn.ISFORMULA(H63)))</formula>
    </cfRule>
  </conditionalFormatting>
  <conditionalFormatting sqref="C64">
    <cfRule type="expression" dxfId="303" priority="304" stopIfTrue="1">
      <formula>AND(NOT(ISBLANK(C64)),NOT(_xlfn.ISFORMULA(C64)))</formula>
    </cfRule>
  </conditionalFormatting>
  <conditionalFormatting sqref="D64">
    <cfRule type="expression" dxfId="302" priority="303" stopIfTrue="1">
      <formula>AND(NOT(ISBLANK(D64)),NOT(_xlfn.ISFORMULA(D64)))</formula>
    </cfRule>
  </conditionalFormatting>
  <conditionalFormatting sqref="G64">
    <cfRule type="expression" dxfId="301" priority="302" stopIfTrue="1">
      <formula>AND(NOT(ISBLANK(G64)),NOT(_xlfn.ISFORMULA(G64)))</formula>
    </cfRule>
  </conditionalFormatting>
  <conditionalFormatting sqref="H64">
    <cfRule type="expression" dxfId="300" priority="301" stopIfTrue="1">
      <formula>AND(NOT(ISBLANK(H64)),NOT(_xlfn.ISFORMULA(H64)))</formula>
    </cfRule>
  </conditionalFormatting>
  <conditionalFormatting sqref="C66">
    <cfRule type="expression" dxfId="299" priority="300" stopIfTrue="1">
      <formula>AND(NOT(ISBLANK(C66)),NOT(_xlfn.ISFORMULA(C66)))</formula>
    </cfRule>
  </conditionalFormatting>
  <conditionalFormatting sqref="D66">
    <cfRule type="expression" dxfId="298" priority="299" stopIfTrue="1">
      <formula>AND(NOT(ISBLANK(D66)),NOT(_xlfn.ISFORMULA(D66)))</formula>
    </cfRule>
  </conditionalFormatting>
  <conditionalFormatting sqref="G66">
    <cfRule type="expression" dxfId="297" priority="298" stopIfTrue="1">
      <formula>AND(NOT(ISBLANK(G66)),NOT(_xlfn.ISFORMULA(G66)))</formula>
    </cfRule>
  </conditionalFormatting>
  <conditionalFormatting sqref="H66">
    <cfRule type="expression" dxfId="296" priority="297" stopIfTrue="1">
      <formula>AND(NOT(ISBLANK(H66)),NOT(_xlfn.ISFORMULA(H66)))</formula>
    </cfRule>
  </conditionalFormatting>
  <conditionalFormatting sqref="C67">
    <cfRule type="expression" dxfId="295" priority="296" stopIfTrue="1">
      <formula>AND(NOT(ISBLANK(C67)),NOT(_xlfn.ISFORMULA(C67)))</formula>
    </cfRule>
  </conditionalFormatting>
  <conditionalFormatting sqref="D67">
    <cfRule type="expression" dxfId="294" priority="295" stopIfTrue="1">
      <formula>AND(NOT(ISBLANK(D67)),NOT(_xlfn.ISFORMULA(D67)))</formula>
    </cfRule>
  </conditionalFormatting>
  <conditionalFormatting sqref="G67">
    <cfRule type="expression" dxfId="293" priority="294" stopIfTrue="1">
      <formula>AND(NOT(ISBLANK(G67)),NOT(_xlfn.ISFORMULA(G67)))</formula>
    </cfRule>
  </conditionalFormatting>
  <conditionalFormatting sqref="H67">
    <cfRule type="expression" dxfId="292" priority="293" stopIfTrue="1">
      <formula>AND(NOT(ISBLANK(H67)),NOT(_xlfn.ISFORMULA(H67)))</formula>
    </cfRule>
  </conditionalFormatting>
  <conditionalFormatting sqref="C68">
    <cfRule type="expression" dxfId="291" priority="292" stopIfTrue="1">
      <formula>AND(NOT(ISBLANK(C68)),NOT(_xlfn.ISFORMULA(C68)))</formula>
    </cfRule>
  </conditionalFormatting>
  <conditionalFormatting sqref="D68">
    <cfRule type="expression" dxfId="290" priority="291" stopIfTrue="1">
      <formula>AND(NOT(ISBLANK(D68)),NOT(_xlfn.ISFORMULA(D68)))</formula>
    </cfRule>
  </conditionalFormatting>
  <conditionalFormatting sqref="G68">
    <cfRule type="expression" dxfId="289" priority="290" stopIfTrue="1">
      <formula>AND(NOT(ISBLANK(G68)),NOT(_xlfn.ISFORMULA(G68)))</formula>
    </cfRule>
  </conditionalFormatting>
  <conditionalFormatting sqref="H68">
    <cfRule type="expression" dxfId="288" priority="289" stopIfTrue="1">
      <formula>AND(NOT(ISBLANK(H68)),NOT(_xlfn.ISFORMULA(H68)))</formula>
    </cfRule>
  </conditionalFormatting>
  <conditionalFormatting sqref="C69">
    <cfRule type="expression" dxfId="287" priority="288" stopIfTrue="1">
      <formula>AND(NOT(ISBLANK(C69)),NOT(_xlfn.ISFORMULA(C69)))</formula>
    </cfRule>
  </conditionalFormatting>
  <conditionalFormatting sqref="D69">
    <cfRule type="expression" dxfId="286" priority="287" stopIfTrue="1">
      <formula>AND(NOT(ISBLANK(D69)),NOT(_xlfn.ISFORMULA(D69)))</formula>
    </cfRule>
  </conditionalFormatting>
  <conditionalFormatting sqref="C70">
    <cfRule type="expression" dxfId="285" priority="286" stopIfTrue="1">
      <formula>AND(NOT(ISBLANK(C70)),NOT(_xlfn.ISFORMULA(C70)))</formula>
    </cfRule>
  </conditionalFormatting>
  <conditionalFormatting sqref="D70">
    <cfRule type="expression" dxfId="284" priority="285" stopIfTrue="1">
      <formula>AND(NOT(ISBLANK(D70)),NOT(_xlfn.ISFORMULA(D70)))</formula>
    </cfRule>
  </conditionalFormatting>
  <conditionalFormatting sqref="C71">
    <cfRule type="expression" dxfId="283" priority="284" stopIfTrue="1">
      <formula>AND(NOT(ISBLANK(C71)),NOT(_xlfn.ISFORMULA(C71)))</formula>
    </cfRule>
  </conditionalFormatting>
  <conditionalFormatting sqref="D71">
    <cfRule type="expression" dxfId="282" priority="283" stopIfTrue="1">
      <formula>AND(NOT(ISBLANK(D71)),NOT(_xlfn.ISFORMULA(D71)))</formula>
    </cfRule>
  </conditionalFormatting>
  <conditionalFormatting sqref="G71">
    <cfRule type="expression" dxfId="281" priority="282" stopIfTrue="1">
      <formula>AND(NOT(ISBLANK(G71)),NOT(_xlfn.ISFORMULA(G71)))</formula>
    </cfRule>
  </conditionalFormatting>
  <conditionalFormatting sqref="H71">
    <cfRule type="expression" dxfId="280" priority="281" stopIfTrue="1">
      <formula>AND(NOT(ISBLANK(H71)),NOT(_xlfn.ISFORMULA(H71)))</formula>
    </cfRule>
  </conditionalFormatting>
  <conditionalFormatting sqref="C73">
    <cfRule type="expression" dxfId="279" priority="280" stopIfTrue="1">
      <formula>AND(NOT(ISBLANK(C73)),NOT(_xlfn.ISFORMULA(C73)))</formula>
    </cfRule>
  </conditionalFormatting>
  <conditionalFormatting sqref="D73">
    <cfRule type="expression" dxfId="278" priority="279" stopIfTrue="1">
      <formula>AND(NOT(ISBLANK(D73)),NOT(_xlfn.ISFORMULA(D73)))</formula>
    </cfRule>
  </conditionalFormatting>
  <conditionalFormatting sqref="G73">
    <cfRule type="expression" dxfId="277" priority="278" stopIfTrue="1">
      <formula>AND(NOT(ISBLANK(G73)),NOT(_xlfn.ISFORMULA(G73)))</formula>
    </cfRule>
  </conditionalFormatting>
  <conditionalFormatting sqref="H73">
    <cfRule type="expression" dxfId="276" priority="277" stopIfTrue="1">
      <formula>AND(NOT(ISBLANK(H73)),NOT(_xlfn.ISFORMULA(H73)))</formula>
    </cfRule>
  </conditionalFormatting>
  <conditionalFormatting sqref="C74">
    <cfRule type="expression" dxfId="275" priority="276" stopIfTrue="1">
      <formula>AND(NOT(ISBLANK(C74)),NOT(_xlfn.ISFORMULA(C74)))</formula>
    </cfRule>
  </conditionalFormatting>
  <conditionalFormatting sqref="D74">
    <cfRule type="expression" dxfId="274" priority="275" stopIfTrue="1">
      <formula>AND(NOT(ISBLANK(D74)),NOT(_xlfn.ISFORMULA(D74)))</formula>
    </cfRule>
  </conditionalFormatting>
  <conditionalFormatting sqref="G74">
    <cfRule type="expression" dxfId="273" priority="274" stopIfTrue="1">
      <formula>AND(NOT(ISBLANK(G74)),NOT(_xlfn.ISFORMULA(G74)))</formula>
    </cfRule>
  </conditionalFormatting>
  <conditionalFormatting sqref="H74">
    <cfRule type="expression" dxfId="272" priority="273" stopIfTrue="1">
      <formula>AND(NOT(ISBLANK(H74)),NOT(_xlfn.ISFORMULA(H74)))</formula>
    </cfRule>
  </conditionalFormatting>
  <conditionalFormatting sqref="C75">
    <cfRule type="expression" dxfId="271" priority="272" stopIfTrue="1">
      <formula>AND(NOT(ISBLANK(C75)),NOT(_xlfn.ISFORMULA(C75)))</formula>
    </cfRule>
  </conditionalFormatting>
  <conditionalFormatting sqref="D75">
    <cfRule type="expression" dxfId="270" priority="271" stopIfTrue="1">
      <formula>AND(NOT(ISBLANK(D75)),NOT(_xlfn.ISFORMULA(D75)))</formula>
    </cfRule>
  </conditionalFormatting>
  <conditionalFormatting sqref="G75">
    <cfRule type="expression" dxfId="269" priority="270" stopIfTrue="1">
      <formula>AND(NOT(ISBLANK(G75)),NOT(_xlfn.ISFORMULA(G75)))</formula>
    </cfRule>
  </conditionalFormatting>
  <conditionalFormatting sqref="H75">
    <cfRule type="expression" dxfId="268" priority="269" stopIfTrue="1">
      <formula>AND(NOT(ISBLANK(H75)),NOT(_xlfn.ISFORMULA(H75)))</formula>
    </cfRule>
  </conditionalFormatting>
  <conditionalFormatting sqref="C76">
    <cfRule type="expression" dxfId="267" priority="268" stopIfTrue="1">
      <formula>AND(NOT(ISBLANK(C76)),NOT(_xlfn.ISFORMULA(C76)))</formula>
    </cfRule>
  </conditionalFormatting>
  <conditionalFormatting sqref="D76">
    <cfRule type="expression" dxfId="266" priority="267" stopIfTrue="1">
      <formula>AND(NOT(ISBLANK(D76)),NOT(_xlfn.ISFORMULA(D76)))</formula>
    </cfRule>
  </conditionalFormatting>
  <conditionalFormatting sqref="C77">
    <cfRule type="expression" dxfId="265" priority="266" stopIfTrue="1">
      <formula>AND(NOT(ISBLANK(C77)),NOT(_xlfn.ISFORMULA(C77)))</formula>
    </cfRule>
  </conditionalFormatting>
  <conditionalFormatting sqref="D77">
    <cfRule type="expression" dxfId="264" priority="265" stopIfTrue="1">
      <formula>AND(NOT(ISBLANK(D77)),NOT(_xlfn.ISFORMULA(D77)))</formula>
    </cfRule>
  </conditionalFormatting>
  <conditionalFormatting sqref="C79">
    <cfRule type="expression" dxfId="263" priority="264" stopIfTrue="1">
      <formula>AND(NOT(ISBLANK(C79)),NOT(_xlfn.ISFORMULA(C79)))</formula>
    </cfRule>
  </conditionalFormatting>
  <conditionalFormatting sqref="D79">
    <cfRule type="expression" dxfId="262" priority="263" stopIfTrue="1">
      <formula>AND(NOT(ISBLANK(D79)),NOT(_xlfn.ISFORMULA(D79)))</formula>
    </cfRule>
  </conditionalFormatting>
  <conditionalFormatting sqref="G79">
    <cfRule type="expression" dxfId="261" priority="262" stopIfTrue="1">
      <formula>AND(NOT(ISBLANK(G79)),NOT(_xlfn.ISFORMULA(G79)))</formula>
    </cfRule>
  </conditionalFormatting>
  <conditionalFormatting sqref="H79">
    <cfRule type="expression" dxfId="260" priority="261" stopIfTrue="1">
      <formula>AND(NOT(ISBLANK(H79)),NOT(_xlfn.ISFORMULA(H79)))</formula>
    </cfRule>
  </conditionalFormatting>
  <conditionalFormatting sqref="C80">
    <cfRule type="expression" dxfId="259" priority="260" stopIfTrue="1">
      <formula>AND(NOT(ISBLANK(C80)),NOT(_xlfn.ISFORMULA(C80)))</formula>
    </cfRule>
  </conditionalFormatting>
  <conditionalFormatting sqref="D80">
    <cfRule type="expression" dxfId="258" priority="259" stopIfTrue="1">
      <formula>AND(NOT(ISBLANK(D80)),NOT(_xlfn.ISFORMULA(D80)))</formula>
    </cfRule>
  </conditionalFormatting>
  <conditionalFormatting sqref="G80">
    <cfRule type="expression" dxfId="257" priority="258" stopIfTrue="1">
      <formula>AND(NOT(ISBLANK(G80)),NOT(_xlfn.ISFORMULA(G80)))</formula>
    </cfRule>
  </conditionalFormatting>
  <conditionalFormatting sqref="H80">
    <cfRule type="expression" dxfId="256" priority="257" stopIfTrue="1">
      <formula>AND(NOT(ISBLANK(H80)),NOT(_xlfn.ISFORMULA(H80)))</formula>
    </cfRule>
  </conditionalFormatting>
  <conditionalFormatting sqref="C81">
    <cfRule type="expression" dxfId="255" priority="256" stopIfTrue="1">
      <formula>AND(NOT(ISBLANK(C81)),NOT(_xlfn.ISFORMULA(C81)))</formula>
    </cfRule>
  </conditionalFormatting>
  <conditionalFormatting sqref="D81">
    <cfRule type="expression" dxfId="254" priority="255" stopIfTrue="1">
      <formula>AND(NOT(ISBLANK(D81)),NOT(_xlfn.ISFORMULA(D81)))</formula>
    </cfRule>
  </conditionalFormatting>
  <conditionalFormatting sqref="G81">
    <cfRule type="expression" dxfId="253" priority="254" stopIfTrue="1">
      <formula>AND(NOT(ISBLANK(G81)),NOT(_xlfn.ISFORMULA(G81)))</formula>
    </cfRule>
  </conditionalFormatting>
  <conditionalFormatting sqref="H81">
    <cfRule type="expression" dxfId="252" priority="253" stopIfTrue="1">
      <formula>AND(NOT(ISBLANK(H81)),NOT(_xlfn.ISFORMULA(H81)))</formula>
    </cfRule>
  </conditionalFormatting>
  <conditionalFormatting sqref="C82">
    <cfRule type="expression" dxfId="251" priority="252" stopIfTrue="1">
      <formula>AND(NOT(ISBLANK(C82)),NOT(_xlfn.ISFORMULA(C82)))</formula>
    </cfRule>
  </conditionalFormatting>
  <conditionalFormatting sqref="D82">
    <cfRule type="expression" dxfId="250" priority="251" stopIfTrue="1">
      <formula>AND(NOT(ISBLANK(D82)),NOT(_xlfn.ISFORMULA(D82)))</formula>
    </cfRule>
  </conditionalFormatting>
  <conditionalFormatting sqref="G82">
    <cfRule type="expression" dxfId="249" priority="250" stopIfTrue="1">
      <formula>AND(NOT(ISBLANK(G82)),NOT(_xlfn.ISFORMULA(G82)))</formula>
    </cfRule>
  </conditionalFormatting>
  <conditionalFormatting sqref="H82">
    <cfRule type="expression" dxfId="248" priority="249" stopIfTrue="1">
      <formula>AND(NOT(ISBLANK(H82)),NOT(_xlfn.ISFORMULA(H82)))</formula>
    </cfRule>
  </conditionalFormatting>
  <conditionalFormatting sqref="C83">
    <cfRule type="expression" dxfId="247" priority="248" stopIfTrue="1">
      <formula>AND(NOT(ISBLANK(C83)),NOT(_xlfn.ISFORMULA(C83)))</formula>
    </cfRule>
  </conditionalFormatting>
  <conditionalFormatting sqref="D83">
    <cfRule type="expression" dxfId="246" priority="247" stopIfTrue="1">
      <formula>AND(NOT(ISBLANK(D83)),NOT(_xlfn.ISFORMULA(D83)))</formula>
    </cfRule>
  </conditionalFormatting>
  <conditionalFormatting sqref="G83">
    <cfRule type="expression" dxfId="245" priority="246" stopIfTrue="1">
      <formula>AND(NOT(ISBLANK(G83)),NOT(_xlfn.ISFORMULA(G83)))</formula>
    </cfRule>
  </conditionalFormatting>
  <conditionalFormatting sqref="H83">
    <cfRule type="expression" dxfId="244" priority="245" stopIfTrue="1">
      <formula>AND(NOT(ISBLANK(H83)),NOT(_xlfn.ISFORMULA(H83)))</formula>
    </cfRule>
  </conditionalFormatting>
  <conditionalFormatting sqref="C84">
    <cfRule type="expression" dxfId="243" priority="244" stopIfTrue="1">
      <formula>AND(NOT(ISBLANK(C84)),NOT(_xlfn.ISFORMULA(C84)))</formula>
    </cfRule>
  </conditionalFormatting>
  <conditionalFormatting sqref="D84">
    <cfRule type="expression" dxfId="242" priority="243" stopIfTrue="1">
      <formula>AND(NOT(ISBLANK(D84)),NOT(_xlfn.ISFORMULA(D84)))</formula>
    </cfRule>
  </conditionalFormatting>
  <conditionalFormatting sqref="C85">
    <cfRule type="expression" dxfId="241" priority="242" stopIfTrue="1">
      <formula>AND(NOT(ISBLANK(C85)),NOT(_xlfn.ISFORMULA(C85)))</formula>
    </cfRule>
  </conditionalFormatting>
  <conditionalFormatting sqref="D85">
    <cfRule type="expression" dxfId="240" priority="241" stopIfTrue="1">
      <formula>AND(NOT(ISBLANK(D85)),NOT(_xlfn.ISFORMULA(D85)))</formula>
    </cfRule>
  </conditionalFormatting>
  <conditionalFormatting sqref="G85">
    <cfRule type="expression" dxfId="239" priority="240" stopIfTrue="1">
      <formula>AND(NOT(ISBLANK(G85)),NOT(_xlfn.ISFORMULA(G85)))</formula>
    </cfRule>
  </conditionalFormatting>
  <conditionalFormatting sqref="H85">
    <cfRule type="expression" dxfId="238" priority="239" stopIfTrue="1">
      <formula>AND(NOT(ISBLANK(H85)),NOT(_xlfn.ISFORMULA(H85)))</formula>
    </cfRule>
  </conditionalFormatting>
  <conditionalFormatting sqref="C86">
    <cfRule type="expression" dxfId="237" priority="238" stopIfTrue="1">
      <formula>AND(NOT(ISBLANK(C86)),NOT(_xlfn.ISFORMULA(C86)))</formula>
    </cfRule>
  </conditionalFormatting>
  <conditionalFormatting sqref="D86">
    <cfRule type="expression" dxfId="236" priority="237" stopIfTrue="1">
      <formula>AND(NOT(ISBLANK(D86)),NOT(_xlfn.ISFORMULA(D86)))</formula>
    </cfRule>
  </conditionalFormatting>
  <conditionalFormatting sqref="C87">
    <cfRule type="expression" dxfId="235" priority="236" stopIfTrue="1">
      <formula>AND(NOT(ISBLANK(C87)),NOT(_xlfn.ISFORMULA(C87)))</formula>
    </cfRule>
  </conditionalFormatting>
  <conditionalFormatting sqref="D87">
    <cfRule type="expression" dxfId="234" priority="235" stopIfTrue="1">
      <formula>AND(NOT(ISBLANK(D87)),NOT(_xlfn.ISFORMULA(D87)))</formula>
    </cfRule>
  </conditionalFormatting>
  <conditionalFormatting sqref="G87">
    <cfRule type="expression" dxfId="233" priority="234" stopIfTrue="1">
      <formula>AND(NOT(ISBLANK(G87)),NOT(_xlfn.ISFORMULA(G87)))</formula>
    </cfRule>
  </conditionalFormatting>
  <conditionalFormatting sqref="H87">
    <cfRule type="expression" dxfId="232" priority="233" stopIfTrue="1">
      <formula>AND(NOT(ISBLANK(H87)),NOT(_xlfn.ISFORMULA(H87)))</formula>
    </cfRule>
  </conditionalFormatting>
  <conditionalFormatting sqref="C90">
    <cfRule type="expression" dxfId="231" priority="232" stopIfTrue="1">
      <formula>AND(NOT(ISBLANK(C90)),NOT(_xlfn.ISFORMULA(C90)))</formula>
    </cfRule>
  </conditionalFormatting>
  <conditionalFormatting sqref="D90">
    <cfRule type="expression" dxfId="230" priority="231" stopIfTrue="1">
      <formula>AND(NOT(ISBLANK(D90)),NOT(_xlfn.ISFORMULA(D90)))</formula>
    </cfRule>
  </conditionalFormatting>
  <conditionalFormatting sqref="G90">
    <cfRule type="expression" dxfId="229" priority="230" stopIfTrue="1">
      <formula>AND(NOT(ISBLANK(G90)),NOT(_xlfn.ISFORMULA(G90)))</formula>
    </cfRule>
  </conditionalFormatting>
  <conditionalFormatting sqref="H90">
    <cfRule type="expression" dxfId="228" priority="229" stopIfTrue="1">
      <formula>AND(NOT(ISBLANK(H90)),NOT(_xlfn.ISFORMULA(H90)))</formula>
    </cfRule>
  </conditionalFormatting>
  <conditionalFormatting sqref="C91">
    <cfRule type="expression" dxfId="227" priority="228" stopIfTrue="1">
      <formula>AND(NOT(ISBLANK(C91)),NOT(_xlfn.ISFORMULA(C91)))</formula>
    </cfRule>
  </conditionalFormatting>
  <conditionalFormatting sqref="D91">
    <cfRule type="expression" dxfId="226" priority="227" stopIfTrue="1">
      <formula>AND(NOT(ISBLANK(D91)),NOT(_xlfn.ISFORMULA(D91)))</formula>
    </cfRule>
  </conditionalFormatting>
  <conditionalFormatting sqref="G91">
    <cfRule type="expression" dxfId="225" priority="226" stopIfTrue="1">
      <formula>AND(NOT(ISBLANK(G91)),NOT(_xlfn.ISFORMULA(G91)))</formula>
    </cfRule>
  </conditionalFormatting>
  <conditionalFormatting sqref="H91">
    <cfRule type="expression" dxfId="224" priority="225" stopIfTrue="1">
      <formula>AND(NOT(ISBLANK(H91)),NOT(_xlfn.ISFORMULA(H91)))</formula>
    </cfRule>
  </conditionalFormatting>
  <conditionalFormatting sqref="C92">
    <cfRule type="expression" dxfId="223" priority="224" stopIfTrue="1">
      <formula>AND(NOT(ISBLANK(C92)),NOT(_xlfn.ISFORMULA(C92)))</formula>
    </cfRule>
  </conditionalFormatting>
  <conditionalFormatting sqref="D92">
    <cfRule type="expression" dxfId="222" priority="223" stopIfTrue="1">
      <formula>AND(NOT(ISBLANK(D92)),NOT(_xlfn.ISFORMULA(D92)))</formula>
    </cfRule>
  </conditionalFormatting>
  <conditionalFormatting sqref="G92">
    <cfRule type="expression" dxfId="221" priority="222" stopIfTrue="1">
      <formula>AND(NOT(ISBLANK(G92)),NOT(_xlfn.ISFORMULA(G92)))</formula>
    </cfRule>
  </conditionalFormatting>
  <conditionalFormatting sqref="H92">
    <cfRule type="expression" dxfId="220" priority="221" stopIfTrue="1">
      <formula>AND(NOT(ISBLANK(H92)),NOT(_xlfn.ISFORMULA(H92)))</formula>
    </cfRule>
  </conditionalFormatting>
  <conditionalFormatting sqref="C93">
    <cfRule type="expression" dxfId="219" priority="220" stopIfTrue="1">
      <formula>AND(NOT(ISBLANK(C93)),NOT(_xlfn.ISFORMULA(C93)))</formula>
    </cfRule>
  </conditionalFormatting>
  <conditionalFormatting sqref="D93">
    <cfRule type="expression" dxfId="218" priority="219" stopIfTrue="1">
      <formula>AND(NOT(ISBLANK(D93)),NOT(_xlfn.ISFORMULA(D93)))</formula>
    </cfRule>
  </conditionalFormatting>
  <conditionalFormatting sqref="C94">
    <cfRule type="expression" dxfId="217" priority="218" stopIfTrue="1">
      <formula>AND(NOT(ISBLANK(C94)),NOT(_xlfn.ISFORMULA(C94)))</formula>
    </cfRule>
  </conditionalFormatting>
  <conditionalFormatting sqref="D94">
    <cfRule type="expression" dxfId="216" priority="217" stopIfTrue="1">
      <formula>AND(NOT(ISBLANK(D94)),NOT(_xlfn.ISFORMULA(D94)))</formula>
    </cfRule>
  </conditionalFormatting>
  <conditionalFormatting sqref="C95">
    <cfRule type="expression" dxfId="215" priority="216" stopIfTrue="1">
      <formula>AND(NOT(ISBLANK(C95)),NOT(_xlfn.ISFORMULA(C95)))</formula>
    </cfRule>
  </conditionalFormatting>
  <conditionalFormatting sqref="D95">
    <cfRule type="expression" dxfId="214" priority="215" stopIfTrue="1">
      <formula>AND(NOT(ISBLANK(D95)),NOT(_xlfn.ISFORMULA(D95)))</formula>
    </cfRule>
  </conditionalFormatting>
  <conditionalFormatting sqref="G95">
    <cfRule type="expression" dxfId="213" priority="214" stopIfTrue="1">
      <formula>AND(NOT(ISBLANK(G95)),NOT(_xlfn.ISFORMULA(G95)))</formula>
    </cfRule>
  </conditionalFormatting>
  <conditionalFormatting sqref="H95">
    <cfRule type="expression" dxfId="212" priority="213" stopIfTrue="1">
      <formula>AND(NOT(ISBLANK(H95)),NOT(_xlfn.ISFORMULA(H95)))</formula>
    </cfRule>
  </conditionalFormatting>
  <conditionalFormatting sqref="C96">
    <cfRule type="expression" dxfId="211" priority="212" stopIfTrue="1">
      <formula>AND(NOT(ISBLANK(C96)),NOT(_xlfn.ISFORMULA(C96)))</formula>
    </cfRule>
  </conditionalFormatting>
  <conditionalFormatting sqref="D96">
    <cfRule type="expression" dxfId="210" priority="211" stopIfTrue="1">
      <formula>AND(NOT(ISBLANK(D96)),NOT(_xlfn.ISFORMULA(D96)))</formula>
    </cfRule>
  </conditionalFormatting>
  <conditionalFormatting sqref="G96">
    <cfRule type="expression" dxfId="209" priority="210" stopIfTrue="1">
      <formula>AND(NOT(ISBLANK(G96)),NOT(_xlfn.ISFORMULA(G96)))</formula>
    </cfRule>
  </conditionalFormatting>
  <conditionalFormatting sqref="H96">
    <cfRule type="expression" dxfId="208" priority="209" stopIfTrue="1">
      <formula>AND(NOT(ISBLANK(H96)),NOT(_xlfn.ISFORMULA(H96)))</formula>
    </cfRule>
  </conditionalFormatting>
  <conditionalFormatting sqref="C97">
    <cfRule type="expression" dxfId="207" priority="208" stopIfTrue="1">
      <formula>AND(NOT(ISBLANK(C97)),NOT(_xlfn.ISFORMULA(C97)))</formula>
    </cfRule>
  </conditionalFormatting>
  <conditionalFormatting sqref="D97">
    <cfRule type="expression" dxfId="206" priority="207" stopIfTrue="1">
      <formula>AND(NOT(ISBLANK(D97)),NOT(_xlfn.ISFORMULA(D97)))</formula>
    </cfRule>
  </conditionalFormatting>
  <conditionalFormatting sqref="G97">
    <cfRule type="expression" dxfId="205" priority="206" stopIfTrue="1">
      <formula>AND(NOT(ISBLANK(G97)),NOT(_xlfn.ISFORMULA(G97)))</formula>
    </cfRule>
  </conditionalFormatting>
  <conditionalFormatting sqref="H97">
    <cfRule type="expression" dxfId="204" priority="205" stopIfTrue="1">
      <formula>AND(NOT(ISBLANK(H97)),NOT(_xlfn.ISFORMULA(H97)))</formula>
    </cfRule>
  </conditionalFormatting>
  <conditionalFormatting sqref="C98">
    <cfRule type="expression" dxfId="203" priority="204" stopIfTrue="1">
      <formula>AND(NOT(ISBLANK(C98)),NOT(_xlfn.ISFORMULA(C98)))</formula>
    </cfRule>
  </conditionalFormatting>
  <conditionalFormatting sqref="D98">
    <cfRule type="expression" dxfId="202" priority="203" stopIfTrue="1">
      <formula>AND(NOT(ISBLANK(D98)),NOT(_xlfn.ISFORMULA(D98)))</formula>
    </cfRule>
  </conditionalFormatting>
  <conditionalFormatting sqref="C99">
    <cfRule type="expression" dxfId="201" priority="202" stopIfTrue="1">
      <formula>AND(NOT(ISBLANK(C99)),NOT(_xlfn.ISFORMULA(C99)))</formula>
    </cfRule>
  </conditionalFormatting>
  <conditionalFormatting sqref="D99">
    <cfRule type="expression" dxfId="200" priority="201" stopIfTrue="1">
      <formula>AND(NOT(ISBLANK(D99)),NOT(_xlfn.ISFORMULA(D99)))</formula>
    </cfRule>
  </conditionalFormatting>
  <conditionalFormatting sqref="G99">
    <cfRule type="expression" dxfId="199" priority="200" stopIfTrue="1">
      <formula>AND(NOT(ISBLANK(G99)),NOT(_xlfn.ISFORMULA(G99)))</formula>
    </cfRule>
  </conditionalFormatting>
  <conditionalFormatting sqref="H99">
    <cfRule type="expression" dxfId="198" priority="199" stopIfTrue="1">
      <formula>AND(NOT(ISBLANK(H99)),NOT(_xlfn.ISFORMULA(H99)))</formula>
    </cfRule>
  </conditionalFormatting>
  <conditionalFormatting sqref="C101">
    <cfRule type="expression" dxfId="197" priority="198" stopIfTrue="1">
      <formula>AND(NOT(ISBLANK(C101)),NOT(_xlfn.ISFORMULA(C101)))</formula>
    </cfRule>
  </conditionalFormatting>
  <conditionalFormatting sqref="D101">
    <cfRule type="expression" dxfId="196" priority="197" stopIfTrue="1">
      <formula>AND(NOT(ISBLANK(D101)),NOT(_xlfn.ISFORMULA(D101)))</formula>
    </cfRule>
  </conditionalFormatting>
  <conditionalFormatting sqref="C102">
    <cfRule type="expression" dxfId="195" priority="196" stopIfTrue="1">
      <formula>AND(NOT(ISBLANK(C102)),NOT(_xlfn.ISFORMULA(C102)))</formula>
    </cfRule>
  </conditionalFormatting>
  <conditionalFormatting sqref="D102">
    <cfRule type="expression" dxfId="194" priority="195" stopIfTrue="1">
      <formula>AND(NOT(ISBLANK(D102)),NOT(_xlfn.ISFORMULA(D102)))</formula>
    </cfRule>
  </conditionalFormatting>
  <conditionalFormatting sqref="G102">
    <cfRule type="expression" dxfId="193" priority="194" stopIfTrue="1">
      <formula>AND(NOT(ISBLANK(G102)),NOT(_xlfn.ISFORMULA(G102)))</formula>
    </cfRule>
  </conditionalFormatting>
  <conditionalFormatting sqref="H102">
    <cfRule type="expression" dxfId="192" priority="193" stopIfTrue="1">
      <formula>AND(NOT(ISBLANK(H102)),NOT(_xlfn.ISFORMULA(H102)))</formula>
    </cfRule>
  </conditionalFormatting>
  <conditionalFormatting sqref="C103">
    <cfRule type="expression" dxfId="191" priority="192" stopIfTrue="1">
      <formula>AND(NOT(ISBLANK(C103)),NOT(_xlfn.ISFORMULA(C103)))</formula>
    </cfRule>
  </conditionalFormatting>
  <conditionalFormatting sqref="D103">
    <cfRule type="expression" dxfId="190" priority="191" stopIfTrue="1">
      <formula>AND(NOT(ISBLANK(D103)),NOT(_xlfn.ISFORMULA(D103)))</formula>
    </cfRule>
  </conditionalFormatting>
  <conditionalFormatting sqref="C104">
    <cfRule type="expression" dxfId="189" priority="190" stopIfTrue="1">
      <formula>AND(NOT(ISBLANK(C104)),NOT(_xlfn.ISFORMULA(C104)))</formula>
    </cfRule>
  </conditionalFormatting>
  <conditionalFormatting sqref="D104">
    <cfRule type="expression" dxfId="188" priority="189" stopIfTrue="1">
      <formula>AND(NOT(ISBLANK(D104)),NOT(_xlfn.ISFORMULA(D104)))</formula>
    </cfRule>
  </conditionalFormatting>
  <conditionalFormatting sqref="G104">
    <cfRule type="expression" dxfId="187" priority="188" stopIfTrue="1">
      <formula>AND(NOT(ISBLANK(G104)),NOT(_xlfn.ISFORMULA(G104)))</formula>
    </cfRule>
  </conditionalFormatting>
  <conditionalFormatting sqref="H104">
    <cfRule type="expression" dxfId="186" priority="187" stopIfTrue="1">
      <formula>AND(NOT(ISBLANK(H104)),NOT(_xlfn.ISFORMULA(H104)))</formula>
    </cfRule>
  </conditionalFormatting>
  <conditionalFormatting sqref="C105">
    <cfRule type="expression" dxfId="185" priority="186" stopIfTrue="1">
      <formula>AND(NOT(ISBLANK(C105)),NOT(_xlfn.ISFORMULA(C105)))</formula>
    </cfRule>
  </conditionalFormatting>
  <conditionalFormatting sqref="D105">
    <cfRule type="expression" dxfId="184" priority="185" stopIfTrue="1">
      <formula>AND(NOT(ISBLANK(D105)),NOT(_xlfn.ISFORMULA(D105)))</formula>
    </cfRule>
  </conditionalFormatting>
  <conditionalFormatting sqref="G105">
    <cfRule type="expression" dxfId="183" priority="184" stopIfTrue="1">
      <formula>AND(NOT(ISBLANK(G105)),NOT(_xlfn.ISFORMULA(G105)))</formula>
    </cfRule>
  </conditionalFormatting>
  <conditionalFormatting sqref="H105">
    <cfRule type="expression" dxfId="182" priority="183" stopIfTrue="1">
      <formula>AND(NOT(ISBLANK(H105)),NOT(_xlfn.ISFORMULA(H105)))</formula>
    </cfRule>
  </conditionalFormatting>
  <conditionalFormatting sqref="C106">
    <cfRule type="expression" dxfId="181" priority="182" stopIfTrue="1">
      <formula>AND(NOT(ISBLANK(C106)),NOT(_xlfn.ISFORMULA(C106)))</formula>
    </cfRule>
  </conditionalFormatting>
  <conditionalFormatting sqref="D106">
    <cfRule type="expression" dxfId="180" priority="181" stopIfTrue="1">
      <formula>AND(NOT(ISBLANK(D106)),NOT(_xlfn.ISFORMULA(D106)))</formula>
    </cfRule>
  </conditionalFormatting>
  <conditionalFormatting sqref="G106">
    <cfRule type="expression" dxfId="179" priority="180" stopIfTrue="1">
      <formula>AND(NOT(ISBLANK(G106)),NOT(_xlfn.ISFORMULA(G106)))</formula>
    </cfRule>
  </conditionalFormatting>
  <conditionalFormatting sqref="H106">
    <cfRule type="expression" dxfId="178" priority="179" stopIfTrue="1">
      <formula>AND(NOT(ISBLANK(H106)),NOT(_xlfn.ISFORMULA(H106)))</formula>
    </cfRule>
  </conditionalFormatting>
  <conditionalFormatting sqref="C107">
    <cfRule type="expression" dxfId="177" priority="178" stopIfTrue="1">
      <formula>AND(NOT(ISBLANK(C107)),NOT(_xlfn.ISFORMULA(C107)))</formula>
    </cfRule>
  </conditionalFormatting>
  <conditionalFormatting sqref="D107">
    <cfRule type="expression" dxfId="176" priority="177" stopIfTrue="1">
      <formula>AND(NOT(ISBLANK(D107)),NOT(_xlfn.ISFORMULA(D107)))</formula>
    </cfRule>
  </conditionalFormatting>
  <conditionalFormatting sqref="G107">
    <cfRule type="expression" dxfId="175" priority="176" stopIfTrue="1">
      <formula>AND(NOT(ISBLANK(G107)),NOT(_xlfn.ISFORMULA(G107)))</formula>
    </cfRule>
  </conditionalFormatting>
  <conditionalFormatting sqref="H107">
    <cfRule type="expression" dxfId="174" priority="175" stopIfTrue="1">
      <formula>AND(NOT(ISBLANK(H107)),NOT(_xlfn.ISFORMULA(H107)))</formula>
    </cfRule>
  </conditionalFormatting>
  <conditionalFormatting sqref="C108">
    <cfRule type="expression" dxfId="173" priority="174" stopIfTrue="1">
      <formula>AND(NOT(ISBLANK(C108)),NOT(_xlfn.ISFORMULA(C108)))</formula>
    </cfRule>
  </conditionalFormatting>
  <conditionalFormatting sqref="D108">
    <cfRule type="expression" dxfId="172" priority="173" stopIfTrue="1">
      <formula>AND(NOT(ISBLANK(D108)),NOT(_xlfn.ISFORMULA(D108)))</formula>
    </cfRule>
  </conditionalFormatting>
  <conditionalFormatting sqref="G108">
    <cfRule type="expression" dxfId="171" priority="172" stopIfTrue="1">
      <formula>AND(NOT(ISBLANK(G108)),NOT(_xlfn.ISFORMULA(G108)))</formula>
    </cfRule>
  </conditionalFormatting>
  <conditionalFormatting sqref="H108">
    <cfRule type="expression" dxfId="170" priority="171" stopIfTrue="1">
      <formula>AND(NOT(ISBLANK(H108)),NOT(_xlfn.ISFORMULA(H108)))</formula>
    </cfRule>
  </conditionalFormatting>
  <conditionalFormatting sqref="C109">
    <cfRule type="expression" dxfId="169" priority="170" stopIfTrue="1">
      <formula>AND(NOT(ISBLANK(C109)),NOT(_xlfn.ISFORMULA(C109)))</formula>
    </cfRule>
  </conditionalFormatting>
  <conditionalFormatting sqref="D109">
    <cfRule type="expression" dxfId="168" priority="169" stopIfTrue="1">
      <formula>AND(NOT(ISBLANK(D109)),NOT(_xlfn.ISFORMULA(D109)))</formula>
    </cfRule>
  </conditionalFormatting>
  <conditionalFormatting sqref="G109">
    <cfRule type="expression" dxfId="167" priority="168" stopIfTrue="1">
      <formula>AND(NOT(ISBLANK(G109)),NOT(_xlfn.ISFORMULA(G109)))</formula>
    </cfRule>
  </conditionalFormatting>
  <conditionalFormatting sqref="H109">
    <cfRule type="expression" dxfId="166" priority="167" stopIfTrue="1">
      <formula>AND(NOT(ISBLANK(H109)),NOT(_xlfn.ISFORMULA(H109)))</formula>
    </cfRule>
  </conditionalFormatting>
  <conditionalFormatting sqref="C110">
    <cfRule type="expression" dxfId="165" priority="166" stopIfTrue="1">
      <formula>AND(NOT(ISBLANK(C110)),NOT(_xlfn.ISFORMULA(C110)))</formula>
    </cfRule>
  </conditionalFormatting>
  <conditionalFormatting sqref="D110">
    <cfRule type="expression" dxfId="164" priority="165" stopIfTrue="1">
      <formula>AND(NOT(ISBLANK(D110)),NOT(_xlfn.ISFORMULA(D110)))</formula>
    </cfRule>
  </conditionalFormatting>
  <conditionalFormatting sqref="G110">
    <cfRule type="expression" dxfId="163" priority="164" stopIfTrue="1">
      <formula>AND(NOT(ISBLANK(G110)),NOT(_xlfn.ISFORMULA(G110)))</formula>
    </cfRule>
  </conditionalFormatting>
  <conditionalFormatting sqref="H110">
    <cfRule type="expression" dxfId="162" priority="163" stopIfTrue="1">
      <formula>AND(NOT(ISBLANK(H110)),NOT(_xlfn.ISFORMULA(H110)))</formula>
    </cfRule>
  </conditionalFormatting>
  <conditionalFormatting sqref="C111">
    <cfRule type="expression" dxfId="161" priority="162" stopIfTrue="1">
      <formula>AND(NOT(ISBLANK(C111)),NOT(_xlfn.ISFORMULA(C111)))</formula>
    </cfRule>
  </conditionalFormatting>
  <conditionalFormatting sqref="D111">
    <cfRule type="expression" dxfId="160" priority="161" stopIfTrue="1">
      <formula>AND(NOT(ISBLANK(D111)),NOT(_xlfn.ISFORMULA(D111)))</formula>
    </cfRule>
  </conditionalFormatting>
  <conditionalFormatting sqref="G111">
    <cfRule type="expression" dxfId="159" priority="160" stopIfTrue="1">
      <formula>AND(NOT(ISBLANK(G111)),NOT(_xlfn.ISFORMULA(G111)))</formula>
    </cfRule>
  </conditionalFormatting>
  <conditionalFormatting sqref="H111">
    <cfRule type="expression" dxfId="158" priority="159" stopIfTrue="1">
      <formula>AND(NOT(ISBLANK(H111)),NOT(_xlfn.ISFORMULA(H111)))</formula>
    </cfRule>
  </conditionalFormatting>
  <conditionalFormatting sqref="C112">
    <cfRule type="expression" dxfId="157" priority="158" stopIfTrue="1">
      <formula>AND(NOT(ISBLANK(C112)),NOT(_xlfn.ISFORMULA(C112)))</formula>
    </cfRule>
  </conditionalFormatting>
  <conditionalFormatting sqref="D112">
    <cfRule type="expression" dxfId="156" priority="157" stopIfTrue="1">
      <formula>AND(NOT(ISBLANK(D112)),NOT(_xlfn.ISFORMULA(D112)))</formula>
    </cfRule>
  </conditionalFormatting>
  <conditionalFormatting sqref="G112">
    <cfRule type="expression" dxfId="155" priority="156" stopIfTrue="1">
      <formula>AND(NOT(ISBLANK(G112)),NOT(_xlfn.ISFORMULA(G112)))</formula>
    </cfRule>
  </conditionalFormatting>
  <conditionalFormatting sqref="H112">
    <cfRule type="expression" dxfId="154" priority="155" stopIfTrue="1">
      <formula>AND(NOT(ISBLANK(H112)),NOT(_xlfn.ISFORMULA(H112)))</formula>
    </cfRule>
  </conditionalFormatting>
  <conditionalFormatting sqref="G113">
    <cfRule type="expression" dxfId="153" priority="154" stopIfTrue="1">
      <formula>AND(NOT(ISBLANK(G113)),NOT(_xlfn.ISFORMULA(G113)))</formula>
    </cfRule>
  </conditionalFormatting>
  <conditionalFormatting sqref="H113">
    <cfRule type="expression" dxfId="152" priority="153" stopIfTrue="1">
      <formula>AND(NOT(ISBLANK(H113)),NOT(_xlfn.ISFORMULA(H113)))</formula>
    </cfRule>
  </conditionalFormatting>
  <conditionalFormatting sqref="C114">
    <cfRule type="expression" dxfId="151" priority="152" stopIfTrue="1">
      <formula>AND(NOT(ISBLANK(C114)),NOT(_xlfn.ISFORMULA(C114)))</formula>
    </cfRule>
  </conditionalFormatting>
  <conditionalFormatting sqref="D114">
    <cfRule type="expression" dxfId="150" priority="151" stopIfTrue="1">
      <formula>AND(NOT(ISBLANK(D114)),NOT(_xlfn.ISFORMULA(D114)))</formula>
    </cfRule>
  </conditionalFormatting>
  <conditionalFormatting sqref="G114">
    <cfRule type="expression" dxfId="149" priority="150" stopIfTrue="1">
      <formula>AND(NOT(ISBLANK(G114)),NOT(_xlfn.ISFORMULA(G114)))</formula>
    </cfRule>
  </conditionalFormatting>
  <conditionalFormatting sqref="H114">
    <cfRule type="expression" dxfId="148" priority="149" stopIfTrue="1">
      <formula>AND(NOT(ISBLANK(H114)),NOT(_xlfn.ISFORMULA(H114)))</formula>
    </cfRule>
  </conditionalFormatting>
  <conditionalFormatting sqref="C115">
    <cfRule type="expression" dxfId="147" priority="148" stopIfTrue="1">
      <formula>AND(NOT(ISBLANK(C115)),NOT(_xlfn.ISFORMULA(C115)))</formula>
    </cfRule>
  </conditionalFormatting>
  <conditionalFormatting sqref="D115">
    <cfRule type="expression" dxfId="146" priority="147" stopIfTrue="1">
      <formula>AND(NOT(ISBLANK(D115)),NOT(_xlfn.ISFORMULA(D115)))</formula>
    </cfRule>
  </conditionalFormatting>
  <conditionalFormatting sqref="C116">
    <cfRule type="expression" dxfId="145" priority="146" stopIfTrue="1">
      <formula>AND(NOT(ISBLANK(C116)),NOT(_xlfn.ISFORMULA(C116)))</formula>
    </cfRule>
  </conditionalFormatting>
  <conditionalFormatting sqref="D116">
    <cfRule type="expression" dxfId="144" priority="145" stopIfTrue="1">
      <formula>AND(NOT(ISBLANK(D116)),NOT(_xlfn.ISFORMULA(D116)))</formula>
    </cfRule>
  </conditionalFormatting>
  <conditionalFormatting sqref="G116">
    <cfRule type="expression" dxfId="143" priority="144" stopIfTrue="1">
      <formula>AND(NOT(ISBLANK(G116)),NOT(_xlfn.ISFORMULA(G116)))</formula>
    </cfRule>
  </conditionalFormatting>
  <conditionalFormatting sqref="H116">
    <cfRule type="expression" dxfId="142" priority="143" stopIfTrue="1">
      <formula>AND(NOT(ISBLANK(H116)),NOT(_xlfn.ISFORMULA(H116)))</formula>
    </cfRule>
  </conditionalFormatting>
  <conditionalFormatting sqref="C117">
    <cfRule type="expression" dxfId="141" priority="142" stopIfTrue="1">
      <formula>AND(NOT(ISBLANK(C117)),NOT(_xlfn.ISFORMULA(C117)))</formula>
    </cfRule>
  </conditionalFormatting>
  <conditionalFormatting sqref="D117">
    <cfRule type="expression" dxfId="140" priority="141" stopIfTrue="1">
      <formula>AND(NOT(ISBLANK(D117)),NOT(_xlfn.ISFORMULA(D117)))</formula>
    </cfRule>
  </conditionalFormatting>
  <conditionalFormatting sqref="G117">
    <cfRule type="expression" dxfId="139" priority="140" stopIfTrue="1">
      <formula>AND(NOT(ISBLANK(G117)),NOT(_xlfn.ISFORMULA(G117)))</formula>
    </cfRule>
  </conditionalFormatting>
  <conditionalFormatting sqref="H117">
    <cfRule type="expression" dxfId="138" priority="139" stopIfTrue="1">
      <formula>AND(NOT(ISBLANK(H117)),NOT(_xlfn.ISFORMULA(H117)))</formula>
    </cfRule>
  </conditionalFormatting>
  <conditionalFormatting sqref="C118">
    <cfRule type="expression" dxfId="137" priority="138" stopIfTrue="1">
      <formula>AND(NOT(ISBLANK(C118)),NOT(_xlfn.ISFORMULA(C118)))</formula>
    </cfRule>
  </conditionalFormatting>
  <conditionalFormatting sqref="D118">
    <cfRule type="expression" dxfId="136" priority="137" stopIfTrue="1">
      <formula>AND(NOT(ISBLANK(D118)),NOT(_xlfn.ISFORMULA(D118)))</formula>
    </cfRule>
  </conditionalFormatting>
  <conditionalFormatting sqref="C119">
    <cfRule type="expression" dxfId="135" priority="136" stopIfTrue="1">
      <formula>AND(NOT(ISBLANK(C119)),NOT(_xlfn.ISFORMULA(C119)))</formula>
    </cfRule>
  </conditionalFormatting>
  <conditionalFormatting sqref="D119">
    <cfRule type="expression" dxfId="134" priority="135" stopIfTrue="1">
      <formula>AND(NOT(ISBLANK(D119)),NOT(_xlfn.ISFORMULA(D119)))</formula>
    </cfRule>
  </conditionalFormatting>
  <conditionalFormatting sqref="G119">
    <cfRule type="expression" dxfId="133" priority="134" stopIfTrue="1">
      <formula>AND(NOT(ISBLANK(G119)),NOT(_xlfn.ISFORMULA(G119)))</formula>
    </cfRule>
  </conditionalFormatting>
  <conditionalFormatting sqref="H119">
    <cfRule type="expression" dxfId="132" priority="133" stopIfTrue="1">
      <formula>AND(NOT(ISBLANK(H119)),NOT(_xlfn.ISFORMULA(H119)))</formula>
    </cfRule>
  </conditionalFormatting>
  <conditionalFormatting sqref="C120">
    <cfRule type="expression" dxfId="131" priority="132" stopIfTrue="1">
      <formula>AND(NOT(ISBLANK(C120)),NOT(_xlfn.ISFORMULA(C120)))</formula>
    </cfRule>
  </conditionalFormatting>
  <conditionalFormatting sqref="D120">
    <cfRule type="expression" dxfId="130" priority="131" stopIfTrue="1">
      <formula>AND(NOT(ISBLANK(D120)),NOT(_xlfn.ISFORMULA(D120)))</formula>
    </cfRule>
  </conditionalFormatting>
  <conditionalFormatting sqref="G120">
    <cfRule type="expression" dxfId="129" priority="130" stopIfTrue="1">
      <formula>AND(NOT(ISBLANK(G120)),NOT(_xlfn.ISFORMULA(G120)))</formula>
    </cfRule>
  </conditionalFormatting>
  <conditionalFormatting sqref="H120">
    <cfRule type="expression" dxfId="128" priority="129" stopIfTrue="1">
      <formula>AND(NOT(ISBLANK(H120)),NOT(_xlfn.ISFORMULA(H120)))</formula>
    </cfRule>
  </conditionalFormatting>
  <conditionalFormatting sqref="C121">
    <cfRule type="expression" dxfId="127" priority="128" stopIfTrue="1">
      <formula>AND(NOT(ISBLANK(C121)),NOT(_xlfn.ISFORMULA(C121)))</formula>
    </cfRule>
  </conditionalFormatting>
  <conditionalFormatting sqref="D121">
    <cfRule type="expression" dxfId="126" priority="127" stopIfTrue="1">
      <formula>AND(NOT(ISBLANK(D121)),NOT(_xlfn.ISFORMULA(D121)))</formula>
    </cfRule>
  </conditionalFormatting>
  <conditionalFormatting sqref="G121">
    <cfRule type="expression" dxfId="125" priority="126" stopIfTrue="1">
      <formula>AND(NOT(ISBLANK(G121)),NOT(_xlfn.ISFORMULA(G121)))</formula>
    </cfRule>
  </conditionalFormatting>
  <conditionalFormatting sqref="H121">
    <cfRule type="expression" dxfId="124" priority="125" stopIfTrue="1">
      <formula>AND(NOT(ISBLANK(H121)),NOT(_xlfn.ISFORMULA(H121)))</formula>
    </cfRule>
  </conditionalFormatting>
  <conditionalFormatting sqref="C123">
    <cfRule type="expression" dxfId="123" priority="124" stopIfTrue="1">
      <formula>AND(NOT(ISBLANK(C123)),NOT(_xlfn.ISFORMULA(C123)))</formula>
    </cfRule>
  </conditionalFormatting>
  <conditionalFormatting sqref="D123">
    <cfRule type="expression" dxfId="122" priority="123" stopIfTrue="1">
      <formula>AND(NOT(ISBLANK(D123)),NOT(_xlfn.ISFORMULA(D123)))</formula>
    </cfRule>
  </conditionalFormatting>
  <conditionalFormatting sqref="G123">
    <cfRule type="expression" dxfId="121" priority="122" stopIfTrue="1">
      <formula>AND(NOT(ISBLANK(G123)),NOT(_xlfn.ISFORMULA(G123)))</formula>
    </cfRule>
  </conditionalFormatting>
  <conditionalFormatting sqref="H123">
    <cfRule type="expression" dxfId="120" priority="121" stopIfTrue="1">
      <formula>AND(NOT(ISBLANK(H123)),NOT(_xlfn.ISFORMULA(H123)))</formula>
    </cfRule>
  </conditionalFormatting>
  <conditionalFormatting sqref="C124">
    <cfRule type="expression" dxfId="119" priority="120" stopIfTrue="1">
      <formula>AND(NOT(ISBLANK(C124)),NOT(_xlfn.ISFORMULA(C124)))</formula>
    </cfRule>
  </conditionalFormatting>
  <conditionalFormatting sqref="D124">
    <cfRule type="expression" dxfId="118" priority="119" stopIfTrue="1">
      <formula>AND(NOT(ISBLANK(D124)),NOT(_xlfn.ISFORMULA(D124)))</formula>
    </cfRule>
  </conditionalFormatting>
  <conditionalFormatting sqref="G124">
    <cfRule type="expression" dxfId="117" priority="118" stopIfTrue="1">
      <formula>AND(NOT(ISBLANK(G124)),NOT(_xlfn.ISFORMULA(G124)))</formula>
    </cfRule>
  </conditionalFormatting>
  <conditionalFormatting sqref="H124">
    <cfRule type="expression" dxfId="116" priority="117" stopIfTrue="1">
      <formula>AND(NOT(ISBLANK(H124)),NOT(_xlfn.ISFORMULA(H124)))</formula>
    </cfRule>
  </conditionalFormatting>
  <conditionalFormatting sqref="C125">
    <cfRule type="expression" dxfId="115" priority="116" stopIfTrue="1">
      <formula>AND(NOT(ISBLANK(C125)),NOT(_xlfn.ISFORMULA(C125)))</formula>
    </cfRule>
  </conditionalFormatting>
  <conditionalFormatting sqref="D125">
    <cfRule type="expression" dxfId="114" priority="115" stopIfTrue="1">
      <formula>AND(NOT(ISBLANK(D125)),NOT(_xlfn.ISFORMULA(D125)))</formula>
    </cfRule>
  </conditionalFormatting>
  <conditionalFormatting sqref="G125">
    <cfRule type="expression" dxfId="113" priority="114" stopIfTrue="1">
      <formula>AND(NOT(ISBLANK(G125)),NOT(_xlfn.ISFORMULA(G125)))</formula>
    </cfRule>
  </conditionalFormatting>
  <conditionalFormatting sqref="H125">
    <cfRule type="expression" dxfId="112" priority="113" stopIfTrue="1">
      <formula>AND(NOT(ISBLANK(H125)),NOT(_xlfn.ISFORMULA(H125)))</formula>
    </cfRule>
  </conditionalFormatting>
  <conditionalFormatting sqref="C126">
    <cfRule type="expression" dxfId="111" priority="112" stopIfTrue="1">
      <formula>AND(NOT(ISBLANK(C126)),NOT(_xlfn.ISFORMULA(C126)))</formula>
    </cfRule>
  </conditionalFormatting>
  <conditionalFormatting sqref="D126">
    <cfRule type="expression" dxfId="110" priority="111" stopIfTrue="1">
      <formula>AND(NOT(ISBLANK(D126)),NOT(_xlfn.ISFORMULA(D126)))</formula>
    </cfRule>
  </conditionalFormatting>
  <conditionalFormatting sqref="C127">
    <cfRule type="expression" dxfId="109" priority="110" stopIfTrue="1">
      <formula>AND(NOT(ISBLANK(C127)),NOT(_xlfn.ISFORMULA(C127)))</formula>
    </cfRule>
  </conditionalFormatting>
  <conditionalFormatting sqref="D127">
    <cfRule type="expression" dxfId="108" priority="109" stopIfTrue="1">
      <formula>AND(NOT(ISBLANK(D127)),NOT(_xlfn.ISFORMULA(D127)))</formula>
    </cfRule>
  </conditionalFormatting>
  <conditionalFormatting sqref="C128">
    <cfRule type="expression" dxfId="107" priority="108" stopIfTrue="1">
      <formula>AND(NOT(ISBLANK(C128)),NOT(_xlfn.ISFORMULA(C128)))</formula>
    </cfRule>
  </conditionalFormatting>
  <conditionalFormatting sqref="D128">
    <cfRule type="expression" dxfId="106" priority="107" stopIfTrue="1">
      <formula>AND(NOT(ISBLANK(D128)),NOT(_xlfn.ISFORMULA(D128)))</formula>
    </cfRule>
  </conditionalFormatting>
  <conditionalFormatting sqref="C129">
    <cfRule type="expression" dxfId="105" priority="106" stopIfTrue="1">
      <formula>AND(NOT(ISBLANK(C129)),NOT(_xlfn.ISFORMULA(C129)))</formula>
    </cfRule>
  </conditionalFormatting>
  <conditionalFormatting sqref="D129">
    <cfRule type="expression" dxfId="104" priority="105" stopIfTrue="1">
      <formula>AND(NOT(ISBLANK(D129)),NOT(_xlfn.ISFORMULA(D129)))</formula>
    </cfRule>
  </conditionalFormatting>
  <conditionalFormatting sqref="C130">
    <cfRule type="expression" dxfId="103" priority="104" stopIfTrue="1">
      <formula>AND(NOT(ISBLANK(C130)),NOT(_xlfn.ISFORMULA(C130)))</formula>
    </cfRule>
  </conditionalFormatting>
  <conditionalFormatting sqref="D130">
    <cfRule type="expression" dxfId="102" priority="103" stopIfTrue="1">
      <formula>AND(NOT(ISBLANK(D130)),NOT(_xlfn.ISFORMULA(D130)))</formula>
    </cfRule>
  </conditionalFormatting>
  <conditionalFormatting sqref="C131">
    <cfRule type="expression" dxfId="101" priority="102" stopIfTrue="1">
      <formula>AND(NOT(ISBLANK(C131)),NOT(_xlfn.ISFORMULA(C131)))</formula>
    </cfRule>
  </conditionalFormatting>
  <conditionalFormatting sqref="D131">
    <cfRule type="expression" dxfId="100" priority="101" stopIfTrue="1">
      <formula>AND(NOT(ISBLANK(D131)),NOT(_xlfn.ISFORMULA(D131)))</formula>
    </cfRule>
  </conditionalFormatting>
  <conditionalFormatting sqref="G131">
    <cfRule type="expression" dxfId="99" priority="100" stopIfTrue="1">
      <formula>AND(NOT(ISBLANK(G131)),NOT(_xlfn.ISFORMULA(G131)))</formula>
    </cfRule>
  </conditionalFormatting>
  <conditionalFormatting sqref="H131">
    <cfRule type="expression" dxfId="98" priority="99" stopIfTrue="1">
      <formula>AND(NOT(ISBLANK(H131)),NOT(_xlfn.ISFORMULA(H131)))</formula>
    </cfRule>
  </conditionalFormatting>
  <conditionalFormatting sqref="C132">
    <cfRule type="expression" dxfId="97" priority="98" stopIfTrue="1">
      <formula>AND(NOT(ISBLANK(C132)),NOT(_xlfn.ISFORMULA(C132)))</formula>
    </cfRule>
  </conditionalFormatting>
  <conditionalFormatting sqref="D132">
    <cfRule type="expression" dxfId="96" priority="97" stopIfTrue="1">
      <formula>AND(NOT(ISBLANK(D132)),NOT(_xlfn.ISFORMULA(D132)))</formula>
    </cfRule>
  </conditionalFormatting>
  <conditionalFormatting sqref="G132">
    <cfRule type="expression" dxfId="95" priority="96" stopIfTrue="1">
      <formula>AND(NOT(ISBLANK(G132)),NOT(_xlfn.ISFORMULA(G132)))</formula>
    </cfRule>
  </conditionalFormatting>
  <conditionalFormatting sqref="H132">
    <cfRule type="expression" dxfId="94" priority="95" stopIfTrue="1">
      <formula>AND(NOT(ISBLANK(H132)),NOT(_xlfn.ISFORMULA(H132)))</formula>
    </cfRule>
  </conditionalFormatting>
  <conditionalFormatting sqref="C134">
    <cfRule type="expression" dxfId="93" priority="94" stopIfTrue="1">
      <formula>AND(NOT(ISBLANK(C134)),NOT(_xlfn.ISFORMULA(C134)))</formula>
    </cfRule>
  </conditionalFormatting>
  <conditionalFormatting sqref="D134">
    <cfRule type="expression" dxfId="92" priority="93" stopIfTrue="1">
      <formula>AND(NOT(ISBLANK(D134)),NOT(_xlfn.ISFORMULA(D134)))</formula>
    </cfRule>
  </conditionalFormatting>
  <conditionalFormatting sqref="G134">
    <cfRule type="expression" dxfId="91" priority="92" stopIfTrue="1">
      <formula>AND(NOT(ISBLANK(G134)),NOT(_xlfn.ISFORMULA(G134)))</formula>
    </cfRule>
  </conditionalFormatting>
  <conditionalFormatting sqref="H134">
    <cfRule type="expression" dxfId="90" priority="91" stopIfTrue="1">
      <formula>AND(NOT(ISBLANK(H134)),NOT(_xlfn.ISFORMULA(H134)))</formula>
    </cfRule>
  </conditionalFormatting>
  <conditionalFormatting sqref="C135">
    <cfRule type="expression" dxfId="89" priority="90" stopIfTrue="1">
      <formula>AND(NOT(ISBLANK(C135)),NOT(_xlfn.ISFORMULA(C135)))</formula>
    </cfRule>
  </conditionalFormatting>
  <conditionalFormatting sqref="D135">
    <cfRule type="expression" dxfId="88" priority="89" stopIfTrue="1">
      <formula>AND(NOT(ISBLANK(D135)),NOT(_xlfn.ISFORMULA(D135)))</formula>
    </cfRule>
  </conditionalFormatting>
  <conditionalFormatting sqref="G135">
    <cfRule type="expression" dxfId="87" priority="88" stopIfTrue="1">
      <formula>AND(NOT(ISBLANK(G135)),NOT(_xlfn.ISFORMULA(G135)))</formula>
    </cfRule>
  </conditionalFormatting>
  <conditionalFormatting sqref="H135">
    <cfRule type="expression" dxfId="86" priority="87" stopIfTrue="1">
      <formula>AND(NOT(ISBLANK(H135)),NOT(_xlfn.ISFORMULA(H135)))</formula>
    </cfRule>
  </conditionalFormatting>
  <conditionalFormatting sqref="C136">
    <cfRule type="expression" dxfId="85" priority="86" stopIfTrue="1">
      <formula>AND(NOT(ISBLANK(C136)),NOT(_xlfn.ISFORMULA(C136)))</formula>
    </cfRule>
  </conditionalFormatting>
  <conditionalFormatting sqref="D136">
    <cfRule type="expression" dxfId="84" priority="85" stopIfTrue="1">
      <formula>AND(NOT(ISBLANK(D136)),NOT(_xlfn.ISFORMULA(D136)))</formula>
    </cfRule>
  </conditionalFormatting>
  <conditionalFormatting sqref="G136">
    <cfRule type="expression" dxfId="83" priority="84" stopIfTrue="1">
      <formula>AND(NOT(ISBLANK(G136)),NOT(_xlfn.ISFORMULA(G136)))</formula>
    </cfRule>
  </conditionalFormatting>
  <conditionalFormatting sqref="H136">
    <cfRule type="expression" dxfId="82" priority="83" stopIfTrue="1">
      <formula>AND(NOT(ISBLANK(H136)),NOT(_xlfn.ISFORMULA(H136)))</formula>
    </cfRule>
  </conditionalFormatting>
  <conditionalFormatting sqref="C137">
    <cfRule type="expression" dxfId="81" priority="82" stopIfTrue="1">
      <formula>AND(NOT(ISBLANK(C137)),NOT(_xlfn.ISFORMULA(C137)))</formula>
    </cfRule>
  </conditionalFormatting>
  <conditionalFormatting sqref="D137">
    <cfRule type="expression" dxfId="80" priority="81" stopIfTrue="1">
      <formula>AND(NOT(ISBLANK(D137)),NOT(_xlfn.ISFORMULA(D137)))</formula>
    </cfRule>
  </conditionalFormatting>
  <conditionalFormatting sqref="C138">
    <cfRule type="expression" dxfId="79" priority="80" stopIfTrue="1">
      <formula>AND(NOT(ISBLANK(C138)),NOT(_xlfn.ISFORMULA(C138)))</formula>
    </cfRule>
  </conditionalFormatting>
  <conditionalFormatting sqref="D138">
    <cfRule type="expression" dxfId="78" priority="79" stopIfTrue="1">
      <formula>AND(NOT(ISBLANK(D138)),NOT(_xlfn.ISFORMULA(D138)))</formula>
    </cfRule>
  </conditionalFormatting>
  <conditionalFormatting sqref="C139">
    <cfRule type="expression" dxfId="77" priority="78" stopIfTrue="1">
      <formula>AND(NOT(ISBLANK(C139)),NOT(_xlfn.ISFORMULA(C139)))</formula>
    </cfRule>
  </conditionalFormatting>
  <conditionalFormatting sqref="D139">
    <cfRule type="expression" dxfId="76" priority="77" stopIfTrue="1">
      <formula>AND(NOT(ISBLANK(D139)),NOT(_xlfn.ISFORMULA(D139)))</formula>
    </cfRule>
  </conditionalFormatting>
  <conditionalFormatting sqref="C140">
    <cfRule type="expression" dxfId="75" priority="76" stopIfTrue="1">
      <formula>AND(NOT(ISBLANK(C140)),NOT(_xlfn.ISFORMULA(C140)))</formula>
    </cfRule>
  </conditionalFormatting>
  <conditionalFormatting sqref="D140">
    <cfRule type="expression" dxfId="74" priority="75" stopIfTrue="1">
      <formula>AND(NOT(ISBLANK(D140)),NOT(_xlfn.ISFORMULA(D140)))</formula>
    </cfRule>
  </conditionalFormatting>
  <conditionalFormatting sqref="C141">
    <cfRule type="expression" dxfId="73" priority="74" stopIfTrue="1">
      <formula>AND(NOT(ISBLANK(C141)),NOT(_xlfn.ISFORMULA(C141)))</formula>
    </cfRule>
  </conditionalFormatting>
  <conditionalFormatting sqref="D141">
    <cfRule type="expression" dxfId="72" priority="73" stopIfTrue="1">
      <formula>AND(NOT(ISBLANK(D141)),NOT(_xlfn.ISFORMULA(D141)))</formula>
    </cfRule>
  </conditionalFormatting>
  <conditionalFormatting sqref="C142">
    <cfRule type="expression" dxfId="71" priority="72" stopIfTrue="1">
      <formula>AND(NOT(ISBLANK(C142)),NOT(_xlfn.ISFORMULA(C142)))</formula>
    </cfRule>
  </conditionalFormatting>
  <conditionalFormatting sqref="D142">
    <cfRule type="expression" dxfId="70" priority="71" stopIfTrue="1">
      <formula>AND(NOT(ISBLANK(D142)),NOT(_xlfn.ISFORMULA(D142)))</formula>
    </cfRule>
  </conditionalFormatting>
  <conditionalFormatting sqref="C143">
    <cfRule type="expression" dxfId="69" priority="70" stopIfTrue="1">
      <formula>AND(NOT(ISBLANK(C143)),NOT(_xlfn.ISFORMULA(C143)))</formula>
    </cfRule>
  </conditionalFormatting>
  <conditionalFormatting sqref="D143">
    <cfRule type="expression" dxfId="68" priority="69" stopIfTrue="1">
      <formula>AND(NOT(ISBLANK(D143)),NOT(_xlfn.ISFORMULA(D143)))</formula>
    </cfRule>
  </conditionalFormatting>
  <conditionalFormatting sqref="C144">
    <cfRule type="expression" dxfId="67" priority="68" stopIfTrue="1">
      <formula>AND(NOT(ISBLANK(C144)),NOT(_xlfn.ISFORMULA(C144)))</formula>
    </cfRule>
  </conditionalFormatting>
  <conditionalFormatting sqref="D144">
    <cfRule type="expression" dxfId="66" priority="67" stopIfTrue="1">
      <formula>AND(NOT(ISBLANK(D144)),NOT(_xlfn.ISFORMULA(D144)))</formula>
    </cfRule>
  </conditionalFormatting>
  <conditionalFormatting sqref="C145">
    <cfRule type="expression" dxfId="65" priority="66" stopIfTrue="1">
      <formula>AND(NOT(ISBLANK(C145)),NOT(_xlfn.ISFORMULA(C145)))</formula>
    </cfRule>
  </conditionalFormatting>
  <conditionalFormatting sqref="D145">
    <cfRule type="expression" dxfId="64" priority="65" stopIfTrue="1">
      <formula>AND(NOT(ISBLANK(D145)),NOT(_xlfn.ISFORMULA(D145)))</formula>
    </cfRule>
  </conditionalFormatting>
  <conditionalFormatting sqref="G145">
    <cfRule type="expression" dxfId="63" priority="64" stopIfTrue="1">
      <formula>AND(NOT(ISBLANK(G145)),NOT(_xlfn.ISFORMULA(G145)))</formula>
    </cfRule>
  </conditionalFormatting>
  <conditionalFormatting sqref="H145">
    <cfRule type="expression" dxfId="62" priority="63" stopIfTrue="1">
      <formula>AND(NOT(ISBLANK(H145)),NOT(_xlfn.ISFORMULA(H145)))</formula>
    </cfRule>
  </conditionalFormatting>
  <conditionalFormatting sqref="C146">
    <cfRule type="expression" dxfId="61" priority="62" stopIfTrue="1">
      <formula>AND(NOT(ISBLANK(C146)),NOT(_xlfn.ISFORMULA(C146)))</formula>
    </cfRule>
  </conditionalFormatting>
  <conditionalFormatting sqref="D146">
    <cfRule type="expression" dxfId="60" priority="61" stopIfTrue="1">
      <formula>AND(NOT(ISBLANK(D146)),NOT(_xlfn.ISFORMULA(D146)))</formula>
    </cfRule>
  </conditionalFormatting>
  <conditionalFormatting sqref="G146">
    <cfRule type="expression" dxfId="59" priority="60" stopIfTrue="1">
      <formula>AND(NOT(ISBLANK(G146)),NOT(_xlfn.ISFORMULA(G146)))</formula>
    </cfRule>
  </conditionalFormatting>
  <conditionalFormatting sqref="H146">
    <cfRule type="expression" dxfId="58" priority="59" stopIfTrue="1">
      <formula>AND(NOT(ISBLANK(H146)),NOT(_xlfn.ISFORMULA(H146)))</formula>
    </cfRule>
  </conditionalFormatting>
  <conditionalFormatting sqref="C148">
    <cfRule type="expression" dxfId="57" priority="58" stopIfTrue="1">
      <formula>AND(NOT(ISBLANK(C148)),NOT(_xlfn.ISFORMULA(C148)))</formula>
    </cfRule>
  </conditionalFormatting>
  <conditionalFormatting sqref="D148">
    <cfRule type="expression" dxfId="56" priority="57" stopIfTrue="1">
      <formula>AND(NOT(ISBLANK(D148)),NOT(_xlfn.ISFORMULA(D148)))</formula>
    </cfRule>
  </conditionalFormatting>
  <conditionalFormatting sqref="G148">
    <cfRule type="expression" dxfId="55" priority="56" stopIfTrue="1">
      <formula>AND(NOT(ISBLANK(G148)),NOT(_xlfn.ISFORMULA(G148)))</formula>
    </cfRule>
  </conditionalFormatting>
  <conditionalFormatting sqref="H148">
    <cfRule type="expression" dxfId="54" priority="55" stopIfTrue="1">
      <formula>AND(NOT(ISBLANK(H148)),NOT(_xlfn.ISFORMULA(H148)))</formula>
    </cfRule>
  </conditionalFormatting>
  <conditionalFormatting sqref="C149">
    <cfRule type="expression" dxfId="53" priority="54" stopIfTrue="1">
      <formula>AND(NOT(ISBLANK(C149)),NOT(_xlfn.ISFORMULA(C149)))</formula>
    </cfRule>
  </conditionalFormatting>
  <conditionalFormatting sqref="D149">
    <cfRule type="expression" dxfId="52" priority="53" stopIfTrue="1">
      <formula>AND(NOT(ISBLANK(D149)),NOT(_xlfn.ISFORMULA(D149)))</formula>
    </cfRule>
  </conditionalFormatting>
  <conditionalFormatting sqref="G149">
    <cfRule type="expression" dxfId="51" priority="52" stopIfTrue="1">
      <formula>AND(NOT(ISBLANK(G149)),NOT(_xlfn.ISFORMULA(G149)))</formula>
    </cfRule>
  </conditionalFormatting>
  <conditionalFormatting sqref="H149">
    <cfRule type="expression" dxfId="50" priority="51" stopIfTrue="1">
      <formula>AND(NOT(ISBLANK(H149)),NOT(_xlfn.ISFORMULA(H149)))</formula>
    </cfRule>
  </conditionalFormatting>
  <conditionalFormatting sqref="C150">
    <cfRule type="expression" dxfId="49" priority="50" stopIfTrue="1">
      <formula>AND(NOT(ISBLANK(C150)),NOT(_xlfn.ISFORMULA(C150)))</formula>
    </cfRule>
  </conditionalFormatting>
  <conditionalFormatting sqref="D150">
    <cfRule type="expression" dxfId="48" priority="49" stopIfTrue="1">
      <formula>AND(NOT(ISBLANK(D150)),NOT(_xlfn.ISFORMULA(D150)))</formula>
    </cfRule>
  </conditionalFormatting>
  <conditionalFormatting sqref="G150">
    <cfRule type="expression" dxfId="47" priority="48" stopIfTrue="1">
      <formula>AND(NOT(ISBLANK(G150)),NOT(_xlfn.ISFORMULA(G150)))</formula>
    </cfRule>
  </conditionalFormatting>
  <conditionalFormatting sqref="H150">
    <cfRule type="expression" dxfId="46" priority="47" stopIfTrue="1">
      <formula>AND(NOT(ISBLANK(H150)),NOT(_xlfn.ISFORMULA(H150)))</formula>
    </cfRule>
  </conditionalFormatting>
  <conditionalFormatting sqref="C151">
    <cfRule type="expression" dxfId="45" priority="46" stopIfTrue="1">
      <formula>AND(NOT(ISBLANK(C151)),NOT(_xlfn.ISFORMULA(C151)))</formula>
    </cfRule>
  </conditionalFormatting>
  <conditionalFormatting sqref="D151">
    <cfRule type="expression" dxfId="44" priority="45" stopIfTrue="1">
      <formula>AND(NOT(ISBLANK(D151)),NOT(_xlfn.ISFORMULA(D151)))</formula>
    </cfRule>
  </conditionalFormatting>
  <conditionalFormatting sqref="C152">
    <cfRule type="expression" dxfId="43" priority="44" stopIfTrue="1">
      <formula>AND(NOT(ISBLANK(C152)),NOT(_xlfn.ISFORMULA(C152)))</formula>
    </cfRule>
  </conditionalFormatting>
  <conditionalFormatting sqref="D152">
    <cfRule type="expression" dxfId="42" priority="43" stopIfTrue="1">
      <formula>AND(NOT(ISBLANK(D152)),NOT(_xlfn.ISFORMULA(D152)))</formula>
    </cfRule>
  </conditionalFormatting>
  <conditionalFormatting sqref="C153">
    <cfRule type="expression" dxfId="41" priority="42" stopIfTrue="1">
      <formula>AND(NOT(ISBLANK(C153)),NOT(_xlfn.ISFORMULA(C153)))</formula>
    </cfRule>
  </conditionalFormatting>
  <conditionalFormatting sqref="D153">
    <cfRule type="expression" dxfId="40" priority="41" stopIfTrue="1">
      <formula>AND(NOT(ISBLANK(D153)),NOT(_xlfn.ISFORMULA(D153)))</formula>
    </cfRule>
  </conditionalFormatting>
  <conditionalFormatting sqref="C154">
    <cfRule type="expression" dxfId="39" priority="40" stopIfTrue="1">
      <formula>AND(NOT(ISBLANK(C154)),NOT(_xlfn.ISFORMULA(C154)))</formula>
    </cfRule>
  </conditionalFormatting>
  <conditionalFormatting sqref="D154">
    <cfRule type="expression" dxfId="38" priority="39" stopIfTrue="1">
      <formula>AND(NOT(ISBLANK(D154)),NOT(_xlfn.ISFORMULA(D154)))</formula>
    </cfRule>
  </conditionalFormatting>
  <conditionalFormatting sqref="C155">
    <cfRule type="expression" dxfId="37" priority="38" stopIfTrue="1">
      <formula>AND(NOT(ISBLANK(C155)),NOT(_xlfn.ISFORMULA(C155)))</formula>
    </cfRule>
  </conditionalFormatting>
  <conditionalFormatting sqref="D155">
    <cfRule type="expression" dxfId="36" priority="37" stopIfTrue="1">
      <formula>AND(NOT(ISBLANK(D155)),NOT(_xlfn.ISFORMULA(D155)))</formula>
    </cfRule>
  </conditionalFormatting>
  <conditionalFormatting sqref="C156">
    <cfRule type="expression" dxfId="35" priority="36" stopIfTrue="1">
      <formula>AND(NOT(ISBLANK(C156)),NOT(_xlfn.ISFORMULA(C156)))</formula>
    </cfRule>
  </conditionalFormatting>
  <conditionalFormatting sqref="D156">
    <cfRule type="expression" dxfId="34" priority="35" stopIfTrue="1">
      <formula>AND(NOT(ISBLANK(D156)),NOT(_xlfn.ISFORMULA(D156)))</formula>
    </cfRule>
  </conditionalFormatting>
  <conditionalFormatting sqref="G156">
    <cfRule type="expression" dxfId="33" priority="34" stopIfTrue="1">
      <formula>AND(NOT(ISBLANK(G156)),NOT(_xlfn.ISFORMULA(G156)))</formula>
    </cfRule>
  </conditionalFormatting>
  <conditionalFormatting sqref="H156">
    <cfRule type="expression" dxfId="32" priority="33" stopIfTrue="1">
      <formula>AND(NOT(ISBLANK(H156)),NOT(_xlfn.ISFORMULA(H156)))</formula>
    </cfRule>
  </conditionalFormatting>
  <conditionalFormatting sqref="C157">
    <cfRule type="expression" dxfId="31" priority="32" stopIfTrue="1">
      <formula>AND(NOT(ISBLANK(C157)),NOT(_xlfn.ISFORMULA(C157)))</formula>
    </cfRule>
  </conditionalFormatting>
  <conditionalFormatting sqref="D157">
    <cfRule type="expression" dxfId="30" priority="31" stopIfTrue="1">
      <formula>AND(NOT(ISBLANK(D157)),NOT(_xlfn.ISFORMULA(D157)))</formula>
    </cfRule>
  </conditionalFormatting>
  <conditionalFormatting sqref="G157">
    <cfRule type="expression" dxfId="29" priority="30" stopIfTrue="1">
      <formula>AND(NOT(ISBLANK(G157)),NOT(_xlfn.ISFORMULA(G157)))</formula>
    </cfRule>
  </conditionalFormatting>
  <conditionalFormatting sqref="H157">
    <cfRule type="expression" dxfId="28" priority="29" stopIfTrue="1">
      <formula>AND(NOT(ISBLANK(H157)),NOT(_xlfn.ISFORMULA(H157)))</formula>
    </cfRule>
  </conditionalFormatting>
  <conditionalFormatting sqref="C161">
    <cfRule type="expression" dxfId="27" priority="28" stopIfTrue="1">
      <formula>AND(NOT(ISBLANK(C161)),NOT(_xlfn.ISFORMULA(C161)))</formula>
    </cfRule>
  </conditionalFormatting>
  <conditionalFormatting sqref="D161">
    <cfRule type="expression" dxfId="26" priority="27" stopIfTrue="1">
      <formula>AND(NOT(ISBLANK(D161)),NOT(_xlfn.ISFORMULA(D161)))</formula>
    </cfRule>
  </conditionalFormatting>
  <conditionalFormatting sqref="G161">
    <cfRule type="expression" dxfId="25" priority="26" stopIfTrue="1">
      <formula>AND(NOT(ISBLANK(G161)),NOT(_xlfn.ISFORMULA(G161)))</formula>
    </cfRule>
  </conditionalFormatting>
  <conditionalFormatting sqref="H161">
    <cfRule type="expression" dxfId="24" priority="25" stopIfTrue="1">
      <formula>AND(NOT(ISBLANK(H161)),NOT(_xlfn.ISFORMULA(H161)))</formula>
    </cfRule>
  </conditionalFormatting>
  <conditionalFormatting sqref="C162">
    <cfRule type="expression" dxfId="23" priority="24" stopIfTrue="1">
      <formula>AND(NOT(ISBLANK(C162)),NOT(_xlfn.ISFORMULA(C162)))</formula>
    </cfRule>
  </conditionalFormatting>
  <conditionalFormatting sqref="D162">
    <cfRule type="expression" dxfId="22" priority="23" stopIfTrue="1">
      <formula>AND(NOT(ISBLANK(D162)),NOT(_xlfn.ISFORMULA(D162)))</formula>
    </cfRule>
  </conditionalFormatting>
  <conditionalFormatting sqref="G162">
    <cfRule type="expression" dxfId="21" priority="22" stopIfTrue="1">
      <formula>AND(NOT(ISBLANK(G162)),NOT(_xlfn.ISFORMULA(G162)))</formula>
    </cfRule>
  </conditionalFormatting>
  <conditionalFormatting sqref="H162">
    <cfRule type="expression" dxfId="20" priority="21" stopIfTrue="1">
      <formula>AND(NOT(ISBLANK(H162)),NOT(_xlfn.ISFORMULA(H162)))</formula>
    </cfRule>
  </conditionalFormatting>
  <conditionalFormatting sqref="C163">
    <cfRule type="expression" dxfId="19" priority="20" stopIfTrue="1">
      <formula>AND(NOT(ISBLANK(C163)),NOT(_xlfn.ISFORMULA(C163)))</formula>
    </cfRule>
  </conditionalFormatting>
  <conditionalFormatting sqref="D163">
    <cfRule type="expression" dxfId="18" priority="19" stopIfTrue="1">
      <formula>AND(NOT(ISBLANK(D163)),NOT(_xlfn.ISFORMULA(D163)))</formula>
    </cfRule>
  </conditionalFormatting>
  <conditionalFormatting sqref="G163">
    <cfRule type="expression" dxfId="17" priority="18" stopIfTrue="1">
      <formula>AND(NOT(ISBLANK(G163)),NOT(_xlfn.ISFORMULA(G163)))</formula>
    </cfRule>
  </conditionalFormatting>
  <conditionalFormatting sqref="H163">
    <cfRule type="expression" dxfId="16" priority="17" stopIfTrue="1">
      <formula>AND(NOT(ISBLANK(H163)),NOT(_xlfn.ISFORMULA(H163)))</formula>
    </cfRule>
  </conditionalFormatting>
  <conditionalFormatting sqref="C164">
    <cfRule type="expression" dxfId="15" priority="16" stopIfTrue="1">
      <formula>AND(NOT(ISBLANK(C164)),NOT(_xlfn.ISFORMULA(C164)))</formula>
    </cfRule>
  </conditionalFormatting>
  <conditionalFormatting sqref="D164">
    <cfRule type="expression" dxfId="14" priority="15" stopIfTrue="1">
      <formula>AND(NOT(ISBLANK(D164)),NOT(_xlfn.ISFORMULA(D164)))</formula>
    </cfRule>
  </conditionalFormatting>
  <conditionalFormatting sqref="G164">
    <cfRule type="expression" dxfId="13" priority="14" stopIfTrue="1">
      <formula>AND(NOT(ISBLANK(G164)),NOT(_xlfn.ISFORMULA(G164)))</formula>
    </cfRule>
  </conditionalFormatting>
  <conditionalFormatting sqref="H164">
    <cfRule type="expression" dxfId="12" priority="13" stopIfTrue="1">
      <formula>AND(NOT(ISBLANK(H164)),NOT(_xlfn.ISFORMULA(H164)))</formula>
    </cfRule>
  </conditionalFormatting>
  <conditionalFormatting sqref="C165">
    <cfRule type="expression" dxfId="11" priority="12" stopIfTrue="1">
      <formula>AND(NOT(ISBLANK(C165)),NOT(_xlfn.ISFORMULA(C165)))</formula>
    </cfRule>
  </conditionalFormatting>
  <conditionalFormatting sqref="D165">
    <cfRule type="expression" dxfId="10" priority="11" stopIfTrue="1">
      <formula>AND(NOT(ISBLANK(D165)),NOT(_xlfn.ISFORMULA(D165)))</formula>
    </cfRule>
  </conditionalFormatting>
  <conditionalFormatting sqref="G165">
    <cfRule type="expression" dxfId="9" priority="10" stopIfTrue="1">
      <formula>AND(NOT(ISBLANK(G165)),NOT(_xlfn.ISFORMULA(G165)))</formula>
    </cfRule>
  </conditionalFormatting>
  <conditionalFormatting sqref="H165">
    <cfRule type="expression" dxfId="8" priority="9" stopIfTrue="1">
      <formula>AND(NOT(ISBLANK(H165)),NOT(_xlfn.ISFORMULA(H165)))</formula>
    </cfRule>
  </conditionalFormatting>
  <conditionalFormatting sqref="C166">
    <cfRule type="expression" dxfId="7" priority="8" stopIfTrue="1">
      <formula>AND(NOT(ISBLANK(C166)),NOT(_xlfn.ISFORMULA(C166)))</formula>
    </cfRule>
  </conditionalFormatting>
  <conditionalFormatting sqref="D166">
    <cfRule type="expression" dxfId="6" priority="7" stopIfTrue="1">
      <formula>AND(NOT(ISBLANK(D166)),NOT(_xlfn.ISFORMULA(D166)))</formula>
    </cfRule>
  </conditionalFormatting>
  <conditionalFormatting sqref="G166">
    <cfRule type="expression" dxfId="5" priority="6" stopIfTrue="1">
      <formula>AND(NOT(ISBLANK(G166)),NOT(_xlfn.ISFORMULA(G166)))</formula>
    </cfRule>
  </conditionalFormatting>
  <conditionalFormatting sqref="H166">
    <cfRule type="expression" dxfId="4" priority="5" stopIfTrue="1">
      <formula>AND(NOT(ISBLANK(H166)),NOT(_xlfn.ISFORMULA(H166)))</formula>
    </cfRule>
  </conditionalFormatting>
  <conditionalFormatting sqref="C167">
    <cfRule type="expression" dxfId="3" priority="4" stopIfTrue="1">
      <formula>AND(NOT(ISBLANK(C167)),NOT(_xlfn.ISFORMULA(C167)))</formula>
    </cfRule>
  </conditionalFormatting>
  <conditionalFormatting sqref="H167">
    <cfRule type="expression" dxfId="2" priority="3" stopIfTrue="1">
      <formula>AND(NOT(ISBLANK(H167)),NOT(_xlfn.ISFORMULA(H167)))</formula>
    </cfRule>
  </conditionalFormatting>
  <conditionalFormatting sqref="C168">
    <cfRule type="expression" dxfId="1" priority="2" stopIfTrue="1">
      <formula>AND(NOT(ISBLANK(C168)),NOT(_xlfn.ISFORMULA(C168)))</formula>
    </cfRule>
  </conditionalFormatting>
  <conditionalFormatting sqref="G168">
    <cfRule type="expression" dxfId="0" priority="1" stopIfTrue="1">
      <formula>AND(NOT(ISBLANK(G168)),NOT(_xlfn.ISFORMULA(G168)))</formula>
    </cfRule>
  </conditionalFormatting>
  <dataValidations count="2">
    <dataValidation type="custom" allowBlank="1" showInputMessage="1" showErrorMessage="1" sqref="E201:F210 E190:F194 J201:L202 A190:B194 I190:L194 J203:J210 A201:B210 I201:I210 E4:F168 A4:B168 I4:J168" xr:uid="{69A6FBC7-4F14-4F8A-A03D-8C390F9C1FBD}">
      <formula1>_xlfn.ISFORMULA(A4)</formula1>
    </dataValidation>
    <dataValidation type="custom" allowBlank="1" showInputMessage="1" showErrorMessage="1" errorTitle="Знак &quot;*&quot; недопустим" error="Знак &quot;*&quot; зарезервирован для обозначения отсутствия кромки и не может быть здесь использован" sqref="E179:E187" xr:uid="{795565DD-C27E-4E1A-9113-BC89F2C8CAAA}">
      <formula1>E179&lt;&gt;"*"</formula1>
    </dataValidation>
  </dataValidations>
  <printOptions horizontalCentered="1"/>
  <pageMargins left="0.43307086614173229" right="0.31496062992125984" top="0.47244094488188981" bottom="0.35433070866141736" header="0.19685039370078741" footer="0.31496062992125984"/>
  <pageSetup paperSize="9" scale="90" fitToWidth="0" fitToHeight="0" orientation="landscape" r:id="rId1"/>
  <headerFooter>
    <oddHeader>&amp;R&amp;D. &amp;T. Страница &amp;P/&amp;N&amp;LbCad-teh1</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51201" r:id="rId4" name="Button 1">
              <controlPr defaultSize="0" print="0" autoFill="0" autoPict="0" macro="[0]!ПоказатьПанельИнструментов">
                <anchor moveWithCells="1">
                  <from>
                    <xdr:col>14</xdr:col>
                    <xdr:colOff>0</xdr:colOff>
                    <xdr:row>0</xdr:row>
                    <xdr:rowOff>180975</xdr:rowOff>
                  </from>
                  <to>
                    <xdr:col>15</xdr:col>
                    <xdr:colOff>1666875</xdr:colOff>
                    <xdr:row>1</xdr:row>
                    <xdr:rowOff>228600</xdr:rowOff>
                  </to>
                </anchor>
              </controlPr>
            </control>
          </mc:Choice>
        </mc:AlternateContent>
        <mc:AlternateContent xmlns:mc="http://schemas.openxmlformats.org/markup-compatibility/2006">
          <mc:Choice Requires="x14">
            <control shapeId="51202" r:id="rId5" name="Button 2">
              <controlPr defaultSize="0" print="0" autoFill="0" autoPict="0" macro="[0]!Ended">
                <anchor moveWithCells="1">
                  <from>
                    <xdr:col>16</xdr:col>
                    <xdr:colOff>123825</xdr:colOff>
                    <xdr:row>0</xdr:row>
                    <xdr:rowOff>171450</xdr:rowOff>
                  </from>
                  <to>
                    <xdr:col>16</xdr:col>
                    <xdr:colOff>1238250</xdr:colOff>
                    <xdr:row>1</xdr:row>
                    <xdr:rowOff>219075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753318-4D8E-44C1-855D-CEE57B3D0C2C}">
  <sheetPr codeName="Лист2"/>
  <dimension ref="A1"/>
  <sheetViews>
    <sheetView view="pageBreakPreview" zoomScaleNormal="100" zoomScaleSheetLayoutView="100" workbookViewId="0"/>
  </sheetViews>
  <sheetFormatPr defaultRowHeight="15" x14ac:dyDescent="0.25"/>
  <cols>
    <col min="1" max="1" width="9.140625" style="82"/>
  </cols>
  <sheetData/>
  <pageMargins left="0.7" right="0.7" top="0.75" bottom="0.75" header="0.3" footer="0.3"/>
  <pageSetup paperSize="9" orientation="portrait" r:id="rId1"/>
  <headerFooter>
    <oddHeader>&amp;R&amp;D. &amp;T. Страница &amp;P/&amp;N&amp;LbCAD</oddHead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43F4F7-12A1-4090-A226-67A4B5804FF1}">
  <sheetPr codeName="Лист3"/>
  <dimension ref="A1:N19"/>
  <sheetViews>
    <sheetView tabSelected="1" workbookViewId="0">
      <selection activeCell="B17" sqref="B17:G17"/>
    </sheetView>
  </sheetViews>
  <sheetFormatPr defaultRowHeight="15" x14ac:dyDescent="0.25"/>
  <cols>
    <col min="2" max="2" width="21.85546875" customWidth="1"/>
    <col min="10" max="10" width="15.7109375" customWidth="1"/>
    <col min="13" max="13" width="23.5703125" bestFit="1" customWidth="1"/>
  </cols>
  <sheetData>
    <row r="1" spans="1:14" ht="18.75" x14ac:dyDescent="0.3">
      <c r="A1" s="1" t="s">
        <v>235</v>
      </c>
      <c r="B1" s="1"/>
      <c r="C1" s="84"/>
      <c r="D1" s="84"/>
      <c r="E1" s="30"/>
      <c r="F1" s="30"/>
      <c r="G1" s="30"/>
      <c r="H1" s="85"/>
      <c r="I1" s="85"/>
      <c r="J1" s="30"/>
      <c r="K1" s="30"/>
      <c r="L1" s="30"/>
      <c r="M1" s="86" t="s">
        <v>98</v>
      </c>
    </row>
    <row r="2" spans="1:14" ht="30" x14ac:dyDescent="0.25">
      <c r="A2" s="65" t="s">
        <v>6</v>
      </c>
      <c r="B2" s="65" t="str">
        <f>"Наименование"</f>
        <v>Наименование</v>
      </c>
      <c r="C2" s="87" t="s">
        <v>9</v>
      </c>
      <c r="D2" s="87" t="s">
        <v>11</v>
      </c>
      <c r="E2" s="88" t="s">
        <v>99</v>
      </c>
      <c r="F2" s="87" t="s">
        <v>10</v>
      </c>
      <c r="G2" s="87" t="s">
        <v>12</v>
      </c>
      <c r="H2" s="89" t="s">
        <v>100</v>
      </c>
      <c r="I2" s="65" t="s">
        <v>2</v>
      </c>
      <c r="J2" s="65" t="s">
        <v>48</v>
      </c>
      <c r="K2" s="65" t="s">
        <v>49</v>
      </c>
      <c r="L2" s="65" t="s">
        <v>50</v>
      </c>
      <c r="M2" s="65" t="s">
        <v>4</v>
      </c>
    </row>
    <row r="3" spans="1:14" s="30" customFormat="1" x14ac:dyDescent="0.25">
      <c r="A3"/>
      <c r="B3"/>
      <c r="C3"/>
      <c r="D3"/>
      <c r="E3"/>
      <c r="F3"/>
      <c r="G3"/>
      <c r="H3"/>
      <c r="I3"/>
      <c r="J3"/>
      <c r="K3"/>
      <c r="L3"/>
      <c r="M3"/>
      <c r="N3"/>
    </row>
    <row r="4" spans="1:14" s="30" customFormat="1" x14ac:dyDescent="0.25">
      <c r="A4"/>
      <c r="B4"/>
      <c r="C4"/>
      <c r="D4"/>
      <c r="E4"/>
      <c r="F4"/>
      <c r="G4"/>
      <c r="H4"/>
      <c r="I4"/>
      <c r="J4"/>
      <c r="K4"/>
      <c r="L4"/>
      <c r="M4"/>
      <c r="N4"/>
    </row>
    <row r="5" spans="1:14" s="30" customFormat="1" x14ac:dyDescent="0.25">
      <c r="A5"/>
      <c r="B5"/>
      <c r="C5"/>
      <c r="D5"/>
      <c r="E5"/>
      <c r="F5"/>
      <c r="G5"/>
      <c r="H5"/>
      <c r="I5"/>
      <c r="J5"/>
      <c r="K5"/>
      <c r="L5"/>
      <c r="M5"/>
      <c r="N5"/>
    </row>
    <row r="6" spans="1:14" s="30" customFormat="1" x14ac:dyDescent="0.25">
      <c r="A6"/>
      <c r="B6"/>
      <c r="C6"/>
      <c r="D6"/>
      <c r="E6"/>
      <c r="F6"/>
      <c r="G6"/>
      <c r="H6"/>
      <c r="I6"/>
      <c r="J6"/>
      <c r="K6"/>
      <c r="L6"/>
      <c r="M6"/>
      <c r="N6"/>
    </row>
    <row r="7" spans="1:14" x14ac:dyDescent="0.25">
      <c r="A7" s="13"/>
      <c r="B7" s="30"/>
      <c r="C7" s="30"/>
      <c r="D7" s="30"/>
      <c r="E7" s="50"/>
      <c r="F7" s="35"/>
      <c r="G7" s="34"/>
      <c r="H7" s="92" t="s">
        <v>101</v>
      </c>
      <c r="I7" s="112">
        <f>SUM(I3:I6)</f>
        <v>0</v>
      </c>
      <c r="J7" s="92"/>
      <c r="K7" s="92"/>
      <c r="L7" s="92" t="s">
        <v>102</v>
      </c>
      <c r="M7" s="112">
        <f>SUM(N3:N6)</f>
        <v>0</v>
      </c>
    </row>
    <row r="8" spans="1:14" x14ac:dyDescent="0.25">
      <c r="A8" s="34"/>
      <c r="B8" s="34"/>
      <c r="C8" s="93"/>
      <c r="D8" s="94"/>
      <c r="E8" s="35"/>
      <c r="F8" s="34"/>
      <c r="G8" s="34"/>
      <c r="H8" s="36"/>
      <c r="I8" s="30"/>
      <c r="J8" s="30"/>
      <c r="K8" s="30"/>
      <c r="L8" s="30"/>
      <c r="M8" s="30"/>
    </row>
    <row r="9" spans="1:14" x14ac:dyDescent="0.25">
      <c r="A9" s="2" t="s">
        <v>8</v>
      </c>
      <c r="B9" s="30"/>
      <c r="C9" s="30"/>
      <c r="D9" s="30"/>
      <c r="E9" s="30"/>
      <c r="F9" s="30"/>
      <c r="G9" s="30"/>
      <c r="H9" s="30"/>
      <c r="I9" s="30"/>
      <c r="J9" s="30"/>
      <c r="K9" s="30"/>
      <c r="L9" s="30"/>
      <c r="M9" s="30"/>
    </row>
    <row r="10" spans="1:14" x14ac:dyDescent="0.25">
      <c r="A10" s="30" t="s">
        <v>103</v>
      </c>
      <c r="B10" s="30"/>
      <c r="C10" s="30"/>
      <c r="D10" s="30"/>
      <c r="E10" s="30"/>
      <c r="F10" s="30"/>
      <c r="G10" s="30"/>
      <c r="H10" s="30"/>
      <c r="I10" s="30"/>
      <c r="J10" s="30"/>
      <c r="K10" s="30"/>
      <c r="L10" s="30"/>
      <c r="M10" s="30"/>
    </row>
    <row r="11" spans="1:14" x14ac:dyDescent="0.25">
      <c r="A11" s="30" t="s">
        <v>104</v>
      </c>
      <c r="B11" s="30"/>
      <c r="C11" s="30"/>
      <c r="D11" s="30"/>
      <c r="E11" s="30"/>
      <c r="F11" s="30"/>
      <c r="G11" s="30"/>
      <c r="H11" s="30"/>
      <c r="I11" s="30"/>
      <c r="J11" s="30"/>
      <c r="K11" s="30"/>
      <c r="L11" s="30"/>
      <c r="M11" s="30"/>
    </row>
    <row r="12" spans="1:14" x14ac:dyDescent="0.25">
      <c r="A12" s="30" t="s">
        <v>105</v>
      </c>
      <c r="B12" s="30"/>
      <c r="C12" s="30"/>
      <c r="D12" s="30"/>
      <c r="E12" s="30"/>
      <c r="F12" s="30"/>
      <c r="G12" s="30"/>
      <c r="H12" s="30"/>
      <c r="I12" s="30"/>
      <c r="J12" s="30"/>
      <c r="K12" s="30"/>
      <c r="L12" s="30"/>
      <c r="M12" s="30"/>
    </row>
    <row r="13" spans="1:14" x14ac:dyDescent="0.25">
      <c r="A13" s="30"/>
      <c r="B13" s="30"/>
      <c r="C13" s="30"/>
      <c r="D13" s="30"/>
      <c r="E13" s="30"/>
      <c r="F13" s="30"/>
      <c r="G13" s="30"/>
      <c r="H13" s="30"/>
      <c r="I13" s="30"/>
      <c r="J13" s="30"/>
      <c r="K13" s="30"/>
      <c r="L13" s="30"/>
      <c r="M13" s="30"/>
    </row>
    <row r="14" spans="1:14" ht="18.75" x14ac:dyDescent="0.3">
      <c r="A14" s="1"/>
      <c r="B14" s="1" t="s">
        <v>41</v>
      </c>
      <c r="C14" s="38"/>
      <c r="D14" s="30"/>
      <c r="E14" s="30"/>
      <c r="F14" s="38"/>
      <c r="G14" s="38"/>
      <c r="H14" s="30"/>
      <c r="I14" s="30"/>
      <c r="J14" s="30"/>
      <c r="K14" s="30"/>
      <c r="L14" s="30"/>
      <c r="M14" s="30"/>
    </row>
    <row r="15" spans="1:14" x14ac:dyDescent="0.25">
      <c r="A15" s="95" t="s">
        <v>6</v>
      </c>
      <c r="B15" s="102" t="s">
        <v>23</v>
      </c>
      <c r="C15" s="103"/>
      <c r="D15" s="103"/>
      <c r="E15" s="103"/>
      <c r="F15" s="103"/>
      <c r="G15" s="104"/>
      <c r="H15" s="96" t="s">
        <v>31</v>
      </c>
      <c r="I15" s="97" t="s">
        <v>30</v>
      </c>
      <c r="J15" s="95" t="s">
        <v>48</v>
      </c>
      <c r="K15" s="95" t="s">
        <v>52</v>
      </c>
      <c r="L15" s="95" t="s">
        <v>53</v>
      </c>
      <c r="M15" s="30"/>
    </row>
    <row r="16" spans="1:14" x14ac:dyDescent="0.25">
      <c r="A16" s="98"/>
      <c r="B16" s="105"/>
      <c r="C16" s="106"/>
      <c r="D16" s="106"/>
      <c r="E16" s="106"/>
      <c r="F16" s="106"/>
      <c r="G16" s="107"/>
      <c r="H16" s="99"/>
      <c r="I16" s="98"/>
      <c r="J16" s="98"/>
      <c r="K16" s="90"/>
      <c r="L16" s="90"/>
      <c r="M16" s="30"/>
    </row>
    <row r="17" spans="1:13" x14ac:dyDescent="0.25">
      <c r="A17" s="100"/>
      <c r="B17" s="108"/>
      <c r="C17" s="109"/>
      <c r="D17" s="109"/>
      <c r="E17" s="109"/>
      <c r="F17" s="109"/>
      <c r="G17" s="110"/>
      <c r="H17" s="101"/>
      <c r="I17" s="101"/>
      <c r="J17" s="100"/>
      <c r="K17" s="91"/>
      <c r="L17" s="91"/>
      <c r="M17" s="30"/>
    </row>
    <row r="18" spans="1:13" x14ac:dyDescent="0.25">
      <c r="A18" s="100"/>
      <c r="B18" s="108"/>
      <c r="C18" s="109"/>
      <c r="D18" s="109"/>
      <c r="E18" s="109"/>
      <c r="F18" s="109"/>
      <c r="G18" s="110"/>
      <c r="H18" s="101"/>
      <c r="I18" s="100"/>
      <c r="J18" s="100"/>
      <c r="K18" s="91"/>
      <c r="L18" s="91"/>
      <c r="M18" s="30"/>
    </row>
    <row r="19" spans="1:13" x14ac:dyDescent="0.25">
      <c r="A19" s="100"/>
      <c r="B19" s="108"/>
      <c r="C19" s="109"/>
      <c r="D19" s="109"/>
      <c r="E19" s="109"/>
      <c r="F19" s="109"/>
      <c r="G19" s="110"/>
      <c r="H19" s="101"/>
      <c r="I19" s="101"/>
      <c r="J19" s="100"/>
      <c r="K19" s="91"/>
      <c r="L19" s="91"/>
      <c r="M19" s="30"/>
    </row>
  </sheetData>
  <mergeCells count="5">
    <mergeCell ref="B15:G15"/>
    <mergeCell ref="B16:G16"/>
    <mergeCell ref="B17:G17"/>
    <mergeCell ref="B18:G18"/>
    <mergeCell ref="B19:G19"/>
  </mergeCells>
  <pageMargins left="0.7" right="0.7" top="0.75" bottom="0.75" header="0.3" footer="0.3"/>
  <pageSetup paperSize="9" orientation="portrait" r:id="rId1"/>
  <headerFooter>
    <oddHeader>&amp;LКРОМКА bCad-teh1</oddHeader>
  </headerFooter>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5</vt:i4>
      </vt:variant>
      <vt:variant>
        <vt:lpstr>Именованные диапазоны</vt:lpstr>
      </vt:variant>
      <vt:variant>
        <vt:i4>2</vt:i4>
      </vt:variant>
    </vt:vector>
  </HeadingPairs>
  <TitlesOfParts>
    <vt:vector size="7" baseType="lpstr">
      <vt:lpstr>ИсходныйСкрытый</vt:lpstr>
      <vt:lpstr>Деталировка</vt:lpstr>
      <vt:lpstr>Деталировка (2)</vt:lpstr>
      <vt:lpstr>Склад</vt:lpstr>
      <vt:lpstr>КРОМКА</vt:lpstr>
      <vt:lpstr>Деталировка!Область_печати</vt:lpstr>
      <vt:lpstr>'Деталировка (2)'!Область_печати</vt:lpstr>
    </vt:vector>
  </TitlesOfParts>
  <Company>RePack by SPecialiST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i3240;Ганков Ярослав 0662854936</dc:creator>
  <cp:lastModifiedBy>Скиф</cp:lastModifiedBy>
  <cp:lastPrinted>2022-01-25T21:29:32Z</cp:lastPrinted>
  <dcterms:created xsi:type="dcterms:W3CDTF">2014-06-23T08:47:00Z</dcterms:created>
  <dcterms:modified xsi:type="dcterms:W3CDTF">2022-02-03T22:17:47Z</dcterms:modified>
</cp:coreProperties>
</file>
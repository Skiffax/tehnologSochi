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934EF9FE-B3A4-4F81-83F7-588F0ACEF39A}" xr6:coauthVersionLast="45" xr6:coauthVersionMax="45"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664" r:id="rId4"/>
    <sheet name="РАСПИЛ" sheetId="665" r:id="rId5"/>
    <sheet name="СБОРКА" sheetId="672" r:id="rId6"/>
  </sheets>
  <functionGroups builtInGroupCount="19"/>
  <definedNames>
    <definedName name="_xlnm._FilterDatabase" localSheetId="1" hidden="1">Деталировка!#REF!</definedName>
    <definedName name="_xlnm.Print_Area" localSheetId="1">Деталировка!$A$2:$M$25</definedName>
    <definedName name="_xlnm.Print_Area" localSheetId="3">КРОМКА!$A$1:$M$34</definedName>
    <definedName name="_xlnm.Print_Area" localSheetId="4">РАСПИЛ!$A$1:$J$30</definedName>
    <definedName name="_xlnm.Print_Area" localSheetId="5">СБОРКА!$A$1:$J$28</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6" i="672" l="1"/>
  <c r="E26" i="672"/>
  <c r="B2" i="672"/>
  <c r="E28" i="665" l="1"/>
  <c r="J28" i="665"/>
  <c r="B2" i="665"/>
  <c r="M22" i="664" l="1"/>
  <c r="I22" i="664"/>
  <c r="B2" i="664"/>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555A8491-2914-4C66-ACD5-8C0FE12934BB}">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4A1DE812-1582-45BF-8DAE-E7F6AA257624}">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<sst xmlns="http://schemas.openxmlformats.org/spreadsheetml/2006/main" count="378" uniqueCount="200">
  <si>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</si>
  <si>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</si>
  <si>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</si>
  <si>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</si>
  <si>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</si>
  <si>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</si>
  <si>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</si>
  <si>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</si>
  <si>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</si>
  <si>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</si>
  <si>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</si>
  <si>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</si>
  <si>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</si>
  <si>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</si>
  <si>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</si>
  <si>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</si>
  <si>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</si>
  <si>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</si>
  <si>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</si>
  <si>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</si>
  <si>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</si>
  <si>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</si>
  <si>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</si>
  <si>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</si>
  <si>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</si>
  <si>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</si>
  <si>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</si>
  <si>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</si>
  <si>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</si>
  <si>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</si>
  <si>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</si>
  <si>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</si>
  <si>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</si>
  <si>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</si>
  <si>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</si>
  <si>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</si>
  <si>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</si>
  <si>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</si>
  <si>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</si>
  <si>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</si>
  <si>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</si>
  <si>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</si>
  <si>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</si>
  <si>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</si>
  <si>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</si>
  <si>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</si>
  <si>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</si>
  <si>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</si>
  <si>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</si>
  <si>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</si>
  <si>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</si>
  <si>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</si>
  <si>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</si>
  <si>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</si>
  <si>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</si>
  <si>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</si>
  <si>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</si>
  <si>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</si>
  <si>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</si>
  <si>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</si>
  <si>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</si>
  <si>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</si>
  <si>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</si>
  <si>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</si>
  <si>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</si>
  <si>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</si>
  <si>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</si>
  <si>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</si>
  <si>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</si>
  <si>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</si>
  <si>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</si>
  <si>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</si>
  <si>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</si>
  <si>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</si>
  <si>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</si>
  <si>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</si>
  <si>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</si>
  <si>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</si>
  <si>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</si>
  <si>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</si>
  <si>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</si>
  <si>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</si>
  <si>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</si>
  <si>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</si>
  <si>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</si>
  <si>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</si>
  <si>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</si>
  <si>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</si>
  <si>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</si>
  <si>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</si>
  <si>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</si>
  <si>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</si>
  <si>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</si>
  <si>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</si>
  <si>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</si>
  <si>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</si>
  <si>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</si>
  <si>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</si>
  <si>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</si>
  <si>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</si>
  <si>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</si>
  <si>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</si>
  <si>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</si>
  <si>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</si>
  <si>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</si>
  <si>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Итого м2 б/к:</t>
  </si>
  <si>
    <t>Присадка</t>
  </si>
  <si>
    <t>bCad-teh2</t>
  </si>
  <si>
    <t>КРОМКА bCad-teh2</t>
  </si>
  <si>
    <t>РАСПИЛ bCad-teh2</t>
  </si>
  <si>
    <t>СБОРКА bCad-teh2</t>
  </si>
  <si>
    <t>ПВХ 2х19 EGGER W908 SM белый базовый б/к</t>
  </si>
  <si>
    <t>ПВХ 0,4х35 Белый б/к</t>
  </si>
  <si>
    <t>ПВХ 2х19 EGGER U763 ST9 cерый перламутровый б/к</t>
  </si>
  <si>
    <t>ПВХ 0,4х19 EGGER W908 SM белый базовый б/к</t>
  </si>
  <si>
    <t>пластик EGGER W908 SM белый базовый 2800*1310*0,8 б/к</t>
  </si>
  <si>
    <t>пластик EGGER U763 ST9 cерый перламутровый 2800*1310*0,8 б/к</t>
  </si>
  <si>
    <t>пластик ПОДКЛАДОЧНЫЙ б/к</t>
  </si>
  <si>
    <t>86° Ограничитель угла открывания для петли 110°(BLUM)</t>
  </si>
  <si>
    <t>опора кухонная Н=100</t>
  </si>
  <si>
    <t>TANDEM, замок, левый T51.1700.04</t>
  </si>
  <si>
    <t>TANDEM, замок, правый T51.1700.04</t>
  </si>
  <si>
    <t>белый</t>
  </si>
  <si>
    <t>древесный</t>
  </si>
  <si>
    <t>евронавес Scarpi с заглушкой и шиной Правый</t>
  </si>
  <si>
    <t>евронавес Scarpi с заглушкой и шиной Левый</t>
  </si>
  <si>
    <t>петля BLUM накладная 110° с доводчиком</t>
  </si>
  <si>
    <t>эксцентриковая стяжка с заглушкой</t>
  </si>
  <si>
    <t>сушилка Variant 3 2-уровневая 800</t>
  </si>
  <si>
    <t>евровинт 7*50</t>
  </si>
  <si>
    <t>уголок крепежный 20х20х16мм с пласт. крышкой (в цвет корпуса)</t>
  </si>
  <si>
    <t>подпятник регулируемый М6 белый</t>
  </si>
  <si>
    <t>встраиваемая посудомоечная машина PM 4542</t>
  </si>
  <si>
    <t>петля BLUM вкладная под фальшпанель 83° с доводчиком</t>
  </si>
  <si>
    <t>газовый лифт Boyard N100 с фикс. положения, GL104GR/100/3</t>
  </si>
  <si>
    <t>ящик Blum TANDEMBOX antaro D (224мм) царги М - 1 релинг, глуб. 500мм, Белый шелк</t>
  </si>
  <si>
    <t>ящик Blum TANDEMBOX antaro M (98,5мм), глуб. 500мм, Белый шелк</t>
  </si>
  <si>
    <t>шариковые направляющие Master DB4504Zn/500</t>
  </si>
  <si>
    <t>фасадный эксцентрик</t>
  </si>
  <si>
    <t>заглушка тех. отверстия D5</t>
  </si>
  <si>
    <t>полкодержатель (боченок)</t>
  </si>
  <si>
    <t>стяжка для столешницы М6 Х 100</t>
  </si>
  <si>
    <t>направляющие Tandem с BLUMOTION, полного выдв., 30кг, 300мм, комплект</t>
  </si>
  <si>
    <t>ящик Blum TANDEMBOX antaro D (224мм) царги М - 1 релинг, глуб. 300мм, Белый шелк</t>
  </si>
  <si>
    <t>скрытая ручка 901056</t>
  </si>
  <si>
    <t>водоотбойник цоколя для плит 19мм</t>
  </si>
  <si>
    <t>камень1</t>
  </si>
  <si>
    <t>вишня Оксфорд</t>
  </si>
  <si>
    <t>graphite</t>
  </si>
  <si>
    <t>груша дикая (светлая)</t>
  </si>
  <si>
    <t>ПВХ 0,4х19 Белый б/к</t>
  </si>
  <si>
    <t>камень_Akrilika MA-502 Everest 3660*760*12 б/к</t>
  </si>
  <si>
    <t>ПВХ 0,4х19 Вулканический серый б/к</t>
  </si>
  <si>
    <t>Склейка 28 ДСП</t>
  </si>
  <si>
    <t>Кромка ABS FB68 Ares 1х22</t>
  </si>
  <si>
    <t>МДФ 2800х2070х16 лам. Белый 2 ст. б/к</t>
  </si>
  <si>
    <t>KHR Глянец</t>
  </si>
  <si>
    <t>ЛДСП Lamarty 2750*1830*16мм Вулканический серый б/к</t>
  </si>
  <si>
    <t>ЛДСП FB68 Ares 2800х2070х18</t>
  </si>
  <si>
    <t>ЛДСП 16 SwissKrono D4091 Юта 2750х1830 б/к</t>
  </si>
  <si>
    <t>ЛМДФ 2800*2070*22 Белый 2 ст. б/к</t>
  </si>
  <si>
    <t>эмаль KKR мат. б/к</t>
  </si>
  <si>
    <t>анодированный</t>
  </si>
  <si>
    <t>крепление полкодержателя</t>
  </si>
  <si>
    <t>крепление штанги для одежды</t>
  </si>
  <si>
    <t>угловое соединение профилей под 90°</t>
  </si>
  <si>
    <t>стеновое крепление</t>
  </si>
  <si>
    <t>регулируемое основание ножки</t>
  </si>
  <si>
    <t>напр .Tandem+Bl. 400мм п.выдв. с замками</t>
  </si>
  <si>
    <t>напр .Tandem+Bl. 300мм п.выдв. с замками</t>
  </si>
  <si>
    <t>бок. стабил. к TANDEM част. выдв. 550/551 До ном. длины 650мм, до ШК 1400мм</t>
  </si>
  <si>
    <t>штанга</t>
  </si>
  <si>
    <t>эмаль NCS S 1002-Y50R мат. б/к</t>
  </si>
  <si>
    <t>ПВХ 0,4х19 SwissKrono D4091 Юта б/к</t>
  </si>
  <si>
    <t>ЛДСП 16 SwissKrono D4092 MX Винтерберг 2750х1830 б/к</t>
  </si>
  <si>
    <t>ПВХ 0,4х19 SwissKrono D4092 MX Винтерберг б/к</t>
  </si>
  <si>
    <t>напр .Tandem+Bl. 550мм п.выдв. с замками</t>
  </si>
  <si>
    <t>уголок Grandis 22 +заглушка в цвет</t>
  </si>
  <si>
    <t>стена</t>
  </si>
  <si>
    <t>лоток для столовых приборов</t>
  </si>
  <si>
    <t>ящик внутренний Blum TANDEMBOX antaro M (106мм), глуб. 500мм, Белый шелк</t>
  </si>
  <si>
    <t>TANDEMBOX antaro, ручка с поводком д/внутр.ящика, серая</t>
  </si>
  <si>
    <t>шахта вытяжки вертикальная 125мм</t>
  </si>
  <si>
    <t>петля BLUM накладная 110° Без пружины</t>
  </si>
  <si>
    <t>AVENTOS HK-XS TIP-ON, силовой механизм 15</t>
  </si>
  <si>
    <t>AVENTOS HK-XS, крепление в корпусе</t>
  </si>
  <si>
    <t>AVENTOS HK-XS, крепление фасада</t>
  </si>
  <si>
    <t>стяжка VB 35М/16</t>
  </si>
  <si>
    <t>2-уровн сушка в базу 600/16 бронза</t>
  </si>
  <si>
    <t>стеклокерамика</t>
  </si>
  <si>
    <t>86° Ограничитель угла открывания для петли 107°(BLUM)</t>
  </si>
  <si>
    <t>BLUM Tip-on длинный 38 мм</t>
  </si>
  <si>
    <t>BLUM Tip-on короткий 18 мм</t>
  </si>
  <si>
    <t>подвеска полок скрытая, правая</t>
  </si>
  <si>
    <t>заглушка d.10мм для подвески арт.818, белая</t>
  </si>
  <si>
    <t>кронштейн 60х28мм для подвески полок, оцинкованный</t>
  </si>
  <si>
    <t>подвеска полок скрытая, левая</t>
  </si>
  <si>
    <t>400 х 400</t>
  </si>
  <si>
    <t>водоотбойник цоколя 19мм</t>
  </si>
  <si>
    <t>Кол-
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</si>
</sst>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0">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02">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0" fillId="0" borderId="9" xfId="0" applyBorder="1"/>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49" fontId="15" fillId="0" borderId="9" xfId="0" applyNumberFormat="1" applyFont="1" applyBorder="1" applyAlignment="1">
      <alignment horizontal="center"/>
    </xf>
    <xf numFmtId="0" fontId="2" fillId="0" borderId="1" xfId="0" applyFont="1" applyBorder="1" applyAlignment="1">
      <alignment horizontal="left" vertic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228600</xdr:colOff>
          <xdr:row>0</xdr:row>
          <xdr:rowOff>190500</xdr:rowOff>
        </xdr:from>
        <xdr:to>
          <xdr:col>21</xdr:col>
          <xdr:colOff>390525</xdr:colOff>
          <xdr:row>2</xdr:row>
          <xdr:rowOff>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3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400050</xdr:colOff>
          <xdr:row>0</xdr:row>
          <xdr:rowOff>66675</xdr:rowOff>
        </xdr:from>
        <xdr:to>
          <xdr:col>16</xdr:col>
          <xdr:colOff>571500</xdr:colOff>
          <xdr:row>1</xdr:row>
          <xdr:rowOff>257175</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68746</xdr:colOff>
          <xdr:row>0</xdr:row>
          <xdr:rowOff>66675</xdr:rowOff>
        </xdr:from>
        <xdr:to>
          <xdr:col>15</xdr:col>
          <xdr:colOff>240196</xdr:colOff>
          <xdr:row>1</xdr:row>
          <xdr:rowOff>257175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9A44E6E3-F8FA-49BD-B22D-F9DD40E043D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topLeftCell="D1" workbookViewId="0">
      <selection activeCell="AD5" sqref="AD5"/>
    </sheetView>
  </sheetViews>
  <sheetFormatPr defaultRowHeight="15" x14ac:dyDescent="0.25"/>
  <cols>
    <col min="1" max="1" width="50.85546875" customWidth="1"/>
    <col min="2" max="2" width="52" customWidth="1"/>
  </cols>
  <sheetData>
    <row r="1" spans="1:30"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100" t="s">
        <v>94</v>
      </c>
      <c r="B56" s="100" t="s">
        <v>94</v>
      </c>
    </row>
    <row r="57" spans="1:6" s="30" customFormat="1" x14ac:dyDescent="0.25">
      <c r="A57" s="100" t="s">
        <v>88</v>
      </c>
      <c r="B57" s="100" t="s">
        <v>88</v>
      </c>
    </row>
    <row r="58" spans="1:6" s="30" customFormat="1" x14ac:dyDescent="0.25">
      <c r="A58" s="100" t="s">
        <v>89</v>
      </c>
      <c r="B58" s="100" t="s">
        <v>89</v>
      </c>
    </row>
    <row r="59" spans="1:6" s="30" customFormat="1" x14ac:dyDescent="0.25">
      <c r="A59" s="100" t="s">
        <v>96</v>
      </c>
      <c r="B59" s="100" t="s">
        <v>96</v>
      </c>
    </row>
    <row r="60" spans="1:6" s="30" customFormat="1" x14ac:dyDescent="0.25">
      <c r="A60" s="100" t="s">
        <v>93</v>
      </c>
      <c r="B60" s="100" t="s">
        <v>93</v>
      </c>
    </row>
    <row r="61" spans="1:6" s="30" customFormat="1" x14ac:dyDescent="0.25">
      <c r="A61" s="100" t="s">
        <v>95</v>
      </c>
      <c r="B61" s="100" t="s">
        <v>95</v>
      </c>
    </row>
    <row r="62" spans="1:6" s="30" customFormat="1" x14ac:dyDescent="0.25">
      <c r="A62" s="100" t="s">
        <v>115</v>
      </c>
      <c r="B62" s="100" t="s">
        <v>115</v>
      </c>
    </row>
    <row r="63" spans="1:6" s="30" customFormat="1" x14ac:dyDescent="0.25">
      <c r="A63" s="100" t="s">
        <v>116</v>
      </c>
      <c r="B63" s="100" t="s">
        <v>116</v>
      </c>
    </row>
    <row r="64" spans="1:6" s="30" customFormat="1" x14ac:dyDescent="0.25">
      <c r="A64" s="100" t="s">
        <v>117</v>
      </c>
      <c r="B64" s="100" t="s">
        <v>117</v>
      </c>
    </row>
    <row r="65" spans="1:2" s="30" customFormat="1" x14ac:dyDescent="0.25">
      <c r="A65" s="100" t="s">
        <v>111</v>
      </c>
      <c r="B65" s="100" t="s">
        <v>111</v>
      </c>
    </row>
    <row r="66" spans="1:2" s="30" customFormat="1" x14ac:dyDescent="0.25">
      <c r="A66" s="100" t="s">
        <v>112</v>
      </c>
      <c r="B66" s="100" t="s">
        <v>112</v>
      </c>
    </row>
    <row r="67" spans="1:2" s="30" customFormat="1" x14ac:dyDescent="0.25">
      <c r="A67" s="100" t="s">
        <v>123</v>
      </c>
      <c r="B67" s="100" t="s">
        <v>123</v>
      </c>
    </row>
    <row r="68" spans="1:2" s="30" customFormat="1" x14ac:dyDescent="0.25">
      <c r="A68" s="100" t="s">
        <v>113</v>
      </c>
      <c r="B68" s="100" t="s">
        <v>113</v>
      </c>
    </row>
    <row r="69" spans="1:2" s="30" customFormat="1" x14ac:dyDescent="0.25">
      <c r="A69" s="100" t="s">
        <v>114</v>
      </c>
      <c r="B69" s="100" t="s">
        <v>114</v>
      </c>
    </row>
    <row r="70" spans="1:2" s="30" customFormat="1" x14ac:dyDescent="0.25">
      <c r="A70" s="100" t="s">
        <v>124</v>
      </c>
      <c r="B70" s="100" t="s">
        <v>124</v>
      </c>
    </row>
    <row r="71" spans="1:2" s="30" customFormat="1" x14ac:dyDescent="0.25">
      <c r="A71" s="100" t="s">
        <v>125</v>
      </c>
      <c r="B71" s="100" t="s">
        <v>125</v>
      </c>
    </row>
    <row r="72" spans="1:2" s="30" customFormat="1" x14ac:dyDescent="0.25">
      <c r="A72" s="100" t="s">
        <v>126</v>
      </c>
      <c r="B72" s="100" t="s">
        <v>126</v>
      </c>
    </row>
    <row r="73" spans="1:2" s="30" customFormat="1" x14ac:dyDescent="0.25">
      <c r="A73" s="100" t="s">
        <v>118</v>
      </c>
      <c r="B73" s="100" t="s">
        <v>118</v>
      </c>
    </row>
    <row r="74" spans="1:2" s="30" customFormat="1" x14ac:dyDescent="0.25">
      <c r="A74" s="100" t="s">
        <v>127</v>
      </c>
      <c r="B74" s="100" t="s">
        <v>127</v>
      </c>
    </row>
    <row r="75" spans="1:2" s="30" customFormat="1" x14ac:dyDescent="0.25">
      <c r="A75" s="100" t="s">
        <v>128</v>
      </c>
      <c r="B75" s="100" t="s">
        <v>128</v>
      </c>
    </row>
    <row r="76" spans="1:2" s="30" customFormat="1" x14ac:dyDescent="0.25">
      <c r="A76" s="100" t="s">
        <v>129</v>
      </c>
      <c r="B76" s="100" t="s">
        <v>129</v>
      </c>
    </row>
    <row r="77" spans="1:2" s="30" customFormat="1" x14ac:dyDescent="0.25">
      <c r="A77" s="100" t="s">
        <v>130</v>
      </c>
      <c r="B77" s="100" t="s">
        <v>130</v>
      </c>
    </row>
    <row r="78" spans="1:2" s="30" customFormat="1" x14ac:dyDescent="0.25">
      <c r="A78" s="100" t="s">
        <v>131</v>
      </c>
      <c r="B78" s="100" t="s">
        <v>131</v>
      </c>
    </row>
    <row r="79" spans="1:2" s="30" customFormat="1" x14ac:dyDescent="0.25">
      <c r="A79" s="100" t="s">
        <v>132</v>
      </c>
      <c r="B79" s="100" t="s">
        <v>132</v>
      </c>
    </row>
    <row r="80" spans="1:2" s="30" customFormat="1" x14ac:dyDescent="0.25">
      <c r="A80" s="100" t="s">
        <v>133</v>
      </c>
      <c r="B80" s="100" t="s">
        <v>133</v>
      </c>
    </row>
    <row r="81" spans="1:2" s="30" customFormat="1" x14ac:dyDescent="0.25">
      <c r="A81" s="100" t="s">
        <v>134</v>
      </c>
      <c r="B81" s="100" t="s">
        <v>134</v>
      </c>
    </row>
    <row r="82" spans="1:2" s="30" customFormat="1" x14ac:dyDescent="0.25">
      <c r="A82" s="100" t="s">
        <v>135</v>
      </c>
      <c r="B82" s="100" t="s">
        <v>135</v>
      </c>
    </row>
    <row r="83" spans="1:2" s="30" customFormat="1" x14ac:dyDescent="0.25">
      <c r="A83" s="100" t="s">
        <v>136</v>
      </c>
      <c r="B83" s="100" t="s">
        <v>136</v>
      </c>
    </row>
    <row r="84" spans="1:2" s="30" customFormat="1" x14ac:dyDescent="0.25">
      <c r="A84" s="100" t="s">
        <v>137</v>
      </c>
      <c r="B84" s="100" t="s">
        <v>137</v>
      </c>
    </row>
    <row r="85" spans="1:2" s="30" customFormat="1" x14ac:dyDescent="0.25">
      <c r="A85" s="100" t="s">
        <v>138</v>
      </c>
      <c r="B85" s="100" t="s">
        <v>138</v>
      </c>
    </row>
    <row r="86" spans="1:2" s="30" customFormat="1" x14ac:dyDescent="0.25">
      <c r="A86" s="100" t="s">
        <v>119</v>
      </c>
      <c r="B86" s="100" t="s">
        <v>119</v>
      </c>
    </row>
    <row r="87" spans="1:2" s="30" customFormat="1" x14ac:dyDescent="0.25">
      <c r="A87" s="100" t="s">
        <v>139</v>
      </c>
      <c r="B87" s="100" t="s">
        <v>139</v>
      </c>
    </row>
    <row r="88" spans="1:2" s="30" customFormat="1" x14ac:dyDescent="0.25">
      <c r="A88" s="100" t="s">
        <v>140</v>
      </c>
      <c r="B88" s="100" t="s">
        <v>140</v>
      </c>
    </row>
    <row r="89" spans="1:2" s="30" customFormat="1" x14ac:dyDescent="0.25">
      <c r="A89" s="100" t="s">
        <v>141</v>
      </c>
      <c r="B89" s="100" t="s">
        <v>141</v>
      </c>
    </row>
    <row r="90" spans="1:2" s="30" customFormat="1" x14ac:dyDescent="0.25">
      <c r="A90" s="100" t="s">
        <v>120</v>
      </c>
      <c r="B90" s="100" t="s">
        <v>120</v>
      </c>
    </row>
    <row r="91" spans="1:2" s="30" customFormat="1" x14ac:dyDescent="0.25">
      <c r="A91" s="100" t="s">
        <v>121</v>
      </c>
      <c r="B91" s="100" t="s">
        <v>121</v>
      </c>
    </row>
    <row r="92" spans="1:2" s="30" customFormat="1" x14ac:dyDescent="0.25">
      <c r="A92" s="100" t="s">
        <v>142</v>
      </c>
      <c r="B92" s="100" t="s">
        <v>142</v>
      </c>
    </row>
    <row r="93" spans="1:2" s="30" customFormat="1" x14ac:dyDescent="0.25">
      <c r="A93" s="100" t="s">
        <v>143</v>
      </c>
      <c r="B93" s="100" t="s">
        <v>143</v>
      </c>
    </row>
    <row r="94" spans="1:2" s="30" customFormat="1" x14ac:dyDescent="0.25">
      <c r="A94" s="100" t="s">
        <v>122</v>
      </c>
      <c r="B94" s="100" t="s">
        <v>122</v>
      </c>
    </row>
    <row r="95" spans="1:2" s="30" customFormat="1" x14ac:dyDescent="0.25">
      <c r="A95" s="100" t="s">
        <v>144</v>
      </c>
      <c r="B95" s="100" t="s">
        <v>144</v>
      </c>
    </row>
    <row r="96" spans="1:2" s="30" customFormat="1" x14ac:dyDescent="0.25">
      <c r="A96" s="100" t="s">
        <v>145</v>
      </c>
      <c r="B96" s="100" t="s">
        <v>145</v>
      </c>
    </row>
    <row r="97" spans="1:2" s="30" customFormat="1" x14ac:dyDescent="0.25">
      <c r="A97" s="100" t="s">
        <v>146</v>
      </c>
      <c r="B97" s="100" t="s">
        <v>146</v>
      </c>
    </row>
    <row r="98" spans="1:2" s="30" customFormat="1" x14ac:dyDescent="0.25">
      <c r="A98" s="100" t="s">
        <v>147</v>
      </c>
      <c r="B98" s="100" t="s">
        <v>147</v>
      </c>
    </row>
    <row r="99" spans="1:2" s="30" customFormat="1" x14ac:dyDescent="0.25">
      <c r="A99" s="100" t="s">
        <v>148</v>
      </c>
      <c r="B99" s="100" t="s">
        <v>148</v>
      </c>
    </row>
    <row r="100" spans="1:2" s="30" customFormat="1" x14ac:dyDescent="0.25">
      <c r="A100" s="100" t="s">
        <v>149</v>
      </c>
      <c r="B100" s="100" t="s">
        <v>149</v>
      </c>
    </row>
    <row r="101" spans="1:2" s="30" customFormat="1" x14ac:dyDescent="0.25">
      <c r="A101" s="100" t="s">
        <v>150</v>
      </c>
      <c r="B101" s="100" t="s">
        <v>150</v>
      </c>
    </row>
    <row r="102" spans="1:2" s="30" customFormat="1" x14ac:dyDescent="0.25">
      <c r="A102" s="100" t="s">
        <v>151</v>
      </c>
      <c r="B102" s="100" t="s">
        <v>151</v>
      </c>
    </row>
    <row r="103" spans="1:2" s="30" customFormat="1" x14ac:dyDescent="0.25">
      <c r="A103" s="100" t="s">
        <v>152</v>
      </c>
      <c r="B103" s="100" t="s">
        <v>152</v>
      </c>
    </row>
    <row r="104" spans="1:2" s="30" customFormat="1" x14ac:dyDescent="0.25">
      <c r="A104" s="100" t="s">
        <v>153</v>
      </c>
      <c r="B104" s="100" t="s">
        <v>153</v>
      </c>
    </row>
    <row r="105" spans="1:2" s="30" customFormat="1" x14ac:dyDescent="0.25">
      <c r="A105" s="100" t="s">
        <v>154</v>
      </c>
      <c r="B105" s="100" t="s">
        <v>154</v>
      </c>
    </row>
    <row r="106" spans="1:2" s="30" customFormat="1" x14ac:dyDescent="0.25">
      <c r="A106" s="100" t="s">
        <v>155</v>
      </c>
      <c r="B106" s="100" t="s">
        <v>155</v>
      </c>
    </row>
    <row r="107" spans="1:2" s="30" customFormat="1" x14ac:dyDescent="0.25">
      <c r="A107" s="100" t="s">
        <v>156</v>
      </c>
      <c r="B107" s="100" t="s">
        <v>156</v>
      </c>
    </row>
    <row r="108" spans="1:2" s="30" customFormat="1" x14ac:dyDescent="0.25">
      <c r="A108" s="100" t="s">
        <v>157</v>
      </c>
      <c r="B108" s="100" t="s">
        <v>157</v>
      </c>
    </row>
    <row r="109" spans="1:2" s="30" customFormat="1" x14ac:dyDescent="0.25">
      <c r="A109" s="100" t="s">
        <v>158</v>
      </c>
      <c r="B109" s="100" t="s">
        <v>158</v>
      </c>
    </row>
    <row r="110" spans="1:2" s="30" customFormat="1" x14ac:dyDescent="0.25">
      <c r="A110" s="100" t="s">
        <v>159</v>
      </c>
      <c r="B110" s="100" t="s">
        <v>159</v>
      </c>
    </row>
    <row r="111" spans="1:2" s="30" customFormat="1" x14ac:dyDescent="0.25">
      <c r="A111" s="100" t="s">
        <v>160</v>
      </c>
      <c r="B111" s="100" t="s">
        <v>160</v>
      </c>
    </row>
    <row r="112" spans="1:2" s="30" customFormat="1" x14ac:dyDescent="0.25">
      <c r="A112" s="100" t="s">
        <v>161</v>
      </c>
      <c r="B112" s="100" t="s">
        <v>161</v>
      </c>
    </row>
    <row r="113" spans="1:2" s="30" customFormat="1" x14ac:dyDescent="0.25">
      <c r="A113" s="100" t="s">
        <v>162</v>
      </c>
      <c r="B113" s="100" t="s">
        <v>162</v>
      </c>
    </row>
    <row r="114" spans="1:2" s="30" customFormat="1" x14ac:dyDescent="0.25">
      <c r="A114" s="100" t="s">
        <v>163</v>
      </c>
      <c r="B114" s="100" t="s">
        <v>163</v>
      </c>
    </row>
    <row r="115" spans="1:2" s="30" customFormat="1" x14ac:dyDescent="0.25">
      <c r="A115" s="100" t="s">
        <v>164</v>
      </c>
      <c r="B115" s="100" t="s">
        <v>164</v>
      </c>
    </row>
    <row r="116" spans="1:2" s="30" customFormat="1" x14ac:dyDescent="0.25">
      <c r="A116" s="100" t="s">
        <v>165</v>
      </c>
      <c r="B116" s="100" t="s">
        <v>165</v>
      </c>
    </row>
    <row r="117" spans="1:2" s="30" customFormat="1" x14ac:dyDescent="0.25">
      <c r="A117" s="100" t="s">
        <v>166</v>
      </c>
      <c r="B117" s="100" t="s">
        <v>166</v>
      </c>
    </row>
    <row r="118" spans="1:2" s="30" customFormat="1" x14ac:dyDescent="0.25">
      <c r="A118" s="100" t="s">
        <v>167</v>
      </c>
      <c r="B118" s="100" t="s">
        <v>167</v>
      </c>
    </row>
    <row r="119" spans="1:2" s="30" customFormat="1" x14ac:dyDescent="0.25">
      <c r="A119" s="100" t="s">
        <v>168</v>
      </c>
      <c r="B119" s="100" t="s">
        <v>168</v>
      </c>
    </row>
    <row r="120" spans="1:2" s="30" customFormat="1" x14ac:dyDescent="0.25">
      <c r="A120" s="100" t="s">
        <v>169</v>
      </c>
      <c r="B120" s="100" t="s">
        <v>169</v>
      </c>
    </row>
    <row r="121" spans="1:2" s="30" customFormat="1" x14ac:dyDescent="0.25">
      <c r="A121" s="100" t="s">
        <v>170</v>
      </c>
      <c r="B121" s="100" t="s">
        <v>170</v>
      </c>
    </row>
    <row r="122" spans="1:2" s="30" customFormat="1" x14ac:dyDescent="0.25">
      <c r="A122" s="100" t="s">
        <v>171</v>
      </c>
      <c r="B122" s="100" t="s">
        <v>171</v>
      </c>
    </row>
    <row r="123" spans="1:2" s="30" customFormat="1" x14ac:dyDescent="0.25">
      <c r="A123" s="100" t="s">
        <v>172</v>
      </c>
      <c r="B123" s="100" t="s">
        <v>172</v>
      </c>
    </row>
    <row r="124" spans="1:2" s="30" customFormat="1" x14ac:dyDescent="0.25">
      <c r="A124" s="100" t="s">
        <v>173</v>
      </c>
      <c r="B124" s="100" t="s">
        <v>173</v>
      </c>
    </row>
    <row r="125" spans="1:2" s="30" customFormat="1" x14ac:dyDescent="0.25">
      <c r="A125" s="100" t="s">
        <v>174</v>
      </c>
      <c r="B125" s="100" t="s">
        <v>174</v>
      </c>
    </row>
    <row r="126" spans="1:2" s="30" customFormat="1" x14ac:dyDescent="0.25">
      <c r="A126" s="100" t="s">
        <v>175</v>
      </c>
      <c r="B126" s="100" t="s">
        <v>175</v>
      </c>
    </row>
    <row r="127" spans="1:2" s="30" customFormat="1" x14ac:dyDescent="0.25">
      <c r="A127" s="100" t="s">
        <v>176</v>
      </c>
      <c r="B127" s="100" t="s">
        <v>176</v>
      </c>
    </row>
    <row r="128" spans="1:2" s="30" customFormat="1" x14ac:dyDescent="0.25">
      <c r="A128" s="100" t="s">
        <v>177</v>
      </c>
      <c r="B128" s="100" t="s">
        <v>177</v>
      </c>
    </row>
    <row r="129" spans="1:2" s="30" customFormat="1" x14ac:dyDescent="0.25">
      <c r="A129" s="100" t="s">
        <v>178</v>
      </c>
      <c r="B129" s="100" t="s">
        <v>178</v>
      </c>
    </row>
    <row r="130" spans="1:2" s="30" customFormat="1" x14ac:dyDescent="0.25">
      <c r="A130" s="100" t="s">
        <v>179</v>
      </c>
      <c r="B130" s="100" t="s">
        <v>179</v>
      </c>
    </row>
    <row r="131" spans="1:2" s="30" customFormat="1" x14ac:dyDescent="0.25">
      <c r="A131" s="100" t="s">
        <v>180</v>
      </c>
      <c r="B131" s="100" t="s">
        <v>180</v>
      </c>
    </row>
    <row r="132" spans="1:2" s="30" customFormat="1" x14ac:dyDescent="0.25">
      <c r="A132" s="100" t="s">
        <v>181</v>
      </c>
      <c r="B132" s="100" t="s">
        <v>181</v>
      </c>
    </row>
    <row r="133" spans="1:2" s="30" customFormat="1" x14ac:dyDescent="0.25">
      <c r="A133" s="100" t="s">
        <v>182</v>
      </c>
      <c r="B133" s="100" t="s">
        <v>182</v>
      </c>
    </row>
    <row r="134" spans="1:2" s="30" customFormat="1" x14ac:dyDescent="0.25">
      <c r="A134" s="100" t="s">
        <v>183</v>
      </c>
      <c r="B134" s="100" t="s">
        <v>183</v>
      </c>
    </row>
    <row r="135" spans="1:2" s="30" customFormat="1" x14ac:dyDescent="0.25">
      <c r="A135" s="100" t="s">
        <v>184</v>
      </c>
      <c r="B135" s="100" t="s">
        <v>184</v>
      </c>
    </row>
    <row r="136" spans="1:2" s="30" customFormat="1" x14ac:dyDescent="0.25">
      <c r="A136" s="100" t="s">
        <v>185</v>
      </c>
      <c r="B136" s="100" t="s">
        <v>185</v>
      </c>
    </row>
    <row r="137" spans="1:2" s="30" customFormat="1" x14ac:dyDescent="0.25">
      <c r="A137" s="100" t="s">
        <v>186</v>
      </c>
      <c r="B137" s="100" t="s">
        <v>186</v>
      </c>
    </row>
    <row r="138" spans="1:2" s="30" customFormat="1" x14ac:dyDescent="0.25">
      <c r="A138" s="100" t="s">
        <v>187</v>
      </c>
      <c r="B138" s="100" t="s">
        <v>187</v>
      </c>
    </row>
    <row r="139" spans="1:2" s="30" customFormat="1" x14ac:dyDescent="0.25">
      <c r="A139" s="100" t="s">
        <v>188</v>
      </c>
      <c r="B139" s="100" t="s">
        <v>188</v>
      </c>
    </row>
    <row r="140" spans="1:2" s="30" customFormat="1" x14ac:dyDescent="0.25">
      <c r="A140" s="100" t="s">
        <v>189</v>
      </c>
      <c r="B140" s="100" t="s">
        <v>189</v>
      </c>
    </row>
    <row r="141" spans="1:2" s="30" customFormat="1" x14ac:dyDescent="0.25">
      <c r="A141" s="100" t="s">
        <v>190</v>
      </c>
      <c r="B141" s="100" t="s">
        <v>190</v>
      </c>
    </row>
    <row r="142" spans="1:2" s="30" customFormat="1" x14ac:dyDescent="0.25">
      <c r="A142" s="100" t="s">
        <v>191</v>
      </c>
      <c r="B142" s="100" t="s">
        <v>191</v>
      </c>
    </row>
    <row r="143" spans="1:2" s="30" customFormat="1" x14ac:dyDescent="0.25">
      <c r="A143" s="100" t="s">
        <v>192</v>
      </c>
      <c r="B143" s="100" t="s">
        <v>192</v>
      </c>
    </row>
    <row r="144" spans="1:2" s="30" customFormat="1" x14ac:dyDescent="0.25">
      <c r="A144" s="100" t="s">
        <v>193</v>
      </c>
      <c r="B144" s="100" t="s">
        <v>193</v>
      </c>
    </row>
    <row r="145" spans="1:2" s="30" customFormat="1" x14ac:dyDescent="0.25">
      <c r="A145" s="100" t="s">
        <v>194</v>
      </c>
      <c r="B145" s="100" t="s">
        <v>194</v>
      </c>
    </row>
    <row r="146" spans="1:2" s="30" customFormat="1" x14ac:dyDescent="0.25">
      <c r="A146" s="100" t="s">
        <v>195</v>
      </c>
      <c r="B146" s="100" t="s">
        <v>195</v>
      </c>
    </row>
    <row r="147" spans="1:2" s="30" customFormat="1" x14ac:dyDescent="0.25">
      <c r="A147" s="100" t="s">
        <v>196</v>
      </c>
      <c r="B147" s="100" t="s">
        <v>196</v>
      </c>
    </row>
    <row r="148" spans="1:2" s="30" customFormat="1" x14ac:dyDescent="0.25">
      <c r="A148" s="100" t="s">
        <v>197</v>
      </c>
      <c r="B148" s="100" t="s">
        <v>197</v>
      </c>
    </row>
    <row r="149" spans="1:2" s="30" customFormat="1" x14ac:dyDescent="0.25">
      <c r="A149" s="100" t="s">
        <v>198</v>
      </c>
      <c r="B149" s="100" t="s">
        <v>198</v>
      </c>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B4" sqref="B4"/>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107</v>
      </c>
      <c r="C1" s="38">
        <v>1</v>
      </c>
      <c r="J1" s="19"/>
      <c r="O1" s="20" t="s">
        <v>27</v>
      </c>
      <c r="P1" s="30">
        <v>10</v>
      </c>
      <c r="Q1" s="30">
        <v>20</v>
      </c>
      <c r="S1" s="30" t="s">
        <v>51</v>
      </c>
      <c r="X1" s="30" t="s">
        <v>54</v>
      </c>
      <c r="AA1"/>
      <c r="AB1"/>
      <c r="AC1"/>
      <c r="AD1"/>
      <c r="AE1"/>
      <c r="AG1" s="30" t="s">
        <v>36</v>
      </c>
    </row>
    <row r="2" spans="1:56" ht="18.75" x14ac:dyDescent="0.3">
      <c r="A2" s="1" t="str">
        <f>A1</f>
        <v>bCad-teh2</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E3" s="3" t="s">
        <v>106</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bCad-teh2.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bCad-teh2.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bCad-teh2.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election activeCell="D39" sqref="D39"/>
    </sheetView>
  </sheetViews>
  <sheetFormatPr defaultRowHeight="15" x14ac:dyDescent="0.25"/>
  <cols>
    <col min="1" max="1" width="9.140625" style="81"/>
  </cols>
  <sheetData/>
  <pageMargins left="0.7" right="0.7" top="0.75" bottom="0.75" header="0.3" footer="0.3"/>
  <pageSetup paperSize="9" orientation="portrait" r:id="rId1"/>
  <headerFooter>
    <oddHeader>&amp;R&amp;D. &amp;T. Страница &amp;P/&amp;N&amp;LСКЛАД bCad-teh2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O34"/>
  <sheetViews>
    <sheetView view="pageBreakPreview" zoomScale="85" zoomScaleNormal="100" zoomScaleSheetLayoutView="85" workbookViewId="0">
      <selection activeCell="E26" sqref="E26"/>
    </sheetView>
  </sheetViews>
  <sheetFormatPr defaultRowHeight="15" x14ac:dyDescent="0.25"/>
  <cols>
    <col min="2" max="2" width="21.85546875" customWidth="1"/>
    <col min="10" max="10" width="15.7109375" customWidth="1"/>
    <col min="13" max="13" width="23.5703125" bestFit="1" customWidth="1"/>
  </cols>
  <sheetData>
    <row r="1" spans="1:15" ht="18.75" x14ac:dyDescent="0.3">
      <c r="A1" s="1" t="s">
        <v>108</v>
      </c>
      <c r="C1" s="82"/>
      <c r="D1" s="82"/>
      <c r="E1" s="30"/>
      <c r="F1" s="30"/>
      <c r="G1" s="30"/>
      <c r="H1" s="83"/>
      <c r="I1" s="83"/>
      <c r="J1" s="30"/>
      <c r="K1" s="30"/>
      <c r="L1" s="30"/>
      <c r="M1" s="84"/>
    </row>
    <row r="2" spans="1:15" ht="30" x14ac:dyDescent="0.25">
      <c r="A2" s="65" t="s">
        <v>6</v>
      </c>
      <c r="B2" s="65" t="str">
        <f>"Наименование"</f>
        <v>Наименование</v>
      </c>
      <c r="C2" s="85" t="s">
        <v>9</v>
      </c>
      <c r="D2" s="85" t="s">
        <v>11</v>
      </c>
      <c r="E2" s="86" t="s">
        <v>98</v>
      </c>
      <c r="F2" s="85" t="s">
        <v>10</v>
      </c>
      <c r="G2" s="85" t="s">
        <v>12</v>
      </c>
      <c r="H2" s="87" t="s">
        <v>99</v>
      </c>
      <c r="I2" s="65" t="s">
        <v>2</v>
      </c>
      <c r="J2" s="65" t="s">
        <v>48</v>
      </c>
      <c r="K2" s="65" t="s">
        <v>49</v>
      </c>
      <c r="L2" s="65" t="s">
        <v>50</v>
      </c>
      <c r="M2" s="65" t="s">
        <v>4</v>
      </c>
    </row>
    <row r="3" spans="1:15" s="30" customFormat="1" x14ac:dyDescent="0.25">
      <c r="A3" s="96"/>
      <c r="B3" s="96"/>
      <c r="C3" s="96"/>
      <c r="D3" s="96"/>
      <c r="E3" s="96"/>
      <c r="F3" s="96"/>
      <c r="G3" s="96"/>
      <c r="H3" s="96"/>
      <c r="I3" s="96"/>
      <c r="J3" s="96"/>
      <c r="K3" s="96"/>
      <c r="L3" s="96"/>
      <c r="M3" s="96"/>
      <c r="N3" s="96"/>
      <c r="O3" s="96"/>
    </row>
    <row r="4" spans="1:15" s="30" customFormat="1" x14ac:dyDescent="0.25">
      <c r="A4" s="96"/>
      <c r="B4" s="96"/>
      <c r="C4" s="96"/>
      <c r="D4" s="96"/>
      <c r="E4" s="96"/>
      <c r="F4" s="96"/>
      <c r="G4" s="96"/>
      <c r="H4" s="96"/>
      <c r="I4" s="96"/>
      <c r="J4" s="96"/>
      <c r="K4" s="96"/>
      <c r="L4" s="96"/>
      <c r="M4" s="96"/>
      <c r="N4" s="96"/>
      <c r="O4" s="96"/>
    </row>
    <row r="5" spans="1:15" s="30" customFormat="1" x14ac:dyDescent="0.25">
      <c r="A5" s="96"/>
      <c r="B5" s="96"/>
      <c r="C5" s="96"/>
      <c r="D5" s="96"/>
      <c r="E5" s="96"/>
      <c r="F5" s="96"/>
      <c r="G5" s="96"/>
      <c r="H5" s="96"/>
      <c r="I5" s="96"/>
      <c r="J5" s="96"/>
      <c r="K5" s="96"/>
      <c r="L5" s="96"/>
      <c r="M5" s="96"/>
      <c r="N5" s="96"/>
      <c r="O5" s="96"/>
    </row>
    <row r="6" spans="1:15" s="30" customFormat="1" x14ac:dyDescent="0.25">
      <c r="A6" s="96"/>
      <c r="B6" s="96"/>
      <c r="C6" s="96"/>
      <c r="D6" s="96"/>
      <c r="E6" s="96"/>
      <c r="F6" s="96"/>
      <c r="G6" s="96"/>
      <c r="H6" s="96"/>
      <c r="I6" s="96"/>
      <c r="J6" s="96"/>
      <c r="K6" s="96"/>
      <c r="L6" s="96"/>
      <c r="M6" s="96"/>
      <c r="N6" s="96"/>
      <c r="O6" s="96"/>
    </row>
    <row r="7" spans="1:15" s="30" customFormat="1" x14ac:dyDescent="0.25">
      <c r="A7" s="96"/>
      <c r="B7" s="96"/>
      <c r="C7" s="96"/>
      <c r="D7" s="96"/>
      <c r="E7" s="96"/>
      <c r="F7" s="96"/>
      <c r="G7" s="96"/>
      <c r="H7" s="96"/>
      <c r="I7" s="96"/>
      <c r="J7" s="96"/>
      <c r="K7" s="96"/>
      <c r="L7" s="96"/>
      <c r="M7" s="96"/>
      <c r="N7" s="96"/>
      <c r="O7" s="96"/>
    </row>
    <row r="8" spans="1:15" s="30" customFormat="1" x14ac:dyDescent="0.25">
      <c r="A8" s="96"/>
      <c r="B8" s="96"/>
      <c r="C8" s="96"/>
      <c r="D8" s="96"/>
      <c r="E8" s="96"/>
      <c r="F8" s="96"/>
      <c r="G8" s="96"/>
      <c r="H8" s="96"/>
      <c r="I8" s="96"/>
      <c r="J8" s="96"/>
      <c r="K8" s="96"/>
      <c r="L8" s="96"/>
      <c r="M8" s="96"/>
      <c r="N8" s="96"/>
      <c r="O8" s="96"/>
    </row>
    <row r="9" spans="1:15" s="30" customFormat="1" x14ac:dyDescent="0.25">
      <c r="A9" s="96"/>
      <c r="B9" s="96"/>
      <c r="C9" s="96"/>
      <c r="D9" s="96"/>
      <c r="E9" s="96"/>
      <c r="F9" s="96"/>
      <c r="G9" s="96"/>
      <c r="H9" s="96"/>
      <c r="I9" s="96"/>
      <c r="J9" s="96"/>
      <c r="K9" s="96"/>
      <c r="L9" s="96"/>
      <c r="M9" s="96"/>
      <c r="N9" s="96"/>
      <c r="O9" s="96"/>
    </row>
    <row r="10" spans="1:15" s="30" customFormat="1" x14ac:dyDescent="0.25">
      <c r="A10" s="96"/>
      <c r="B10" s="96"/>
      <c r="C10" s="96"/>
      <c r="D10" s="96"/>
      <c r="E10" s="96"/>
      <c r="F10" s="96"/>
      <c r="G10" s="96"/>
      <c r="H10" s="96"/>
      <c r="I10" s="96"/>
      <c r="J10" s="96"/>
      <c r="K10" s="96"/>
      <c r="L10" s="96"/>
      <c r="M10" s="96"/>
      <c r="N10" s="96"/>
      <c r="O10" s="96"/>
    </row>
    <row r="11" spans="1:15" s="30" customFormat="1" x14ac:dyDescent="0.25">
      <c r="A11" s="96"/>
      <c r="B11" s="96"/>
      <c r="C11" s="96"/>
      <c r="D11" s="96"/>
      <c r="E11" s="96"/>
      <c r="F11" s="96"/>
      <c r="G11" s="96"/>
      <c r="H11" s="96"/>
      <c r="I11" s="96"/>
      <c r="J11" s="96"/>
      <c r="K11" s="96"/>
      <c r="L11" s="96"/>
      <c r="M11" s="96"/>
      <c r="N11" s="96"/>
      <c r="O11" s="96"/>
    </row>
    <row r="12" spans="1:15" s="30" customFormat="1" x14ac:dyDescent="0.25">
      <c r="A12" s="96"/>
      <c r="B12" s="96"/>
      <c r="C12" s="96"/>
      <c r="D12" s="96"/>
      <c r="E12" s="96"/>
      <c r="F12" s="96"/>
      <c r="G12" s="96"/>
      <c r="H12" s="96"/>
      <c r="I12" s="96"/>
      <c r="J12" s="96"/>
      <c r="K12" s="96"/>
      <c r="L12" s="96"/>
      <c r="M12" s="96"/>
      <c r="N12" s="96"/>
      <c r="O12" s="96"/>
    </row>
    <row r="13" spans="1:15" s="30" customFormat="1" x14ac:dyDescent="0.25">
      <c r="A13" s="96"/>
      <c r="B13" s="96"/>
      <c r="C13" s="96"/>
      <c r="D13" s="96"/>
      <c r="E13" s="96"/>
      <c r="F13" s="96"/>
      <c r="G13" s="96"/>
      <c r="H13" s="96"/>
      <c r="I13" s="96"/>
      <c r="J13" s="96"/>
      <c r="K13" s="96"/>
      <c r="L13" s="96"/>
      <c r="M13" s="96"/>
      <c r="N13" s="96"/>
      <c r="O13" s="96"/>
    </row>
    <row r="14" spans="1:15" s="30" customFormat="1" x14ac:dyDescent="0.25">
      <c r="A14" s="96"/>
      <c r="B14" s="96"/>
      <c r="C14" s="96"/>
      <c r="D14" s="96"/>
      <c r="E14" s="96"/>
      <c r="F14" s="96"/>
      <c r="G14" s="96"/>
      <c r="H14" s="96"/>
      <c r="I14" s="96"/>
      <c r="J14" s="96"/>
      <c r="K14" s="96"/>
      <c r="L14" s="96"/>
      <c r="M14" s="96"/>
      <c r="N14" s="96"/>
      <c r="O14" s="96"/>
    </row>
    <row r="15" spans="1:15" s="30" customFormat="1" x14ac:dyDescent="0.25">
      <c r="A15" s="96"/>
      <c r="B15" s="96"/>
      <c r="C15" s="96"/>
      <c r="D15" s="96"/>
      <c r="E15" s="96"/>
      <c r="F15" s="96"/>
      <c r="G15" s="96"/>
      <c r="H15" s="96"/>
      <c r="I15" s="96"/>
      <c r="J15" s="96"/>
      <c r="K15" s="96"/>
      <c r="L15" s="96"/>
      <c r="M15" s="96"/>
      <c r="N15" s="96"/>
      <c r="O15" s="96"/>
    </row>
    <row r="16" spans="1:15" s="30" customFormat="1" x14ac:dyDescent="0.25">
      <c r="A16" s="96"/>
      <c r="B16" s="96"/>
      <c r="C16" s="96"/>
      <c r="D16" s="96"/>
      <c r="E16" s="96"/>
      <c r="F16" s="96"/>
      <c r="G16" s="96"/>
      <c r="H16" s="96"/>
      <c r="I16" s="96"/>
      <c r="J16" s="96"/>
      <c r="K16" s="96"/>
      <c r="L16" s="96"/>
      <c r="M16" s="96"/>
      <c r="N16" s="96"/>
      <c r="O16" s="96"/>
    </row>
    <row r="17" spans="1:15" s="30" customFormat="1" x14ac:dyDescent="0.25">
      <c r="A17" s="96"/>
      <c r="B17" s="96"/>
      <c r="C17" s="96"/>
      <c r="D17" s="96"/>
      <c r="E17" s="96"/>
      <c r="F17" s="96"/>
      <c r="G17" s="96"/>
      <c r="H17" s="96"/>
      <c r="I17" s="96"/>
      <c r="J17" s="96"/>
      <c r="K17" s="96"/>
      <c r="L17" s="96"/>
      <c r="M17" s="96"/>
      <c r="N17" s="96"/>
      <c r="O17" s="96"/>
    </row>
    <row r="18" spans="1:15" s="30" customFormat="1" x14ac:dyDescent="0.25">
      <c r="A18" s="96"/>
      <c r="B18" s="96"/>
      <c r="C18" s="96"/>
      <c r="D18" s="96"/>
      <c r="E18" s="96"/>
      <c r="F18" s="96"/>
      <c r="G18" s="96"/>
      <c r="H18" s="96"/>
      <c r="I18" s="96"/>
      <c r="J18" s="96"/>
      <c r="K18" s="96"/>
      <c r="L18" s="96"/>
      <c r="M18" s="96"/>
      <c r="N18" s="96"/>
      <c r="O18" s="96"/>
    </row>
    <row r="19" spans="1:15" s="30" customFormat="1" x14ac:dyDescent="0.25">
      <c r="A19" s="96"/>
      <c r="B19" s="96"/>
      <c r="C19" s="96"/>
      <c r="D19" s="96"/>
      <c r="E19" s="96"/>
      <c r="F19" s="96"/>
      <c r="G19" s="96"/>
      <c r="H19" s="96"/>
      <c r="I19" s="96"/>
      <c r="J19" s="96"/>
      <c r="K19" s="96"/>
      <c r="L19" s="96"/>
      <c r="M19" s="96"/>
      <c r="N19" s="96"/>
      <c r="O19" s="96"/>
    </row>
    <row r="20" spans="1:15" s="30" customFormat="1" x14ac:dyDescent="0.25">
      <c r="A20" s="96"/>
      <c r="B20" s="96"/>
      <c r="C20" s="96"/>
      <c r="D20" s="96"/>
      <c r="E20" s="96"/>
      <c r="F20" s="96"/>
      <c r="G20" s="96"/>
      <c r="H20" s="96"/>
      <c r="I20" s="96"/>
      <c r="J20" s="96"/>
      <c r="K20" s="96"/>
      <c r="L20" s="96"/>
      <c r="M20" s="96"/>
      <c r="N20" s="96"/>
      <c r="O20" s="96"/>
    </row>
    <row r="21" spans="1:15" s="30" customFormat="1" x14ac:dyDescent="0.25">
      <c r="A21" s="96"/>
      <c r="B21" s="96"/>
      <c r="C21" s="96"/>
      <c r="D21" s="96"/>
      <c r="E21" s="96"/>
      <c r="F21" s="96"/>
      <c r="G21" s="96"/>
      <c r="H21" s="96"/>
      <c r="I21" s="96"/>
      <c r="J21" s="96"/>
      <c r="K21" s="96"/>
      <c r="L21" s="96"/>
      <c r="M21" s="96"/>
      <c r="N21" s="96"/>
      <c r="O21" s="96"/>
    </row>
    <row r="22" spans="1:15" x14ac:dyDescent="0.25">
      <c r="A22" s="13"/>
      <c r="B22" s="30"/>
      <c r="C22" s="30"/>
      <c r="D22" s="30"/>
      <c r="E22" s="50"/>
      <c r="F22" s="35"/>
      <c r="G22" s="34"/>
      <c r="H22" s="88" t="s">
        <v>100</v>
      </c>
      <c r="I22" s="94">
        <f>SUM(I3:I21)</f>
        <v>0</v>
      </c>
      <c r="J22" s="88"/>
      <c r="K22" s="88"/>
      <c r="L22" s="88" t="s">
        <v>101</v>
      </c>
      <c r="M22" s="94">
        <f>SUM(N3:N21)</f>
        <v>0</v>
      </c>
    </row>
    <row r="23" spans="1:15" x14ac:dyDescent="0.25">
      <c r="A23" s="34"/>
      <c r="B23" s="34"/>
      <c r="C23" s="89"/>
      <c r="D23" s="90"/>
      <c r="E23" s="35"/>
      <c r="F23" s="34"/>
      <c r="G23" s="34"/>
      <c r="H23" s="36"/>
      <c r="I23" s="30"/>
      <c r="J23" s="30"/>
      <c r="K23" s="30"/>
      <c r="L23" s="30"/>
      <c r="M23" s="30"/>
    </row>
    <row r="24" spans="1:15" x14ac:dyDescent="0.25">
      <c r="A24" s="2" t="s">
        <v>8</v>
      </c>
      <c r="B24" s="30"/>
      <c r="C24" s="30"/>
      <c r="D24" s="30"/>
      <c r="E24" s="30"/>
      <c r="F24" s="30"/>
      <c r="G24" s="30"/>
      <c r="H24" s="30"/>
      <c r="I24" s="30"/>
      <c r="J24" s="30"/>
      <c r="K24" s="30"/>
      <c r="L24" s="30"/>
      <c r="M24" s="30"/>
    </row>
    <row r="25" spans="1:15" x14ac:dyDescent="0.25">
      <c r="A25" s="30" t="s">
        <v>102</v>
      </c>
      <c r="B25" s="30"/>
      <c r="C25" s="30"/>
      <c r="D25" s="30"/>
      <c r="E25" s="30"/>
      <c r="F25" s="30"/>
      <c r="G25" s="30"/>
      <c r="H25" s="30"/>
      <c r="I25" s="30"/>
      <c r="J25" s="30"/>
      <c r="K25" s="30"/>
      <c r="L25" s="30"/>
      <c r="M25" s="30"/>
    </row>
    <row r="26" spans="1:15" x14ac:dyDescent="0.25">
      <c r="A26" s="30" t="s">
        <v>103</v>
      </c>
      <c r="B26" s="30"/>
      <c r="C26" s="30"/>
      <c r="D26" s="30"/>
      <c r="E26" s="30"/>
      <c r="F26" s="30"/>
      <c r="G26" s="30"/>
      <c r="H26" s="30"/>
      <c r="I26" s="30"/>
      <c r="J26" s="30"/>
      <c r="K26" s="30"/>
      <c r="L26" s="30"/>
      <c r="M26" s="30"/>
    </row>
    <row r="27" spans="1:15" x14ac:dyDescent="0.25">
      <c r="A27" s="30" t="s">
        <v>104</v>
      </c>
      <c r="B27" s="30"/>
      <c r="C27" s="30"/>
      <c r="D27" s="30"/>
      <c r="E27" s="30"/>
      <c r="F27" s="30"/>
      <c r="G27" s="30"/>
      <c r="H27" s="30"/>
      <c r="I27" s="30"/>
      <c r="J27" s="30"/>
      <c r="K27" s="30"/>
      <c r="L27" s="30"/>
      <c r="M27" s="30"/>
    </row>
    <row r="28" spans="1:15" x14ac:dyDescent="0.25">
      <c r="A28" s="30"/>
      <c r="B28" s="30"/>
      <c r="C28" s="30"/>
      <c r="D28" s="30"/>
      <c r="E28" s="30"/>
      <c r="F28" s="30"/>
      <c r="G28" s="30"/>
      <c r="H28" s="30"/>
      <c r="I28" s="30"/>
      <c r="J28" s="30"/>
      <c r="K28" s="30"/>
      <c r="L28" s="30"/>
      <c r="M28" s="30"/>
    </row>
    <row r="29" spans="1:15" ht="18.75" x14ac:dyDescent="0.3">
      <c r="B29" s="1" t="s">
        <v>41</v>
      </c>
      <c r="C29" s="38"/>
      <c r="D29" s="30"/>
      <c r="E29" s="30"/>
      <c r="F29" s="38"/>
      <c r="G29" s="38"/>
      <c r="H29" s="30"/>
      <c r="I29" s="30"/>
      <c r="J29" s="30"/>
      <c r="K29" s="30"/>
      <c r="L29" s="30"/>
      <c r="M29" s="30"/>
    </row>
    <row r="30" spans="1:15" x14ac:dyDescent="0.25">
      <c r="A30" s="91" t="s">
        <v>6</v>
      </c>
      <c r="B30" s="97" t="s">
        <v>14</v>
      </c>
      <c r="C30" s="98"/>
      <c r="D30" s="98"/>
      <c r="E30" s="98"/>
      <c r="F30" s="98"/>
      <c r="G30" s="99"/>
      <c r="H30" s="92" t="s">
        <v>31</v>
      </c>
      <c r="I30" s="93" t="s">
        <v>30</v>
      </c>
      <c r="J30" s="91" t="s">
        <v>48</v>
      </c>
      <c r="K30" s="91" t="s">
        <v>52</v>
      </c>
      <c r="L30" s="91" t="s">
        <v>53</v>
      </c>
      <c r="M30" s="30"/>
    </row>
    <row r="31" spans="1:15" x14ac:dyDescent="0.25">
      <c r="A31" s="3"/>
      <c r="B31" s="4"/>
      <c r="C31" s="46"/>
      <c r="D31" s="62"/>
      <c r="E31" s="63"/>
      <c r="F31" s="5"/>
      <c r="G31" s="43"/>
      <c r="H31" s="59"/>
      <c r="I31" s="18"/>
      <c r="J31" s="3"/>
      <c r="K31" s="3"/>
      <c r="L31" s="55"/>
      <c r="M31" s="56"/>
    </row>
    <row r="32" spans="1:15" x14ac:dyDescent="0.25">
      <c r="A32" s="3"/>
      <c r="B32" s="4"/>
      <c r="C32" s="46"/>
      <c r="D32" s="62"/>
      <c r="E32" s="63"/>
      <c r="F32" s="5"/>
      <c r="G32" s="43"/>
      <c r="H32" s="59"/>
      <c r="I32" s="18"/>
      <c r="J32" s="3"/>
      <c r="K32" s="3"/>
      <c r="L32" s="55"/>
      <c r="M32" s="56"/>
    </row>
    <row r="33" spans="1:13" x14ac:dyDescent="0.25">
      <c r="A33" s="3"/>
      <c r="B33" s="4"/>
      <c r="C33" s="46"/>
      <c r="D33" s="62"/>
      <c r="E33" s="63"/>
      <c r="F33" s="5"/>
      <c r="G33" s="43"/>
      <c r="H33" s="59"/>
      <c r="I33" s="18"/>
      <c r="J33" s="3"/>
      <c r="K33" s="3"/>
      <c r="L33" s="55"/>
      <c r="M33" s="56"/>
    </row>
    <row r="34" spans="1:13" x14ac:dyDescent="0.25">
      <c r="A34" s="3"/>
      <c r="B34" s="4"/>
      <c r="C34" s="46"/>
      <c r="D34" s="62"/>
      <c r="E34" s="63"/>
      <c r="F34" s="5"/>
      <c r="G34" s="43"/>
      <c r="H34" s="59"/>
      <c r="I34" s="18"/>
      <c r="J34" s="3"/>
      <c r="K34" s="3"/>
      <c r="L34" s="55"/>
      <c r="M34" s="56"/>
    </row>
  </sheetData>
  <sortState xmlns:xlrd2="http://schemas.microsoft.com/office/spreadsheetml/2017/richdata2" ref="A3:O21">
    <sortCondition ref="O3:O21"/>
    <sortCondition ref="B3:B21"/>
  </sortState>
  <mergeCells count="1">
    <mergeCell ref="B30:G30"/>
  </mergeCells>
  <dataValidations disablePrompts="1"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31:E34" xr:uid="{7F0508A1-48C8-4AA3-8799-419AC35BC348}">
      <formula1>E31&lt;&gt;"*"</formula1>
    </dataValidation>
  </dataValidations>
  <pageMargins left="0.25" right="0.25" top="0.75" bottom="0.75" header="0.3" footer="0.3"/>
  <pageSetup paperSize="9" scale="93" fitToWidth="0" fitToHeight="0" orientation="landscape" r:id="rId1"/>
  <headerFooter>
    <oddHeader>&amp;R&amp;D. &amp;T. Страница &amp;P/&amp;N&amp;LКРОМКА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СкрытьПервыйСтолбик">
                <anchor>
                  <from>
                    <xdr:col>17</xdr:col>
                    <xdr:colOff>228600</xdr:colOff>
                    <xdr:row>0</xdr:row>
                    <xdr:rowOff>190500</xdr:rowOff>
                  </from>
                  <to>
                    <xdr:col>21</xdr:col>
                    <xdr:colOff>390525</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94C6-D352-44B6-83E3-A5E431236380}">
  <sheetPr codeName="Лист4"/>
  <dimension ref="A1:N32"/>
  <sheetViews>
    <sheetView view="pageBreakPreview" zoomScale="115" zoomScaleNormal="100" zoomScaleSheetLayoutView="115" workbookViewId="0">
      <selection activeCell="E11" sqref="E11"/>
    </sheetView>
  </sheetViews>
  <sheetFormatPr defaultRowHeight="15" x14ac:dyDescent="0.25"/>
  <cols>
    <col min="1" max="1" width="6.85546875" customWidth="1"/>
    <col min="2" max="2" width="23.28515625" customWidth="1"/>
    <col min="7" max="7" width="18" customWidth="1"/>
  </cols>
  <sheetData>
    <row r="1" spans="1:14" ht="18.75" x14ac:dyDescent="0.3">
      <c r="A1" s="1" t="s">
        <v>109</v>
      </c>
      <c r="C1" s="30"/>
      <c r="D1" s="83"/>
      <c r="E1" s="83"/>
      <c r="F1" s="83"/>
      <c r="G1" s="30"/>
      <c r="H1" s="30"/>
      <c r="I1" s="30"/>
      <c r="J1" s="84"/>
    </row>
    <row r="2" spans="1:14" ht="30" x14ac:dyDescent="0.25">
      <c r="A2" s="65" t="s">
        <v>6</v>
      </c>
      <c r="B2" s="65" t="str">
        <f>"Наименование"</f>
        <v>Наименование</v>
      </c>
      <c r="C2" s="86" t="s">
        <v>98</v>
      </c>
      <c r="D2" s="87" t="s">
        <v>99</v>
      </c>
      <c r="E2" s="65" t="s">
        <v>2</v>
      </c>
      <c r="F2" s="65" t="s">
        <v>97</v>
      </c>
      <c r="G2" s="65" t="s">
        <v>48</v>
      </c>
      <c r="H2" s="65" t="s">
        <v>49</v>
      </c>
      <c r="I2" s="65" t="s">
        <v>50</v>
      </c>
      <c r="J2" s="65" t="s">
        <v>4</v>
      </c>
    </row>
    <row r="3" spans="1:14" s="30" customFormat="1" x14ac:dyDescent="0.25">
      <c r="A3" s="18"/>
      <c r="B3" s="18"/>
      <c r="C3" s="18"/>
      <c r="D3" s="18"/>
      <c r="E3" s="18"/>
      <c r="F3" s="18"/>
      <c r="G3" s="18"/>
      <c r="H3" s="18"/>
      <c r="I3" s="18"/>
      <c r="J3" s="18"/>
      <c r="K3"/>
      <c r="L3"/>
      <c r="M3"/>
      <c r="N3"/>
    </row>
    <row r="4" spans="1:14" s="30" customFormat="1" x14ac:dyDescent="0.25">
      <c r="A4" s="18"/>
      <c r="B4" s="18"/>
      <c r="C4" s="18"/>
      <c r="D4" s="18"/>
      <c r="E4" s="18"/>
      <c r="F4" s="18"/>
      <c r="G4" s="18"/>
      <c r="H4" s="18"/>
      <c r="I4" s="18"/>
      <c r="J4" s="18"/>
    </row>
    <row r="5" spans="1:14" x14ac:dyDescent="0.25">
      <c r="A5" s="18"/>
      <c r="B5" s="18"/>
      <c r="C5" s="18"/>
      <c r="D5" s="18"/>
      <c r="E5" s="18"/>
      <c r="F5" s="18"/>
      <c r="G5" s="18"/>
      <c r="H5" s="18"/>
      <c r="I5" s="18"/>
      <c r="J5" s="18"/>
    </row>
    <row r="6" spans="1:14" s="30" customFormat="1" x14ac:dyDescent="0.25">
      <c r="A6" s="18"/>
      <c r="B6" s="18"/>
      <c r="C6" s="18"/>
      <c r="D6" s="18"/>
      <c r="E6" s="18"/>
      <c r="F6" s="18"/>
      <c r="G6" s="18"/>
      <c r="H6" s="18"/>
      <c r="I6" s="18"/>
      <c r="J6" s="18"/>
      <c r="K6"/>
      <c r="L6"/>
      <c r="M6"/>
      <c r="N6"/>
    </row>
    <row r="7" spans="1:14" s="30" customFormat="1" x14ac:dyDescent="0.25">
      <c r="A7" s="18"/>
      <c r="B7" s="18"/>
      <c r="C7" s="18"/>
      <c r="D7" s="18"/>
      <c r="E7" s="18"/>
      <c r="F7" s="18"/>
      <c r="G7" s="18"/>
      <c r="H7" s="18"/>
      <c r="I7" s="18"/>
      <c r="J7" s="18"/>
    </row>
    <row r="8" spans="1:14" s="30" customFormat="1" x14ac:dyDescent="0.25">
      <c r="A8" s="18"/>
      <c r="B8" s="18"/>
      <c r="C8" s="18"/>
      <c r="D8" s="18"/>
      <c r="E8" s="18"/>
      <c r="F8" s="18"/>
      <c r="G8" s="18"/>
      <c r="H8" s="18"/>
      <c r="I8" s="18"/>
      <c r="J8" s="18"/>
      <c r="K8"/>
      <c r="L8"/>
      <c r="M8"/>
      <c r="N8"/>
    </row>
    <row r="9" spans="1:14" s="30" customFormat="1" x14ac:dyDescent="0.25">
      <c r="A9" s="18"/>
      <c r="B9" s="18"/>
      <c r="C9" s="18"/>
      <c r="D9" s="18"/>
      <c r="E9" s="18"/>
      <c r="F9" s="18"/>
      <c r="G9" s="18"/>
      <c r="H9" s="18"/>
      <c r="I9" s="18"/>
      <c r="J9" s="18"/>
    </row>
    <row r="10" spans="1:14" s="30" customFormat="1" x14ac:dyDescent="0.25">
      <c r="A10" s="18"/>
      <c r="B10" s="18"/>
      <c r="C10" s="18"/>
      <c r="D10" s="18"/>
      <c r="E10" s="18"/>
      <c r="F10" s="18"/>
      <c r="G10" s="18"/>
      <c r="H10" s="18"/>
      <c r="I10" s="18"/>
      <c r="J10" s="18"/>
      <c r="K10"/>
      <c r="L10"/>
      <c r="M10"/>
      <c r="N10"/>
    </row>
    <row r="11" spans="1:14" s="30" customFormat="1" x14ac:dyDescent="0.25">
      <c r="A11" s="18"/>
      <c r="B11" s="18"/>
      <c r="C11" s="18"/>
      <c r="D11" s="18"/>
      <c r="E11" s="18"/>
      <c r="F11" s="18"/>
      <c r="G11" s="18"/>
      <c r="H11" s="18"/>
      <c r="I11" s="18"/>
      <c r="J11" s="18"/>
      <c r="K11"/>
      <c r="L11"/>
      <c r="M11"/>
      <c r="N11"/>
    </row>
    <row r="12" spans="1:14" s="30" customFormat="1" x14ac:dyDescent="0.25">
      <c r="A12" s="18"/>
      <c r="B12" s="18"/>
      <c r="C12" s="18"/>
      <c r="D12" s="18"/>
      <c r="E12" s="18"/>
      <c r="F12" s="18"/>
      <c r="G12" s="18"/>
      <c r="H12" s="18"/>
      <c r="I12" s="18"/>
      <c r="J12" s="18"/>
      <c r="K12"/>
      <c r="L12"/>
      <c r="M12"/>
      <c r="N12"/>
    </row>
    <row r="13" spans="1:14" s="30" customFormat="1" x14ac:dyDescent="0.25">
      <c r="A13" s="18"/>
      <c r="B13" s="18"/>
      <c r="C13" s="18"/>
      <c r="D13" s="18"/>
      <c r="E13" s="18"/>
      <c r="F13" s="18"/>
      <c r="G13" s="18"/>
      <c r="H13" s="18"/>
      <c r="I13" s="18"/>
      <c r="J13" s="18"/>
      <c r="K13"/>
      <c r="L13"/>
      <c r="M13"/>
      <c r="N13"/>
    </row>
    <row r="14" spans="1:14" s="30" customFormat="1" x14ac:dyDescent="0.25">
      <c r="A14" s="18"/>
      <c r="B14" s="18"/>
      <c r="C14" s="18"/>
      <c r="D14" s="18"/>
      <c r="E14" s="18"/>
      <c r="F14" s="18"/>
      <c r="G14" s="18"/>
      <c r="H14" s="18"/>
      <c r="I14" s="18"/>
      <c r="J14" s="18"/>
      <c r="K14"/>
      <c r="L14"/>
      <c r="M14"/>
      <c r="N14"/>
    </row>
    <row r="15" spans="1:14" s="30" customFormat="1" x14ac:dyDescent="0.25">
      <c r="A15" s="18"/>
      <c r="B15" s="18"/>
      <c r="C15" s="18"/>
      <c r="D15" s="18"/>
      <c r="E15" s="18"/>
      <c r="F15" s="18"/>
      <c r="G15" s="18"/>
      <c r="H15" s="18"/>
      <c r="I15" s="18"/>
      <c r="J15" s="18"/>
      <c r="K15"/>
      <c r="L15"/>
      <c r="M15"/>
      <c r="N15"/>
    </row>
    <row r="16" spans="1:14" s="30" customFormat="1" x14ac:dyDescent="0.25">
      <c r="A16" s="18"/>
      <c r="B16" s="18"/>
      <c r="C16" s="18"/>
      <c r="D16" s="18"/>
      <c r="E16" s="18"/>
      <c r="F16" s="18"/>
      <c r="G16" s="18"/>
      <c r="H16" s="18"/>
      <c r="I16" s="18"/>
      <c r="J16" s="18"/>
      <c r="K16"/>
      <c r="L16"/>
      <c r="M16"/>
      <c r="N16"/>
    </row>
    <row r="17" spans="1:14" s="30" customFormat="1" x14ac:dyDescent="0.25">
      <c r="A17" s="18"/>
      <c r="B17" s="18"/>
      <c r="C17" s="18"/>
      <c r="D17" s="18"/>
      <c r="E17" s="18"/>
      <c r="F17" s="18"/>
      <c r="G17" s="18"/>
      <c r="H17" s="18"/>
      <c r="I17" s="18"/>
      <c r="J17" s="18"/>
      <c r="K17"/>
      <c r="L17"/>
      <c r="M17"/>
      <c r="N17"/>
    </row>
    <row r="18" spans="1:14" s="30" customFormat="1" x14ac:dyDescent="0.25">
      <c r="A18" s="18"/>
      <c r="B18" s="18"/>
      <c r="C18" s="18"/>
      <c r="D18" s="18"/>
      <c r="E18" s="18"/>
      <c r="F18" s="18"/>
      <c r="G18" s="18"/>
      <c r="H18" s="18"/>
      <c r="I18" s="18"/>
      <c r="J18" s="18"/>
      <c r="K18"/>
      <c r="L18"/>
      <c r="M18"/>
      <c r="N18"/>
    </row>
    <row r="19" spans="1:14" s="30" customFormat="1" x14ac:dyDescent="0.25">
      <c r="A19" s="18"/>
      <c r="B19" s="18"/>
      <c r="C19" s="18"/>
      <c r="D19" s="18"/>
      <c r="E19" s="18"/>
      <c r="F19" s="18"/>
      <c r="G19" s="18"/>
      <c r="H19" s="18"/>
      <c r="I19" s="18"/>
      <c r="J19" s="18"/>
      <c r="K19"/>
      <c r="L19"/>
      <c r="M19"/>
      <c r="N19"/>
    </row>
    <row r="20" spans="1:14" s="30" customFormat="1" x14ac:dyDescent="0.25">
      <c r="A20" s="18"/>
      <c r="B20" s="18"/>
      <c r="C20" s="18"/>
      <c r="D20" s="18"/>
      <c r="E20" s="18"/>
      <c r="F20" s="18"/>
      <c r="G20" s="18"/>
      <c r="H20" s="18"/>
      <c r="I20" s="18"/>
      <c r="J20" s="18"/>
      <c r="K20"/>
      <c r="L20"/>
      <c r="M20"/>
      <c r="N20"/>
    </row>
    <row r="21" spans="1:14" s="30" customFormat="1" x14ac:dyDescent="0.25">
      <c r="A21" s="18"/>
      <c r="B21" s="18"/>
      <c r="C21" s="18"/>
      <c r="D21" s="18"/>
      <c r="E21" s="18"/>
      <c r="F21" s="18"/>
      <c r="G21" s="18"/>
      <c r="H21" s="18"/>
      <c r="I21" s="18"/>
      <c r="J21" s="18"/>
      <c r="K21"/>
      <c r="L21"/>
      <c r="M21"/>
      <c r="N21"/>
    </row>
    <row r="22" spans="1:14" s="30" customFormat="1" x14ac:dyDescent="0.25">
      <c r="A22" s="18"/>
      <c r="B22" s="18"/>
      <c r="C22" s="18"/>
      <c r="D22" s="18"/>
      <c r="E22" s="18"/>
      <c r="F22" s="18"/>
      <c r="G22" s="18"/>
      <c r="H22" s="18"/>
      <c r="I22" s="18"/>
      <c r="J22" s="18"/>
      <c r="K22"/>
      <c r="L22"/>
      <c r="M22"/>
      <c r="N22"/>
    </row>
    <row r="23" spans="1:14" s="30" customFormat="1" x14ac:dyDescent="0.25">
      <c r="A23" s="18"/>
      <c r="B23" s="18"/>
      <c r="C23" s="18"/>
      <c r="D23" s="18"/>
      <c r="E23" s="18"/>
      <c r="F23" s="18"/>
      <c r="G23" s="18"/>
      <c r="H23" s="18"/>
      <c r="I23" s="18"/>
      <c r="J23" s="18"/>
      <c r="K23"/>
      <c r="L23"/>
      <c r="M23"/>
      <c r="N23"/>
    </row>
    <row r="24" spans="1:14" s="30" customFormat="1" x14ac:dyDescent="0.25">
      <c r="A24" s="18"/>
      <c r="B24" s="18"/>
      <c r="C24" s="18"/>
      <c r="D24" s="18"/>
      <c r="E24" s="18"/>
      <c r="F24" s="18"/>
      <c r="G24" s="18"/>
      <c r="H24" s="18"/>
      <c r="I24" s="18"/>
      <c r="J24" s="18"/>
      <c r="K24"/>
      <c r="L24"/>
      <c r="M24"/>
      <c r="N24"/>
    </row>
    <row r="25" spans="1:14" s="30" customFormat="1" x14ac:dyDescent="0.25">
      <c r="A25" s="18"/>
      <c r="B25" s="18"/>
      <c r="C25" s="18"/>
      <c r="D25" s="18"/>
      <c r="E25" s="18"/>
      <c r="F25" s="18"/>
      <c r="G25" s="18"/>
      <c r="H25" s="18"/>
      <c r="I25" s="18"/>
      <c r="J25" s="18"/>
      <c r="K25"/>
      <c r="L25"/>
      <c r="M25"/>
      <c r="N25"/>
    </row>
    <row r="26" spans="1:14" s="30" customFormat="1" x14ac:dyDescent="0.25">
      <c r="A26" s="18"/>
      <c r="B26" s="18"/>
      <c r="C26" s="18"/>
      <c r="D26" s="18"/>
      <c r="E26" s="18"/>
      <c r="F26" s="18"/>
      <c r="G26" s="18"/>
      <c r="H26" s="18"/>
      <c r="I26" s="18"/>
      <c r="J26" s="18"/>
    </row>
    <row r="27" spans="1:14" s="30" customFormat="1" x14ac:dyDescent="0.25">
      <c r="A27" s="18"/>
      <c r="B27" s="18"/>
      <c r="C27" s="18"/>
      <c r="D27" s="18"/>
      <c r="E27" s="18"/>
      <c r="F27" s="18"/>
      <c r="G27" s="18"/>
      <c r="H27" s="18"/>
      <c r="I27" s="18"/>
      <c r="J27" s="18"/>
      <c r="K27"/>
      <c r="L27"/>
      <c r="M27"/>
      <c r="N27"/>
    </row>
    <row r="28" spans="1:14" x14ac:dyDescent="0.25">
      <c r="A28" s="13"/>
      <c r="B28" s="30"/>
      <c r="C28" s="50"/>
      <c r="D28" s="88" t="s">
        <v>100</v>
      </c>
      <c r="E28" s="95">
        <f>SUM(E3:E27)</f>
        <v>0</v>
      </c>
      <c r="F28" s="33"/>
      <c r="G28" s="88"/>
      <c r="H28" s="88"/>
      <c r="I28" s="88" t="s">
        <v>105</v>
      </c>
      <c r="J28" s="94">
        <f>SUM(K3:K27)</f>
        <v>0</v>
      </c>
    </row>
    <row r="29" spans="1:14" x14ac:dyDescent="0.25">
      <c r="A29" s="13"/>
      <c r="B29" s="30"/>
      <c r="C29" s="50"/>
      <c r="D29" s="88"/>
      <c r="E29" s="33"/>
      <c r="F29" s="33"/>
      <c r="G29" s="88"/>
      <c r="H29" s="88"/>
      <c r="I29" s="88"/>
      <c r="J29" s="30"/>
    </row>
    <row r="30" spans="1:14" x14ac:dyDescent="0.25">
      <c r="A30" s="2" t="s">
        <v>8</v>
      </c>
      <c r="B30" s="30"/>
      <c r="C30" s="50"/>
      <c r="D30" s="88"/>
      <c r="E30" s="33"/>
      <c r="F30" s="33"/>
      <c r="G30" s="88"/>
      <c r="H30" s="88"/>
      <c r="I30" s="88"/>
      <c r="J30" s="30"/>
    </row>
    <row r="31" spans="1:14" x14ac:dyDescent="0.25">
      <c r="A31" s="30"/>
      <c r="B31" s="30"/>
      <c r="C31" s="30"/>
      <c r="D31" s="30"/>
      <c r="E31" s="30"/>
      <c r="F31" s="30"/>
      <c r="G31" s="30"/>
      <c r="H31" s="30"/>
      <c r="I31" s="30"/>
      <c r="J31" s="30"/>
    </row>
    <row r="32" spans="1:14" x14ac:dyDescent="0.25">
      <c r="A32" s="34"/>
      <c r="B32" s="34"/>
      <c r="C32" s="89"/>
      <c r="D32" s="89"/>
      <c r="E32" s="90"/>
      <c r="F32" s="90"/>
      <c r="G32" s="35"/>
      <c r="H32" s="34"/>
      <c r="I32" s="34"/>
      <c r="J32" s="36"/>
    </row>
  </sheetData>
  <pageMargins left="0.7" right="0.7" top="0.75" bottom="0.75" header="0.3" footer="0.3"/>
  <pageSetup paperSize="9" orientation="landscape" r:id="rId1"/>
  <headerFooter>
    <oddHeader>&amp;R&amp;D. &amp;T. Страница &amp;P/&amp;N&amp;LРАСПИЛ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СкрытьПервыйСтолбик">
                <anchor>
                  <from>
                    <xdr:col>12</xdr:col>
                    <xdr:colOff>400050</xdr:colOff>
                    <xdr:row>0</xdr:row>
                    <xdr:rowOff>66675</xdr:rowOff>
                  </from>
                  <to>
                    <xdr:col>16</xdr:col>
                    <xdr:colOff>571500</xdr:colOff>
                    <xdr:row>1</xdr:row>
                    <xdr:rowOff>257175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3125F-033D-4FB1-9F98-3D9AC697C8E2}">
  <sheetPr codeName="Лист6"/>
  <dimension ref="A1:N30"/>
  <sheetViews>
    <sheetView view="pageBreakPreview" zoomScale="115" zoomScaleNormal="100" zoomScaleSheetLayoutView="115" workbookViewId="0">
      <selection activeCell="A3" sqref="A3"/>
    </sheetView>
  </sheetViews>
  <sheetFormatPr defaultRowHeight="15" x14ac:dyDescent="0.25"/>
  <cols>
    <col min="1" max="1" width="5.42578125" style="30" customWidth="1"/>
    <col min="2" max="2" width="23.140625" style="30" customWidth="1"/>
    <col min="3" max="3" width="9.140625" style="30"/>
    <col min="4" max="4" width="9" style="30" customWidth="1"/>
    <col min="5" max="5" width="5.28515625" style="30" customWidth="1"/>
    <col min="6" max="6" width="24.5703125" style="30" customWidth="1"/>
    <col min="7" max="7" width="17.7109375" style="30" customWidth="1"/>
    <col min="8" max="8" width="12.85546875" style="30" customWidth="1"/>
    <col min="9" max="9" width="10" style="30" customWidth="1"/>
    <col min="10" max="16384" width="9.140625" style="30"/>
  </cols>
  <sheetData>
    <row r="1" spans="1:14" ht="18.75" x14ac:dyDescent="0.3">
      <c r="A1" s="1" t="s">
        <v>110</v>
      </c>
      <c r="B1"/>
      <c r="D1" s="83"/>
      <c r="E1" s="83"/>
      <c r="I1" s="84"/>
      <c r="J1" s="83"/>
    </row>
    <row r="2" spans="1:14" ht="30" x14ac:dyDescent="0.25">
      <c r="A2" s="65" t="s">
        <v>6</v>
      </c>
      <c r="B2" s="65" t="str">
        <f>"Наименование"</f>
        <v>Наименование</v>
      </c>
      <c r="C2" s="86" t="s">
        <v>98</v>
      </c>
      <c r="D2" s="87" t="s">
        <v>99</v>
      </c>
      <c r="E2" s="86" t="s">
        <v>199</v>
      </c>
      <c r="F2" s="65" t="s">
        <v>48</v>
      </c>
      <c r="G2" s="65" t="s">
        <v>49</v>
      </c>
      <c r="H2" s="65" t="s">
        <v>50</v>
      </c>
      <c r="I2" s="101" t="s">
        <v>4</v>
      </c>
      <c r="J2" s="101" t="s">
        <v>106</v>
      </c>
    </row>
    <row r="3" spans="1:14" x14ac:dyDescent="0.25">
      <c r="A3" s="96"/>
      <c r="B3" s="96"/>
      <c r="C3" s="96"/>
      <c r="D3" s="96"/>
      <c r="E3" s="96"/>
      <c r="F3" s="96"/>
      <c r="G3" s="96"/>
      <c r="H3" s="96"/>
      <c r="I3" s="96"/>
      <c r="J3" s="96"/>
      <c r="K3" s="96"/>
      <c r="L3" s="96"/>
      <c r="M3"/>
      <c r="N3"/>
    </row>
    <row r="4" spans="1:14" x14ac:dyDescent="0.25">
      <c r="A4" s="96"/>
      <c r="B4" s="96"/>
      <c r="C4" s="96"/>
      <c r="D4" s="96"/>
      <c r="E4" s="96"/>
      <c r="F4" s="96"/>
      <c r="G4" s="96"/>
      <c r="H4" s="96"/>
      <c r="I4" s="96"/>
      <c r="J4" s="96"/>
      <c r="K4" s="96"/>
      <c r="L4" s="96"/>
      <c r="M4"/>
      <c r="N4"/>
    </row>
    <row r="5" spans="1:14" x14ac:dyDescent="0.25">
      <c r="A5" s="96"/>
      <c r="B5" s="96"/>
      <c r="C5" s="96"/>
      <c r="D5" s="96"/>
      <c r="E5" s="96"/>
      <c r="F5" s="96"/>
      <c r="G5" s="96"/>
      <c r="H5" s="96"/>
      <c r="I5" s="96"/>
      <c r="J5" s="96"/>
      <c r="K5" s="96"/>
      <c r="L5" s="96"/>
      <c r="M5"/>
      <c r="N5"/>
    </row>
    <row r="6" spans="1:14" x14ac:dyDescent="0.25">
      <c r="A6" s="96"/>
      <c r="B6" s="96"/>
      <c r="C6" s="96"/>
      <c r="D6" s="96"/>
      <c r="E6" s="96"/>
      <c r="F6" s="96"/>
      <c r="G6" s="96"/>
      <c r="H6" s="96"/>
      <c r="I6" s="96"/>
      <c r="J6" s="96"/>
      <c r="K6" s="96"/>
      <c r="L6" s="96"/>
      <c r="M6"/>
      <c r="N6"/>
    </row>
    <row r="7" spans="1:14" x14ac:dyDescent="0.25">
      <c r="A7" s="96"/>
      <c r="B7" s="96"/>
      <c r="C7" s="96"/>
      <c r="D7" s="96"/>
      <c r="E7" s="96"/>
      <c r="F7" s="96"/>
      <c r="G7" s="96"/>
      <c r="H7" s="96"/>
      <c r="I7" s="96"/>
      <c r="J7" s="96"/>
      <c r="K7" s="96"/>
      <c r="L7" s="96"/>
      <c r="M7"/>
      <c r="N7"/>
    </row>
    <row r="8" spans="1:14" x14ac:dyDescent="0.25">
      <c r="A8" s="96"/>
      <c r="B8" s="96"/>
      <c r="C8" s="96"/>
      <c r="D8" s="96"/>
      <c r="E8" s="96"/>
      <c r="F8" s="96"/>
      <c r="G8" s="96"/>
      <c r="H8" s="96"/>
      <c r="I8" s="96"/>
      <c r="J8" s="96"/>
      <c r="K8" s="96"/>
      <c r="L8" s="96"/>
      <c r="M8"/>
      <c r="N8"/>
    </row>
    <row r="9" spans="1:14" x14ac:dyDescent="0.25">
      <c r="A9" s="96"/>
      <c r="B9" s="96"/>
      <c r="C9" s="96"/>
      <c r="D9" s="96"/>
      <c r="E9" s="96"/>
      <c r="F9" s="96"/>
      <c r="G9" s="96"/>
      <c r="H9" s="96"/>
      <c r="I9" s="96"/>
      <c r="J9" s="96"/>
      <c r="K9" s="96"/>
      <c r="L9" s="96"/>
      <c r="M9"/>
      <c r="N9"/>
    </row>
    <row r="10" spans="1:14" x14ac:dyDescent="0.25">
      <c r="A10" s="96"/>
      <c r="B10" s="96"/>
      <c r="C10" s="96"/>
      <c r="D10" s="96"/>
      <c r="E10" s="96"/>
      <c r="F10" s="96"/>
      <c r="G10" s="96"/>
      <c r="H10" s="96"/>
      <c r="I10" s="96"/>
      <c r="J10" s="96"/>
      <c r="K10" s="96"/>
      <c r="L10" s="96"/>
      <c r="M10"/>
      <c r="N10"/>
    </row>
    <row r="11" spans="1:14" x14ac:dyDescent="0.25">
      <c r="A11" s="96"/>
      <c r="B11" s="96"/>
      <c r="C11" s="96"/>
      <c r="D11" s="96"/>
      <c r="E11" s="96"/>
      <c r="F11" s="96"/>
      <c r="G11" s="96"/>
      <c r="H11" s="96"/>
      <c r="I11" s="96"/>
      <c r="J11" s="96"/>
      <c r="K11" s="96"/>
      <c r="L11" s="96"/>
      <c r="M11"/>
      <c r="N11"/>
    </row>
    <row r="12" spans="1:14" x14ac:dyDescent="0.25">
      <c r="A12" s="96"/>
      <c r="B12" s="96"/>
      <c r="C12" s="96"/>
      <c r="D12" s="96"/>
      <c r="E12" s="96"/>
      <c r="F12" s="96"/>
      <c r="G12" s="96"/>
      <c r="H12" s="96"/>
      <c r="I12" s="96"/>
      <c r="J12" s="96"/>
      <c r="K12" s="96"/>
      <c r="L12" s="96"/>
      <c r="M12"/>
      <c r="N12"/>
    </row>
    <row r="13" spans="1:14" x14ac:dyDescent="0.25">
      <c r="A13" s="96"/>
      <c r="B13" s="96"/>
      <c r="C13" s="96"/>
      <c r="D13" s="96"/>
      <c r="E13" s="96"/>
      <c r="F13" s="96"/>
      <c r="G13" s="96"/>
      <c r="H13" s="96"/>
      <c r="I13" s="96"/>
      <c r="J13" s="96"/>
      <c r="K13" s="96"/>
      <c r="L13" s="96"/>
    </row>
    <row r="14" spans="1:14" x14ac:dyDescent="0.25">
      <c r="A14" s="96"/>
      <c r="B14" s="96"/>
      <c r="C14" s="96"/>
      <c r="D14" s="96"/>
      <c r="E14" s="96"/>
      <c r="F14" s="96"/>
      <c r="G14" s="96"/>
      <c r="H14" s="96"/>
      <c r="I14" s="96"/>
      <c r="J14" s="96"/>
      <c r="K14" s="96"/>
      <c r="L14" s="96"/>
      <c r="M14"/>
      <c r="N14"/>
    </row>
    <row r="15" spans="1:14" x14ac:dyDescent="0.25">
      <c r="A15" s="96"/>
      <c r="B15" s="96"/>
      <c r="C15" s="96"/>
      <c r="D15" s="96"/>
      <c r="E15" s="96"/>
      <c r="F15" s="96"/>
      <c r="G15" s="96"/>
      <c r="H15" s="96"/>
      <c r="I15" s="96"/>
      <c r="J15" s="96"/>
      <c r="K15" s="96"/>
      <c r="L15" s="96"/>
      <c r="M15"/>
      <c r="N15"/>
    </row>
    <row r="16" spans="1:14" x14ac:dyDescent="0.25">
      <c r="A16" s="96"/>
      <c r="B16" s="96"/>
      <c r="C16" s="96"/>
      <c r="D16" s="96"/>
      <c r="E16" s="96"/>
      <c r="F16" s="96"/>
      <c r="G16" s="96"/>
      <c r="H16" s="96"/>
      <c r="I16" s="96"/>
      <c r="J16" s="96"/>
      <c r="K16" s="96"/>
      <c r="L16" s="96"/>
      <c r="M16"/>
      <c r="N16"/>
    </row>
    <row r="17" spans="1:14" x14ac:dyDescent="0.25">
      <c r="A17" s="96"/>
      <c r="B17" s="96"/>
      <c r="C17" s="96"/>
      <c r="D17" s="96"/>
      <c r="E17" s="96"/>
      <c r="F17" s="96"/>
      <c r="G17" s="96"/>
      <c r="H17" s="96"/>
      <c r="I17" s="96"/>
      <c r="J17" s="96"/>
      <c r="K17" s="96"/>
      <c r="L17" s="96"/>
      <c r="M17"/>
      <c r="N17"/>
    </row>
    <row r="18" spans="1:14" x14ac:dyDescent="0.25">
      <c r="A18" s="96"/>
      <c r="B18" s="96"/>
      <c r="C18" s="96"/>
      <c r="D18" s="96"/>
      <c r="E18" s="96"/>
      <c r="F18" s="96"/>
      <c r="G18" s="96"/>
      <c r="H18" s="96"/>
      <c r="I18" s="96"/>
      <c r="J18" s="96"/>
      <c r="K18" s="96"/>
      <c r="L18" s="96"/>
      <c r="M18"/>
      <c r="N18"/>
    </row>
    <row r="19" spans="1:14" x14ac:dyDescent="0.25">
      <c r="A19" s="96"/>
      <c r="B19" s="96"/>
      <c r="C19" s="96"/>
      <c r="D19" s="96"/>
      <c r="E19" s="96"/>
      <c r="F19" s="96"/>
      <c r="G19" s="96"/>
      <c r="H19" s="96"/>
      <c r="I19" s="96"/>
      <c r="J19" s="96"/>
      <c r="K19" s="96"/>
      <c r="L19" s="96"/>
      <c r="M19"/>
      <c r="N19"/>
    </row>
    <row r="20" spans="1:14" x14ac:dyDescent="0.25">
      <c r="A20" s="96"/>
      <c r="B20" s="96"/>
      <c r="C20" s="96"/>
      <c r="D20" s="96"/>
      <c r="E20" s="96"/>
      <c r="F20" s="96"/>
      <c r="G20" s="96"/>
      <c r="H20" s="96"/>
      <c r="I20" s="96"/>
      <c r="J20" s="96"/>
      <c r="K20" s="96"/>
      <c r="L20" s="96"/>
      <c r="M20"/>
      <c r="N20"/>
    </row>
    <row r="21" spans="1:14" x14ac:dyDescent="0.25">
      <c r="A21" s="96"/>
      <c r="B21" s="96"/>
      <c r="C21" s="96"/>
      <c r="D21" s="96"/>
      <c r="E21" s="96"/>
      <c r="F21" s="96"/>
      <c r="G21" s="96"/>
      <c r="H21" s="96"/>
      <c r="I21" s="96"/>
      <c r="J21" s="96"/>
      <c r="K21" s="96"/>
      <c r="L21" s="96"/>
      <c r="M21"/>
      <c r="N21"/>
    </row>
    <row r="22" spans="1:14" x14ac:dyDescent="0.25">
      <c r="A22" s="96"/>
      <c r="B22" s="96"/>
      <c r="C22" s="96"/>
      <c r="D22" s="96"/>
      <c r="E22" s="96"/>
      <c r="F22" s="96"/>
      <c r="G22" s="96"/>
      <c r="H22" s="96"/>
      <c r="I22" s="96"/>
      <c r="J22" s="96"/>
      <c r="K22" s="96"/>
      <c r="L22" s="96"/>
    </row>
    <row r="23" spans="1:14" x14ac:dyDescent="0.25">
      <c r="A23" s="96"/>
      <c r="B23" s="96"/>
      <c r="C23" s="96"/>
      <c r="D23" s="96"/>
      <c r="E23" s="96"/>
      <c r="F23" s="96"/>
      <c r="G23" s="96"/>
      <c r="H23" s="96"/>
      <c r="I23" s="96"/>
      <c r="J23" s="96"/>
      <c r="K23" s="96"/>
      <c r="L23" s="96"/>
      <c r="M23"/>
      <c r="N23"/>
    </row>
    <row r="24" spans="1:14" x14ac:dyDescent="0.25">
      <c r="A24" s="96"/>
      <c r="B24" s="96"/>
      <c r="C24" s="96"/>
      <c r="D24" s="96"/>
      <c r="E24" s="96"/>
      <c r="F24" s="96"/>
      <c r="G24" s="96"/>
      <c r="H24" s="96"/>
      <c r="I24" s="96"/>
      <c r="J24" s="96"/>
      <c r="K24" s="96"/>
      <c r="L24" s="96"/>
      <c r="M24"/>
      <c r="N24"/>
    </row>
    <row r="25" spans="1:14" x14ac:dyDescent="0.25">
      <c r="A25" s="96"/>
      <c r="B25" s="96"/>
      <c r="C25" s="96"/>
      <c r="D25" s="96"/>
      <c r="E25" s="96"/>
      <c r="F25" s="96"/>
      <c r="G25" s="96"/>
      <c r="H25" s="96"/>
      <c r="I25" s="96"/>
      <c r="J25" s="96"/>
      <c r="K25" s="96"/>
      <c r="L25" s="96"/>
      <c r="M25"/>
      <c r="N25"/>
    </row>
    <row r="26" spans="1:14" x14ac:dyDescent="0.25">
      <c r="A26" s="13"/>
      <c r="C26" s="50"/>
      <c r="D26" s="88" t="s">
        <v>100</v>
      </c>
      <c r="E26" s="95">
        <f>SUM(E3:E25)</f>
        <v>0</v>
      </c>
      <c r="F26" s="88"/>
      <c r="G26" s="88"/>
      <c r="I26" s="88" t="s">
        <v>105</v>
      </c>
      <c r="J26" s="94">
        <f>SUM(K3:K25)</f>
        <v>0</v>
      </c>
    </row>
    <row r="27" spans="1:14" x14ac:dyDescent="0.25">
      <c r="A27" s="13"/>
      <c r="C27" s="50"/>
      <c r="D27" s="88"/>
      <c r="E27" s="33"/>
      <c r="F27" s="88"/>
      <c r="G27" s="88"/>
      <c r="H27" s="88"/>
      <c r="J27" s="33"/>
    </row>
    <row r="28" spans="1:14" x14ac:dyDescent="0.25">
      <c r="A28" s="2" t="s">
        <v>8</v>
      </c>
      <c r="C28" s="50"/>
      <c r="D28" s="88"/>
      <c r="E28" s="33"/>
      <c r="F28" s="88"/>
      <c r="G28" s="88"/>
      <c r="H28" s="88"/>
      <c r="J28" s="33"/>
    </row>
    <row r="30" spans="1:14" x14ac:dyDescent="0.25">
      <c r="A30" s="34"/>
      <c r="B30" s="34"/>
      <c r="C30" s="89"/>
      <c r="D30" s="89"/>
      <c r="E30" s="90"/>
      <c r="F30" s="35"/>
      <c r="G30" s="34"/>
      <c r="H30" s="34"/>
      <c r="I30" s="36"/>
      <c r="J30" s="90"/>
    </row>
  </sheetData>
  <pageMargins left="0.7" right="0.7" top="0.75" bottom="0.75" header="0.3" footer="0.3"/>
  <pageSetup paperSize="9" orientation="landscape" r:id="rId1"/>
  <headerFooter>
    <oddHeader>&amp;R&amp;D. &amp;T. Страница &amp;P/&amp;N&amp;LСБОРКА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СкрытьПервыйСтолбик">
                <anchor>
                  <from>
                    <xdr:col>11</xdr:col>
                    <xdr:colOff>66675</xdr:colOff>
                    <xdr:row>0</xdr:row>
                    <xdr:rowOff>66675</xdr:rowOff>
                  </from>
                  <to>
                    <xdr:col>15</xdr:col>
                    <xdr:colOff>238125</xdr:colOff>
                    <xdr:row>1</xdr:row>
                    <xdr:rowOff>257175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4</vt:i4>
      </vt:variant>
    </vt:vector>
  </HeadingPairs>
  <TitlesOfParts>
    <vt:vector size="10" baseType="lpstr">
      <vt:lpstr>ИсходныйСкрытый</vt:lpstr>
      <vt:lpstr>Деталировка</vt:lpstr>
      <vt:lpstr>СКЛАД</vt:lpstr>
      <vt:lpstr>КРОМКА</vt:lpstr>
      <vt:lpstr>РАСПИЛ</vt:lpstr>
      <vt:lpstr>СБОРКА</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2022-02-21T20:31:42Z</cp:lastPrinted>
  <dcterms:created xsi:type="dcterms:W3CDTF">2014-06-23T08:47:00Z</dcterms:created>
  <dcterms:modified xsi:type="dcterms:W3CDTF">2022-02-21T20:35:43Z</dcterms:modified>
</cp:coreProperties>
</file>
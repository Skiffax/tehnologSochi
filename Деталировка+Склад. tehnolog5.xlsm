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8.xml" ContentType="application/vnd.ms-excel.controlproperties+xml"/>
  <Override PartName="/xl/ctrlProps/ctrlProp9.xml" ContentType="application/vnd.ms-excel.controlpropertie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ЭтаКнига" defaultThemeVersion="124226"/>
  <mc:AlternateContent xmlns:mc="http://schemas.openxmlformats.org/markup-compatibility/2006">
    <mc:Choice Requires="x15">
      <x15ac:absPath xmlns:x15ac="http://schemas.microsoft.com/office/spreadsheetml/2010/11/ac" url="F:\Проекты\tehnolog-sochi\"/>
    </mc:Choice>
  </mc:AlternateContent>
  <xr:revisionPtr revIDLastSave="0" documentId="13_ncr:1_{5A96F3BB-C07E-4826-9FED-516BB7F13488}" xr6:coauthVersionLast="45" xr6:coauthVersionMax="47" xr10:uidLastSave="{00000000-0000-0000-0000-000000000000}"/>
  <bookViews>
    <workbookView xWindow="-120" yWindow="-120" windowWidth="29040" windowHeight="15840" tabRatio="550" activeTab="1" xr2:uid="{00000000-000D-0000-FFFF-FFFF00000000}"/>
  </bookViews>
  <sheets>
    <sheet name="ИсходныйСкрытый" sheetId="662" r:id="rId1"/>
    <sheet name="Деталировка" sheetId="660" r:id="rId2"/>
    <sheet name="СКЛАД" sheetId="663" r:id="rId3"/>
    <sheet name="КРОМКА" sheetId="695" r:id="rId4"/>
    <sheet name="РАСПИЛ" sheetId="701" r:id="rId5"/>
    <sheet name="СБОРКА" sheetId="697" r:id="rId6"/>
  </sheets>
  <functionGroups builtInGroupCount="19"/>
  <definedNames>
    <definedName name="_xlnm._FilterDatabase" localSheetId="1" hidden="1">Деталировка!#REF!</definedName>
    <definedName name="_xlnm.Print_Titles" localSheetId="3">КРОМКА!$2:$2</definedName>
    <definedName name="_xlnm.Print_Titles" localSheetId="4">РАСПИЛ!$2:$2</definedName>
    <definedName name="_xlnm.Print_Titles" localSheetId="5">СБОРКА!$2:$2</definedName>
    <definedName name="_xlnm.Print_Area" localSheetId="1">Деталировка!$A$2:$M$25</definedName>
    <definedName name="_xlnm.Print_Area" localSheetId="3">КРОМКА!$A$1:$M$33</definedName>
    <definedName name="_xlnm.Print_Area" localSheetId="4">РАСПИЛ!$A$1:$J$22</definedName>
    <definedName name="_xlnm.Print_Area" localSheetId="5">СБОРКА!$A$1:$J$28</definedName>
    <definedName name="_xlnm.Print_Area" localSheetId="2">СКЛАД!#REF!</definedName>
  </definedNames>
  <calcPr calcId="18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I23" i="695" l="1"/>
  <c r="M23" i="695"/>
  <c r="J20" i="701" l="1"/>
  <c r="E20" i="701"/>
  <c r="B2" i="701"/>
  <c r="J26" i="697" l="1"/>
  <c r="E26" i="697"/>
  <c r="B2" i="697"/>
  <c r="B2" i="695" l="1"/>
  <c r="M13" i="660" l="1"/>
  <c r="E13" i="660" s="1"/>
  <c r="N13" i="660" s="1"/>
  <c r="L13" i="660"/>
  <c r="K13" i="660"/>
  <c r="J13" i="660"/>
  <c r="I13" i="660"/>
  <c r="B13" i="660"/>
  <c r="M7" i="660"/>
  <c r="L7" i="660"/>
  <c r="K7" i="660"/>
  <c r="J7" i="660"/>
  <c r="A7" i="660" s="1"/>
  <c r="B7" i="660"/>
  <c r="M5" i="660"/>
  <c r="L5" i="660"/>
  <c r="K5" i="660"/>
  <c r="J5" i="660"/>
  <c r="A5" i="660" s="1"/>
  <c r="I5" i="660"/>
  <c r="B5" i="660"/>
  <c r="M11" i="660"/>
  <c r="L11" i="660"/>
  <c r="K11" i="660"/>
  <c r="J11" i="660"/>
  <c r="B11" i="660"/>
  <c r="M10" i="660"/>
  <c r="L10" i="660"/>
  <c r="K10" i="660"/>
  <c r="J10" i="660"/>
  <c r="I10" i="660"/>
  <c r="B10" i="660"/>
  <c r="M8" i="660"/>
  <c r="L8" i="660"/>
  <c r="K8" i="660"/>
  <c r="J8" i="660"/>
  <c r="A8" i="660" s="1"/>
  <c r="I8" i="660"/>
  <c r="B8" i="660"/>
  <c r="M12" i="660"/>
  <c r="F12" i="660" s="1"/>
  <c r="L12" i="660"/>
  <c r="K12" i="660"/>
  <c r="J12" i="660"/>
  <c r="I12" i="660"/>
  <c r="B12" i="660"/>
  <c r="M9" i="660"/>
  <c r="I9" i="660" s="1"/>
  <c r="L9" i="660"/>
  <c r="K9" i="660"/>
  <c r="J9" i="660"/>
  <c r="A9" i="660" s="1"/>
  <c r="B9" i="660"/>
  <c r="M4" i="660"/>
  <c r="L4" i="660"/>
  <c r="K4" i="660"/>
  <c r="J4" i="660"/>
  <c r="A4" i="660" s="1"/>
  <c r="I4" i="660"/>
  <c r="B4" i="660"/>
  <c r="M6" i="660"/>
  <c r="L6" i="660"/>
  <c r="K6" i="660"/>
  <c r="J6" i="660"/>
  <c r="A6" i="660" s="1"/>
  <c r="B6" i="660"/>
  <c r="E10" i="660" l="1"/>
  <c r="N10" i="660" s="1"/>
  <c r="E5" i="660"/>
  <c r="N5" i="660" s="1"/>
  <c r="E4" i="660"/>
  <c r="N4" i="660" s="1"/>
  <c r="E6" i="660"/>
  <c r="N6" i="660" s="1"/>
  <c r="E7" i="660"/>
  <c r="N7" i="660" s="1"/>
  <c r="I7" i="660"/>
  <c r="A12" i="660"/>
  <c r="A10" i="660"/>
  <c r="A11" i="660"/>
  <c r="F7" i="660"/>
  <c r="I6" i="660"/>
  <c r="F5" i="660"/>
  <c r="A13" i="660"/>
  <c r="E12" i="660"/>
  <c r="N12" i="660" s="1"/>
  <c r="F10" i="660"/>
  <c r="F13" i="660"/>
  <c r="F8" i="660"/>
  <c r="E8" i="660"/>
  <c r="N8" i="660" s="1"/>
  <c r="F11" i="660"/>
  <c r="E11" i="660"/>
  <c r="N11" i="660" s="1"/>
  <c r="F9" i="660"/>
  <c r="E9" i="660"/>
  <c r="N9" i="660" s="1"/>
  <c r="I11" i="660"/>
  <c r="F4" i="660"/>
  <c r="F6" i="660"/>
  <c r="A2" i="660"/>
  <c r="I14" i="660" l="1"/>
  <c r="M5" i="662"/>
  <c r="F5" i="662" s="1"/>
  <c r="L5" i="662"/>
  <c r="K5" i="662"/>
  <c r="J5" i="662"/>
  <c r="A5" i="662" s="1"/>
  <c r="B5" i="662"/>
  <c r="I5" i="662" l="1"/>
  <c r="E5" i="662"/>
  <c r="N5" i="662" s="1"/>
  <c r="M15" i="662"/>
  <c r="H15" i="662" s="1"/>
  <c r="J15" i="662"/>
  <c r="A15" i="662" s="1"/>
  <c r="I15" i="662"/>
  <c r="I49" i="660"/>
  <c r="I33" i="660"/>
  <c r="B3" i="660"/>
  <c r="D15" i="662" l="1"/>
  <c r="N15" i="662" s="1"/>
  <c r="E15" i="662"/>
  <c r="A22" i="660"/>
  <c r="A37" i="660"/>
  <c r="A26" i="66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Скиф</author>
  </authors>
  <commentList>
    <comment ref="B54" authorId="0" shapeId="0" xr:uid="{AAFD04C1-13DD-40A8-9031-3ADB48F736F9}">
      <text>
        <r>
          <rPr>
            <b/>
            <sz val="9"/>
            <color indexed="81"/>
            <rFont val="Tahoma"/>
            <family val="2"/>
            <charset val="204"/>
          </rPr>
          <t>Путь и имя файла, который будет служить базой данных</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Скиф</author>
    <author>user</author>
  </authors>
  <commentList>
    <comment ref="A1" authorId="0" shapeId="0" xr:uid="{71C5D9D2-29B0-49FF-A8FE-E3FA9EE2B2C6}">
      <text>
        <r>
          <rPr>
            <b/>
            <sz val="9"/>
            <color indexed="81"/>
            <rFont val="Tahoma"/>
            <family val="2"/>
            <charset val="204"/>
          </rPr>
          <t>Текст из ячейки А1 будет скопирован в верхний левый колонтитул при печати</t>
        </r>
      </text>
    </comment>
    <comment ref="C1" authorId="0" shapeId="0" xr:uid="{F8C46F74-90DA-45AB-8BA2-ED0DFAE9571E}">
      <text>
        <r>
          <rPr>
            <b/>
            <sz val="9"/>
            <color indexed="81"/>
            <rFont val="Tahoma"/>
            <family val="2"/>
            <charset val="204"/>
          </rPr>
          <t>Если эта ячейка не пуста, то будет сохраняться бэкап</t>
        </r>
      </text>
    </comment>
    <comment ref="N1" authorId="0" shapeId="0" xr:uid="{9E33CF45-AA41-4E94-A89D-42EE8FB553A0}">
      <text>
        <r>
          <rPr>
            <b/>
            <sz val="9"/>
            <color indexed="81"/>
            <rFont val="Tahoma"/>
            <family val="2"/>
            <charset val="204"/>
          </rPr>
          <t>Если ячейка L1 не пуста, то будут показываться сообщения об обработке строк</t>
        </r>
      </text>
    </comment>
    <comment ref="O1" authorId="1" shapeId="0" xr:uid="{9DA3F884-6CCC-4F2B-BF23-C8D0CCFD361E}">
      <text>
        <r>
          <rPr>
            <b/>
            <sz val="9"/>
            <color indexed="81"/>
            <rFont val="Tahoma"/>
            <family val="2"/>
            <charset val="204"/>
          </rPr>
          <t>Значок, который даёт указание добавлять размер на запил торца детали</t>
        </r>
      </text>
    </comment>
    <comment ref="P1" authorId="1" shapeId="0" xr:uid="{BC2F107A-354F-46C5-B2A5-12BCB3F33E84}">
      <text>
        <r>
          <rPr>
            <b/>
            <sz val="9"/>
            <color indexed="81"/>
            <rFont val="Tahoma"/>
            <family val="2"/>
            <charset val="204"/>
          </rPr>
          <t>Запас на запил торца</t>
        </r>
      </text>
    </comment>
    <comment ref="Q1" authorId="1" shapeId="0" xr:uid="{FD68FB07-54A9-4F2B-9ADD-12CAE51F646C}">
      <text>
        <r>
          <rPr>
            <b/>
            <sz val="9"/>
            <color indexed="81"/>
            <rFont val="Tahoma"/>
            <family val="2"/>
            <charset val="204"/>
          </rPr>
          <t>Добавка на скрутку</t>
        </r>
      </text>
    </comment>
    <comment ref="S1" authorId="0" shapeId="0" xr:uid="{E1DE0D4D-0493-45D6-95AB-3E04CEB664B2}">
      <text>
        <r>
          <rPr>
            <b/>
            <sz val="9"/>
            <color indexed="81"/>
            <rFont val="Tahoma"/>
            <family val="2"/>
            <charset val="204"/>
          </rPr>
          <t>Здесь указывается путь для загрузки файла</t>
        </r>
      </text>
    </comment>
    <comment ref="X1" authorId="0" shapeId="0" xr:uid="{2E754D92-8A90-4512-917D-9A7CF4CB5251}">
      <text>
        <r>
          <rPr>
            <b/>
            <sz val="9"/>
            <color indexed="81"/>
            <rFont val="Tahoma"/>
            <family val="2"/>
            <charset val="204"/>
          </rPr>
          <t>Через точку с запятой перечислить, какие наименования плит игнорировать при загрузке из bCUT. В конце данных обязательно нужно ставить ";"
Если макрос найдёт в имени плиты одно из перечисленных названий, то плита не будет загружена в деталировку</t>
        </r>
      </text>
    </comment>
    <comment ref="A3" authorId="0" shapeId="0" xr:uid="{3307155B-4CC3-431E-8670-E4D9DD188F85}">
      <text>
        <r>
          <rPr>
            <b/>
            <sz val="9"/>
            <color indexed="81"/>
            <rFont val="Tahoma"/>
            <family val="2"/>
            <charset val="204"/>
          </rPr>
          <t>По этому символу макросы определяют начало деталировки. Его менять нельзя</t>
        </r>
      </text>
    </comment>
    <comment ref="H14" authorId="0" shapeId="0" xr:uid="{53E63BAD-86A3-4B0B-A193-26CECD0F2A8C}">
      <text>
        <r>
          <rPr>
            <b/>
            <sz val="9"/>
            <color indexed="81"/>
            <rFont val="Tahoma"/>
            <family val="2"/>
            <charset val="204"/>
          </rPr>
          <t>По этой фразе макросы определяют конец блока деталировки. Её менять нельзя</t>
        </r>
      </text>
    </comment>
    <comment ref="A22" authorId="0" shapeId="0" xr:uid="{07B1F15C-0CDD-491E-902B-839CF32C03D3}">
      <text>
        <r>
          <rPr>
            <b/>
            <sz val="9"/>
            <color indexed="81"/>
            <rFont val="Tahoma"/>
            <family val="2"/>
            <charset val="204"/>
          </rPr>
          <t>Фраза "Соответствие кромки и ДСП" обязательна. По ней макрос определяет начало блока кромки</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Скиф</author>
  </authors>
  <commentList>
    <comment ref="A2" authorId="0" shapeId="0" xr:uid="{0F77E2F3-E455-4D78-9A0A-58635D762D6B}">
      <text>
        <r>
          <rPr>
            <b/>
            <sz val="9"/>
            <color indexed="81"/>
            <rFont val="Tahoma"/>
            <family val="2"/>
            <charset val="204"/>
          </rPr>
          <t>сделать столбец скрываемым из диалога "ИНСТРУМЕНТЫ"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Скиф</author>
  </authors>
  <commentList>
    <comment ref="A2" authorId="0" shapeId="0" xr:uid="{1801B935-723A-4787-87A2-E558BD9B0631}">
      <text>
        <r>
          <rPr>
            <b/>
            <sz val="9"/>
            <color indexed="81"/>
            <rFont val="Tahoma"/>
            <family val="2"/>
            <charset val="204"/>
          </rPr>
          <t>сделать столбец скрываемым из диалога "ИНСТРУМЕНТЫ"</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Скиф</author>
  </authors>
  <commentList>
    <comment ref="A2" authorId="0" shapeId="0" xr:uid="{E6B32489-6D21-4947-8AEA-BAFF9EB8C821}">
      <text>
        <r>
          <rPr>
            <b/>
            <sz val="9"/>
            <color indexed="81"/>
            <rFont val="Tahoma"/>
            <family val="2"/>
            <charset val="204"/>
          </rPr>
          <t>сделать столбец скрываемым из диалога "ИНСТРУМЕНТЫ"</t>
        </r>
      </text>
    </comment>
  </commentList>
</comments>
</file>

<file path=xl/sharedStrings.xml><?xml version="1.0" encoding="utf-8"?>
<sst xmlns="http://schemas.openxmlformats.org/spreadsheetml/2006/main" count="375" uniqueCount="200">
  <si>
    <t>Ширина</t>
  </si>
  <si>
    <t>Длина</t>
  </si>
  <si>
    <t>Кол-во</t>
  </si>
  <si>
    <t>Материал</t>
  </si>
  <si>
    <t>Примечание</t>
  </si>
  <si>
    <t>Наименование</t>
  </si>
  <si>
    <t>№</t>
  </si>
  <si>
    <t>Начало</t>
  </si>
  <si>
    <t>Примечания:</t>
  </si>
  <si>
    <t>в</t>
  </si>
  <si>
    <t>л</t>
  </si>
  <si>
    <t>н</t>
  </si>
  <si>
    <t>п</t>
  </si>
  <si>
    <t>Наименование ДСП</t>
  </si>
  <si>
    <t>Наименование кромки</t>
  </si>
  <si>
    <t>Итого деталей</t>
  </si>
  <si>
    <r>
      <t xml:space="preserve">Знак </t>
    </r>
    <r>
      <rPr>
        <b/>
        <sz val="11"/>
        <color theme="1"/>
        <rFont val="Calibri"/>
        <family val="2"/>
        <charset val="204"/>
        <scheme val="minor"/>
      </rPr>
      <t>"кпз-"</t>
    </r>
    <r>
      <rPr>
        <sz val="11"/>
        <color theme="1"/>
        <rFont val="Calibri"/>
        <family val="2"/>
        <charset val="204"/>
        <scheme val="minor"/>
      </rPr>
      <t xml:space="preserve"> и </t>
    </r>
    <r>
      <rPr>
        <b/>
        <sz val="11"/>
        <color theme="1"/>
        <rFont val="Calibri"/>
        <family val="2"/>
        <charset val="204"/>
        <scheme val="minor"/>
      </rPr>
      <t>"кпз2":</t>
    </r>
    <r>
      <rPr>
        <sz val="11"/>
        <color theme="1"/>
        <rFont val="Calibri"/>
        <family val="2"/>
        <charset val="204"/>
        <scheme val="minor"/>
      </rPr>
      <t xml:space="preserve"> кромковать соответствующей кромкой после замеров/уточнений</t>
    </r>
  </si>
  <si>
    <t>сКромкой длина</t>
  </si>
  <si>
    <t>сКромкой ширина</t>
  </si>
  <si>
    <t>БезКромки длина</t>
  </si>
  <si>
    <t>БезКромкиШирина</t>
  </si>
  <si>
    <t>Площадь</t>
  </si>
  <si>
    <t>Код</t>
  </si>
  <si>
    <t>Кромка</t>
  </si>
  <si>
    <t>Плита</t>
  </si>
  <si>
    <t>Текстура</t>
  </si>
  <si>
    <t>Проверка</t>
  </si>
  <si>
    <t>з</t>
  </si>
  <si>
    <r>
      <t xml:space="preserve">Знак </t>
    </r>
    <r>
      <rPr>
        <b/>
        <sz val="11"/>
        <color theme="1"/>
        <rFont val="Calibri"/>
        <family val="2"/>
        <charset val="204"/>
        <scheme val="minor"/>
      </rPr>
      <t>"з":</t>
    </r>
    <r>
      <rPr>
        <sz val="11"/>
        <color theme="1"/>
        <rFont val="Calibri"/>
        <family val="2"/>
        <charset val="204"/>
        <scheme val="minor"/>
      </rPr>
      <t xml:space="preserve"> запил торца</t>
    </r>
  </si>
  <si>
    <t>Правила оформления деталировки</t>
  </si>
  <si>
    <t>Обозначение</t>
  </si>
  <si>
    <t>t</t>
  </si>
  <si>
    <t>Соответствие цвета кромки и ДСП указано в таблице ниже. Если не указано, то</t>
  </si>
  <si>
    <r>
      <t xml:space="preserve">знак </t>
    </r>
    <r>
      <rPr>
        <b/>
        <sz val="11"/>
        <color theme="1"/>
        <rFont val="Calibri"/>
        <family val="2"/>
        <charset val="204"/>
        <scheme val="minor"/>
      </rPr>
      <t>"-"</t>
    </r>
    <r>
      <rPr>
        <sz val="11"/>
        <color theme="1"/>
        <rFont val="Calibri"/>
        <family val="2"/>
        <charset val="204"/>
        <scheme val="minor"/>
      </rPr>
      <t xml:space="preserve">: кромка толщиной </t>
    </r>
    <r>
      <rPr>
        <b/>
        <sz val="11"/>
        <color theme="1"/>
        <rFont val="Calibri"/>
        <family val="2"/>
        <charset val="204"/>
        <scheme val="minor"/>
      </rPr>
      <t>0,5</t>
    </r>
    <r>
      <rPr>
        <sz val="11"/>
        <color theme="1"/>
        <rFont val="Calibri"/>
        <family val="2"/>
        <charset val="204"/>
        <scheme val="minor"/>
      </rPr>
      <t xml:space="preserve"> мм под цвет детали. Знак </t>
    </r>
    <r>
      <rPr>
        <b/>
        <sz val="11"/>
        <color theme="1"/>
        <rFont val="Calibri"/>
        <family val="2"/>
        <charset val="204"/>
        <scheme val="minor"/>
      </rPr>
      <t>"2"</t>
    </r>
    <r>
      <rPr>
        <sz val="11"/>
        <color theme="1"/>
        <rFont val="Calibri"/>
        <family val="2"/>
        <charset val="204"/>
        <scheme val="minor"/>
      </rPr>
      <t>: кромка толщиной 2 мм под цвет детали</t>
    </r>
  </si>
  <si>
    <t>Примечания</t>
  </si>
  <si>
    <t>Обязательный блок с обязательной фразой</t>
  </si>
  <si>
    <t>Автор таблицы - Ганков Ярослав +380662854936</t>
  </si>
  <si>
    <t>Между блоками в деталироке не может быть больше одной пустой строки (если будет больше - нумерация может быть некорректна)</t>
  </si>
  <si>
    <t>Деталировка</t>
  </si>
  <si>
    <t>Стекло</t>
  </si>
  <si>
    <t>Еврокромка полировка по периметру всех деталей</t>
  </si>
  <si>
    <t>Соответствие кромки и ДСП</t>
  </si>
  <si>
    <r>
      <t xml:space="preserve">Здесь располагаются </t>
    </r>
    <r>
      <rPr>
        <b/>
        <sz val="11"/>
        <color theme="1"/>
        <rFont val="Calibri"/>
        <family val="2"/>
        <charset val="204"/>
        <scheme val="minor"/>
      </rPr>
      <t>строки-заготовки</t>
    </r>
    <r>
      <rPr>
        <sz val="11"/>
        <color theme="1"/>
        <rFont val="Calibri"/>
        <family val="2"/>
        <charset val="204"/>
        <scheme val="minor"/>
      </rPr>
      <t xml:space="preserve"> для копирования в </t>
    </r>
    <r>
      <rPr>
        <b/>
        <sz val="11"/>
        <color theme="1"/>
        <rFont val="Calibri"/>
        <family val="2"/>
        <charset val="204"/>
        <scheme val="minor"/>
      </rPr>
      <t>блоки</t>
    </r>
    <r>
      <rPr>
        <sz val="11"/>
        <color theme="1"/>
        <rFont val="Calibri"/>
        <family val="2"/>
        <charset val="204"/>
        <scheme val="minor"/>
      </rPr>
      <t xml:space="preserve">. Фраза над заготовкой-строкой должна быть </t>
    </r>
    <r>
      <rPr>
        <b/>
        <sz val="11"/>
        <color theme="1"/>
        <rFont val="Calibri"/>
        <family val="2"/>
        <charset val="204"/>
        <scheme val="minor"/>
      </rPr>
      <t>точно такая же</t>
    </r>
    <r>
      <rPr>
        <sz val="11"/>
        <color theme="1"/>
        <rFont val="Calibri"/>
        <family val="2"/>
        <charset val="204"/>
        <scheme val="minor"/>
      </rPr>
      <t xml:space="preserve">, как и </t>
    </r>
    <r>
      <rPr>
        <b/>
        <sz val="11"/>
        <color theme="1"/>
        <rFont val="Calibri"/>
        <family val="2"/>
        <charset val="204"/>
        <scheme val="minor"/>
      </rPr>
      <t>название блока</t>
    </r>
    <r>
      <rPr>
        <sz val="11"/>
        <color theme="1"/>
        <rFont val="Calibri"/>
        <family val="2"/>
        <charset val="204"/>
        <scheme val="minor"/>
      </rPr>
      <t>. Копируются данные (кроме таблицы соответствия с столбца А по с толбец Y</t>
    </r>
  </si>
  <si>
    <t>Инструкция</t>
  </si>
  <si>
    <t>Таблица соответствия (блок соответствия)</t>
  </si>
  <si>
    <t>Фигурные детали</t>
  </si>
  <si>
    <r>
      <t xml:space="preserve">На фигурных деталях кромка не указывается. При обнаружении фигурной детали макрос не указывает кромкование, а автоматически в примечании пишет </t>
    </r>
    <r>
      <rPr>
        <b/>
        <sz val="11"/>
        <color theme="1"/>
        <rFont val="Calibri"/>
        <family val="2"/>
        <charset val="204"/>
        <scheme val="minor"/>
      </rPr>
      <t>"См.чертёж; Кромки уточнить;"</t>
    </r>
  </si>
  <si>
    <t>На фигурных деталях считывается лишь одно (первое) наименование кромки и оно будет отображено в таблице соответствия. Если на фигурных деталях больше 1 наименований кромок, то они не отобразятся в таблице соответствия</t>
  </si>
  <si>
    <t>Сердцевина</t>
  </si>
  <si>
    <t>Лицо</t>
  </si>
  <si>
    <t>Тыл</t>
  </si>
  <si>
    <t>D:/bCad-teh.xml</t>
  </si>
  <si>
    <t>Лицевая</t>
  </si>
  <si>
    <t>Тыльная</t>
  </si>
  <si>
    <t>HDF;Зеркало;ПВС;стена;</t>
  </si>
  <si>
    <t>Таблица замены</t>
  </si>
  <si>
    <t>Выгрузка из bCad</t>
  </si>
  <si>
    <t>Соответствие</t>
  </si>
  <si>
    <t>Таблица замены должна располагаться за всеми заготовками блоков</t>
  </si>
  <si>
    <t>SkiffПВХ 0,4х19 Вулканический серый б/к</t>
  </si>
  <si>
    <t>В деталировке при найденном значении в столбце "Выгрузка из bCad" будет произведена полная замена значения на соответствующее из столбика "Соответствие". Если поле "Соответствие" будет пусто, то замена не будет произведена. Деталь при этом не удаляется из деталировки</t>
  </si>
  <si>
    <t>НАЧАЛО ЗАГОТОВОК ДЛЯ ДЕТАЛИРОВКИ</t>
  </si>
  <si>
    <t>КОНЕЦ ЗАГОТОВОК ДЛЯ ДЕТАЛИРОВКИ</t>
  </si>
  <si>
    <t>ЛИСТОВЫЕ</t>
  </si>
  <si>
    <t>Инструкция:</t>
  </si>
  <si>
    <t>Ед. изм.</t>
  </si>
  <si>
    <t>Расход</t>
  </si>
  <si>
    <t>Вначале идут заголовки. Они обязательно должны заканчиваться фразой "Конец заголовков"</t>
  </si>
  <si>
    <r>
      <t xml:space="preserve">Заголовок состоит из двух строк. Верхняя может содержать данные лишь в ячейке "А" и </t>
    </r>
    <r>
      <rPr>
        <b/>
        <sz val="11"/>
        <color theme="1"/>
        <rFont val="Calibri"/>
        <family val="2"/>
        <charset val="204"/>
        <scheme val="minor"/>
      </rPr>
      <t>не</t>
    </r>
    <r>
      <rPr>
        <sz val="11"/>
        <color theme="1"/>
        <rFont val="Calibri"/>
        <family val="2"/>
        <charset val="204"/>
        <scheme val="minor"/>
      </rPr>
      <t xml:space="preserve"> содержать данных в ячейках "В" и "С" (иначе алгоритм не распознает его как заголовок). Нижняя строка заголовка может содержать любые данные</t>
    </r>
  </si>
  <si>
    <t>ОБЛИЦОВКА</t>
  </si>
  <si>
    <t>За фразой "Конец заголовков" могут идти доп. блоки</t>
  </si>
  <si>
    <t>КРОМКА</t>
  </si>
  <si>
    <t>Длина м.</t>
  </si>
  <si>
    <r>
      <t xml:space="preserve">Блок </t>
    </r>
    <r>
      <rPr>
        <b/>
        <sz val="11"/>
        <color theme="1"/>
        <rFont val="Calibri"/>
        <family val="2"/>
        <charset val="204"/>
        <scheme val="minor"/>
      </rPr>
      <t>"Таблица замены"</t>
    </r>
    <r>
      <rPr>
        <sz val="11"/>
        <color theme="1"/>
        <rFont val="Calibri"/>
        <family val="2"/>
        <charset val="204"/>
        <scheme val="minor"/>
      </rPr>
      <t xml:space="preserve"> должен быть последним. Всё, что будет в этом блоке. В этом блоке в столбике "А" не должно быть пустых строк. Пустые строки могут быть в столбике "В" - при этом значение не будет загружаться в Склад</t>
    </r>
  </si>
  <si>
    <t>ФУРНИТУРА</t>
  </si>
  <si>
    <t>Название</t>
  </si>
  <si>
    <t>Ед.изм</t>
  </si>
  <si>
    <t>Кол.</t>
  </si>
  <si>
    <t>РАСКРОЙ ПРОФИЛЬНЫХ ДЕТАЛЕЙ</t>
  </si>
  <si>
    <t>Длина мм.</t>
  </si>
  <si>
    <t>Конец заголовков</t>
  </si>
  <si>
    <t>Перенос-&gt;ОБЛИЦОВКА-&gt;ЛИСТОВЫЕ</t>
  </si>
  <si>
    <t>камень</t>
  </si>
  <si>
    <t>пластик</t>
  </si>
  <si>
    <t>Конец Перенос-&gt;ОБЛИЦОВКА-&gt;ЛИСТОВЫЕ</t>
  </si>
  <si>
    <t>НАЧАЛО ЗАГОТОВОК ДЛЯ СКЛАДА</t>
  </si>
  <si>
    <t>КОНЕЦ ЗАГОТОВОК ДЛЯ СКЛАДА</t>
  </si>
  <si>
    <r>
      <t>Блок "</t>
    </r>
    <r>
      <rPr>
        <b/>
        <sz val="11"/>
        <color theme="1"/>
        <rFont val="Calibri"/>
        <family val="2"/>
        <charset val="204"/>
        <scheme val="minor"/>
      </rPr>
      <t xml:space="preserve">Перенос" </t>
    </r>
    <r>
      <rPr>
        <sz val="11"/>
        <color theme="1"/>
        <rFont val="Calibri"/>
        <family val="2"/>
        <charset val="204"/>
        <scheme val="minor"/>
      </rPr>
      <t xml:space="preserve">позволяет перенести данные из одного блока склада в другой. Блок обязательно должен содержать служебные метки начала и конца и обязательно должен находиться после Заголовков для склада. Синтаксис таков </t>
    </r>
    <r>
      <rPr>
        <b/>
        <sz val="11"/>
        <color theme="1"/>
        <rFont val="Calibri"/>
        <family val="2"/>
        <charset val="204"/>
        <scheme val="minor"/>
      </rPr>
      <t>Перенос-&gt;</t>
    </r>
    <r>
      <rPr>
        <sz val="11"/>
        <color theme="1"/>
        <rFont val="Calibri"/>
        <family val="2"/>
        <charset val="204"/>
        <scheme val="minor"/>
      </rPr>
      <t>[откуда_переносить]</t>
    </r>
    <r>
      <rPr>
        <b/>
        <sz val="11"/>
        <color theme="1"/>
        <rFont val="Calibri"/>
        <family val="2"/>
        <charset val="204"/>
        <scheme val="minor"/>
      </rPr>
      <t>-&gt;</t>
    </r>
    <r>
      <rPr>
        <sz val="11"/>
        <color theme="1"/>
        <rFont val="Calibri"/>
        <family val="2"/>
        <charset val="204"/>
        <scheme val="minor"/>
      </rPr>
      <t>[куда_переносить]. Начальное слово Перенос со стрелочкой является служебным</t>
    </r>
  </si>
  <si>
    <t>ЛДСП Lamarty 2750*1830*16 Белый б/к</t>
  </si>
  <si>
    <t>XДФ 2800*2070*4 Белый б/к</t>
  </si>
  <si>
    <t>Из файла загружаются лишь те записи, которые не были найдены здесь</t>
  </si>
  <si>
    <t>Приоритетными считаются записи из таблицы. Если будут найдены одинаковые записи в файле и в таблице, то в файле записи будут перезаписаны записями из таблицы</t>
  </si>
  <si>
    <t>C:/bCADExtensions/table.txt</t>
  </si>
  <si>
    <t>камень Akrilika M-608 Seashell 3660*760*12 б/к</t>
  </si>
  <si>
    <t>ЛМДФ 2800*2070*16 Белый 1 ст. б/к</t>
  </si>
  <si>
    <t>ЛМДФ 2800*2070*19 Белый 2 ст. б/к</t>
  </si>
  <si>
    <t>склейка ДСП 2750*1830*26 шлиф. б/к</t>
  </si>
  <si>
    <t>Толщина</t>
  </si>
  <si>
    <t>Длина пильная</t>
  </si>
  <si>
    <t>Ширина пильная</t>
  </si>
  <si>
    <t>Итого деталей:</t>
  </si>
  <si>
    <t>Итого м.п. кромки б/к:</t>
  </si>
  <si>
    <t>Итого м2 б/к:</t>
  </si>
  <si>
    <t>Присадка</t>
  </si>
  <si>
    <t>Длина готового</t>
  </si>
  <si>
    <t>Ширина готового</t>
  </si>
  <si>
    <t>Шт</t>
  </si>
  <si>
    <t>Толщи-на</t>
  </si>
  <si>
    <t>камень_Akrilika MA-502 Everest 3660*760*12 б/к</t>
  </si>
  <si>
    <t>Склейка 28 ДСП</t>
  </si>
  <si>
    <t>МДФ 2800х2070х16 лам. Белый 2 ст. б/к</t>
  </si>
  <si>
    <t>стена</t>
  </si>
  <si>
    <t>ЛДСП Lamarty 2750*1830*16мм Вулканический серый б/к</t>
  </si>
  <si>
    <t>ЛДСП FB68 Ares 2800х2070х18</t>
  </si>
  <si>
    <t>KHR Глянец</t>
  </si>
  <si>
    <t>пластик ПОДКЛАДОЧНЫЙ б/к</t>
  </si>
  <si>
    <t>ПВХ 0,4х19 Белый б/к</t>
  </si>
  <si>
    <t>ПВХ 0,4х19 Вулканический серый б/к</t>
  </si>
  <si>
    <t>Кромка ABS FB68 Ares 1х22</t>
  </si>
  <si>
    <t>водоотбойник цоколя 19мм</t>
  </si>
  <si>
    <t>TANDEMBOX antaro, ручка с поводком д/внутр.ящика, серая</t>
  </si>
  <si>
    <t>AVENTOS HK-XS TIP-ON, силовой механизм 15</t>
  </si>
  <si>
    <t>AVENTOS HK-XS, крепление в корпусе</t>
  </si>
  <si>
    <t>AVENTOS HK-XS, крепление фасада</t>
  </si>
  <si>
    <t>2-уровн сушка в базу 600/16 бронза</t>
  </si>
  <si>
    <t>86° Ограничитель угла открывания для петли 110°(BLUM)</t>
  </si>
  <si>
    <t>86° Ограничитель угла открывания для петли 107°(BLUM)</t>
  </si>
  <si>
    <t>BLUM Tip-on длинный 38 мм</t>
  </si>
  <si>
    <t>BLUM Tip-on короткий 18 мм</t>
  </si>
  <si>
    <t>400 х 400</t>
  </si>
  <si>
    <t>эксцентриковая стяжка с заглушкой</t>
  </si>
  <si>
    <t>евровинт 7*50</t>
  </si>
  <si>
    <t>петля BLUM вкладная под фальшпанель 83° с доводчиком</t>
  </si>
  <si>
    <t>ящик Blum TANDEMBOX antaro D (224мм) царги М - 1 релинг, глуб. 500мм, Белый шелк</t>
  </si>
  <si>
    <t>лоток для столовых приборов</t>
  </si>
  <si>
    <t>ящик внутренний Blum TANDEMBOX antaro M (106мм), глуб. 500мм, Белый шелк</t>
  </si>
  <si>
    <t>ящик Blum TANDEMBOX antaro M (98,5мм), глуб. 500мм, Белый шелк</t>
  </si>
  <si>
    <t>подпятник регулируемый М6 белый</t>
  </si>
  <si>
    <t>петля BLUM накладная 110° с доводчиком</t>
  </si>
  <si>
    <t>уголок крепежный 20х20х16мм с пласт. крышкой (в цвет корпуса)</t>
  </si>
  <si>
    <t>евронавес Scarpi с заглушкой и шиной Правый</t>
  </si>
  <si>
    <t>евронавес Scarpi с заглушкой и шиной Левый</t>
  </si>
  <si>
    <t>шахта вытяжки вертикальная 125мм</t>
  </si>
  <si>
    <t>петля BLUM накладная 110° Без пружины</t>
  </si>
  <si>
    <t>стяжка VB 35М/16</t>
  </si>
  <si>
    <t>стеклокерамика</t>
  </si>
  <si>
    <t>подвеска полок скрытая, правая</t>
  </si>
  <si>
    <t>заглушка d.10мм для подвески арт.818, белая</t>
  </si>
  <si>
    <t>кронштейн 60х28мм для подвески полок, оцинкованный</t>
  </si>
  <si>
    <t>подвеска полок скрытая, левая</t>
  </si>
  <si>
    <t>скрытая ручка 901056</t>
  </si>
  <si>
    <t>пластик EGGER W908 SM белый базовый 2800*1310*0,8 б/к</t>
  </si>
  <si>
    <t>пластик EGGER U763 ST9 cерый перламутровый 2800*1310*0,8 б/к</t>
  </si>
  <si>
    <t>ПВХ 2х19 EGGER W908 SM белый базовый б/к</t>
  </si>
  <si>
    <t>ПВХ 0,4х35 Белый б/к</t>
  </si>
  <si>
    <t>древесный</t>
  </si>
  <si>
    <t>ПВХ 2х19 EGGER U763 ST9 cерый перламутровый б/к</t>
  </si>
  <si>
    <t>ПВХ 0,4х19 EGGER W908 SM белый базовый б/к</t>
  </si>
  <si>
    <t>сушилка Variant 3 2-уровневая 800</t>
  </si>
  <si>
    <t>встраиваемая посудомоечная машина PM 4542</t>
  </si>
  <si>
    <t>газовый лифт Boyard N100 с фикс. положения, GL104GR/100/3</t>
  </si>
  <si>
    <t>шариковые направляющие Master DB4504Zn/500</t>
  </si>
  <si>
    <t>фасадный эксцентрик</t>
  </si>
  <si>
    <t>опора кухонная Н=100</t>
  </si>
  <si>
    <t>заглушка тех. отверстия D5</t>
  </si>
  <si>
    <t>полкодержатель (боченок)</t>
  </si>
  <si>
    <t>стяжка для столешницы М6 Х 100</t>
  </si>
  <si>
    <t>TANDEM, замок, левый T51.1700.04</t>
  </si>
  <si>
    <t>TANDEM, замок, правый T51.1700.04</t>
  </si>
  <si>
    <t>направляющие Tandem с BLUMOTION, полного выдв., 30кг, 300мм, комплект</t>
  </si>
  <si>
    <t>ящик Blum TANDEMBOX antaro D (224мм) царги М - 1 релинг, глуб. 300мм, Белый шелк</t>
  </si>
  <si>
    <t>белый</t>
  </si>
  <si>
    <t>водоотбойник цоколя для плит 19мм</t>
  </si>
  <si>
    <t>камень1</t>
  </si>
  <si>
    <t>вишня Оксфорд</t>
  </si>
  <si>
    <t>graphite</t>
  </si>
  <si>
    <t>груша дикая (светлая)</t>
  </si>
  <si>
    <t>ЛДСП 16 SwissKrono D4091 Юта 2750х1830 б/к</t>
  </si>
  <si>
    <t>ЛМДФ 2800*2070*22 Белый 2 ст. б/к</t>
  </si>
  <si>
    <t>эмаль KKR мат. б/к</t>
  </si>
  <si>
    <t>анодированный</t>
  </si>
  <si>
    <t>крепление полкодержателя</t>
  </si>
  <si>
    <t>крепление штанги для одежды</t>
  </si>
  <si>
    <t>угловое соединение профилей под 90°</t>
  </si>
  <si>
    <t>стеновое крепление</t>
  </si>
  <si>
    <t>регулируемое основание ножки</t>
  </si>
  <si>
    <t>напр .Tandem+Bl. 400мм п.выдв. с замками</t>
  </si>
  <si>
    <t>напр .Tandem+Bl. 300мм п.выдв. с замками</t>
  </si>
  <si>
    <t>бок. стабил. к TANDEM част. выдв. 550/551 До ном. длины 650мм, до ШК 1400мм</t>
  </si>
  <si>
    <t>штанга</t>
  </si>
  <si>
    <t>эмаль NCS S 1002-Y50R мат. б/к</t>
  </si>
  <si>
    <t>ПВХ 0,4х19 SwissKrono D4091 Юта б/к</t>
  </si>
  <si>
    <t>ЛДСП 16 SwissKrono D4092 MX Винтерберг 2750х1830 б/к</t>
  </si>
  <si>
    <t>ПВХ 0,4х19 SwissKrono D4092 MX Винтерберг б/к</t>
  </si>
  <si>
    <t>напр .Tandem+Bl. 550мм п.выдв. с замками</t>
  </si>
  <si>
    <t>уголок Grandis 22 +заглушка в цвет</t>
  </si>
  <si>
    <t>bCad</t>
  </si>
  <si>
    <t>КРОМКА bCad</t>
  </si>
  <si>
    <t>РАСПИЛ bCad</t>
  </si>
  <si>
    <t>СБОРКА bCad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</si>
</sst>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x14ac:knownFonts="1">
    <font>
      <sz val="11"/>
      <color theme="1"/>
      <name val="Calibri"/>
      <family val="2"/>
      <charset val="204"/>
      <scheme val="minor"/>
    </font>
    <font>
      <sz val="10"/>
      <name val="Arial"/>
      <family val="2"/>
      <charset val="204"/>
    </font>
    <font>
      <b/>
      <sz val="11"/>
      <color theme="1"/>
      <name val="Calibri"/>
      <family val="2"/>
      <charset val="204"/>
      <scheme val="minor"/>
    </font>
    <font>
      <sz val="11"/>
      <color rgb="FF000000"/>
      <name val="Calibri"/>
      <family val="2"/>
      <charset val="204"/>
    </font>
    <font>
      <sz val="9"/>
      <color theme="1"/>
      <name val="Calibri"/>
      <family val="2"/>
      <charset val="204"/>
      <scheme val="minor"/>
    </font>
    <font>
      <sz val="10"/>
      <color theme="1"/>
      <name val="Calibri"/>
      <family val="2"/>
      <charset val="204"/>
      <scheme val="minor"/>
    </font>
    <font>
      <b/>
      <sz val="14"/>
      <color theme="1"/>
      <name val="Calibri"/>
      <family val="2"/>
      <charset val="204"/>
      <scheme val="minor"/>
    </font>
    <font>
      <b/>
      <sz val="9"/>
      <color theme="1"/>
      <name val="Calibri"/>
      <family val="2"/>
      <charset val="204"/>
      <scheme val="minor"/>
    </font>
    <font>
      <sz val="11"/>
      <color theme="1"/>
      <name val="Calibri"/>
      <family val="2"/>
      <charset val="204"/>
    </font>
    <font>
      <b/>
      <sz val="9"/>
      <color indexed="81"/>
      <name val="Tahoma"/>
      <family val="2"/>
      <charset val="204"/>
    </font>
    <font>
      <sz val="8"/>
      <name val="Calibri"/>
      <family val="2"/>
      <charset val="204"/>
      <scheme val="minor"/>
    </font>
    <font>
      <b/>
      <sz val="10"/>
      <color theme="1"/>
      <name val="Calibri"/>
      <family val="2"/>
      <charset val="204"/>
      <scheme val="minor"/>
    </font>
    <font>
      <b/>
      <sz val="12"/>
      <color theme="1"/>
      <name val="Calibri"/>
      <family val="2"/>
      <charset val="204"/>
      <scheme val="minor"/>
    </font>
    <font>
      <i/>
      <sz val="11"/>
      <color theme="1"/>
      <name val="Calibri"/>
      <family val="2"/>
      <charset val="204"/>
      <scheme val="minor"/>
    </font>
    <font>
      <b/>
      <i/>
      <sz val="11"/>
      <color theme="1"/>
      <name val="Calibri"/>
      <family val="2"/>
      <charset val="204"/>
      <scheme val="minor"/>
    </font>
    <font>
      <b/>
      <sz val="11"/>
      <name val="Arial"/>
      <family val="2"/>
      <charset val="204"/>
    </font>
    <font>
      <b/>
      <sz val="16"/>
      <color theme="1"/>
      <name val="Calibri"/>
      <family val="2"/>
      <charset val="204"/>
      <scheme val="minor"/>
    </font>
    <font>
      <b/>
      <i/>
      <sz val="10"/>
      <color theme="1"/>
      <name val="Calibri"/>
      <family val="2"/>
      <charset val="204"/>
      <scheme val="minor"/>
    </font>
    <font>
      <u val="double"/>
      <sz val="11"/>
      <color theme="1"/>
      <name val="Calibri"/>
      <family val="2"/>
      <charset val="204"/>
      <scheme val="minor"/>
    </font>
    <font>
      <u/>
      <sz val="11"/>
      <color theme="1"/>
      <name val="Calibri"/>
      <family val="2"/>
      <charset val="204"/>
      <scheme val="minor"/>
    </font>
  </fonts>
  <fills count="3">
    <fill>
      <patternFill patternType="none"/>
    </fill>
    <fill>
      <patternFill patternType="gray125"/>
    </fill>
    <fill>
      <patternFill patternType="solid">
        <fgColor rgb="FFCC9900"/>
        <bgColor indexed="64"/>
      </patternFill>
    </fill>
  </fills>
  <borders count="12">
    <border>
      <left/>
      <right/>
      <top/>
      <bottom/>
      <diagonal/>
    </border>
    <border>
      <left style="thin">
        <color indexed="64"/>
      </left>
      <right style="thin">
        <color auto="1"/>
      </right>
      <top style="thin">
        <color auto="1"/>
      </top>
      <bottom style="thin">
        <color auto="1"/>
      </bottom>
      <diagonal/>
    </border>
    <border>
      <left style="thin">
        <color theme="0" tint="-4.9989318521683403E-2"/>
      </left>
      <right style="thin">
        <color theme="0" tint="-4.9989318521683403E-2"/>
      </right>
      <top/>
      <bottom style="thin">
        <color theme="0" tint="-4.9989318521683403E-2"/>
      </bottom>
      <diagonal/>
    </border>
    <border>
      <left style="thin">
        <color indexed="64"/>
      </left>
      <right/>
      <top style="thin">
        <color auto="1"/>
      </top>
      <bottom style="thin">
        <color auto="1"/>
      </bottom>
      <diagonal/>
    </border>
    <border>
      <left/>
      <right style="thin">
        <color auto="1"/>
      </right>
      <top style="thin">
        <color auto="1"/>
      </top>
      <bottom style="thin">
        <color auto="1"/>
      </bottom>
      <diagonal/>
    </border>
    <border>
      <left/>
      <right/>
      <top style="thin">
        <color indexed="64"/>
      </top>
      <bottom style="thin">
        <color indexed="64"/>
      </bottom>
      <diagonal/>
    </border>
    <border>
      <left/>
      <right/>
      <top style="thin">
        <color indexed="64"/>
      </top>
      <bottom/>
      <diagonal/>
    </border>
    <border>
      <left style="thin">
        <color indexed="64"/>
      </left>
      <right style="thin">
        <color auto="1"/>
      </right>
      <top style="thin">
        <color auto="1"/>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s>
  <cellStyleXfs count="2">
    <xf numFmtId="0" fontId="0" fillId="0" borderId="0"/>
    <xf numFmtId="0" fontId="1" fillId="0" borderId="0"/>
  </cellStyleXfs>
  <cellXfs count="114">
    <xf numFmtId="0" fontId="0" fillId="0" borderId="0" xfId="0"/>
    <xf numFmtId="0" fontId="6" fillId="0" borderId="0" xfId="0" applyFont="1"/>
    <xf numFmtId="0" fontId="2" fillId="0" borderId="0" xfId="0" applyFont="1"/>
    <xf numFmtId="0" fontId="2" fillId="0" borderId="1" xfId="0" applyFont="1" applyBorder="1"/>
    <xf numFmtId="0" fontId="2" fillId="0" borderId="3" xfId="0" applyFont="1" applyBorder="1"/>
    <xf numFmtId="0" fontId="2" fillId="0" borderId="5" xfId="0" applyFont="1" applyBorder="1"/>
    <xf numFmtId="0" fontId="2" fillId="0" borderId="5" xfId="0" applyFont="1" applyBorder="1" applyAlignment="1">
      <alignment horizontal="right"/>
    </xf>
    <xf numFmtId="0" fontId="2" fillId="0" borderId="3" xfId="0" applyFont="1" applyBorder="1" applyAlignment="1">
      <alignment horizontal="left"/>
    </xf>
    <xf numFmtId="0" fontId="2" fillId="0" borderId="4" xfId="0" applyFont="1" applyBorder="1"/>
    <xf numFmtId="0" fontId="0" fillId="0" borderId="2" xfId="0" applyBorder="1" applyAlignment="1">
      <alignment vertical="center"/>
    </xf>
    <xf numFmtId="0" fontId="2" fillId="0" borderId="2" xfId="0" applyFont="1" applyBorder="1" applyAlignment="1">
      <alignment vertical="center"/>
    </xf>
    <xf numFmtId="49" fontId="4" fillId="0" borderId="2" xfId="0" applyNumberFormat="1" applyFont="1" applyBorder="1" applyAlignment="1">
      <alignment vertical="center"/>
    </xf>
    <xf numFmtId="0" fontId="7" fillId="0" borderId="2" xfId="0" applyFont="1" applyBorder="1" applyAlignment="1">
      <alignment vertical="center"/>
    </xf>
    <xf numFmtId="0" fontId="0" fillId="0" borderId="0" xfId="0" applyAlignment="1">
      <alignment vertical="center"/>
    </xf>
    <xf numFmtId="1" fontId="2" fillId="0" borderId="2" xfId="0" applyNumberFormat="1" applyFont="1" applyBorder="1" applyAlignment="1">
      <alignment vertical="center"/>
    </xf>
    <xf numFmtId="0" fontId="4" fillId="0" borderId="2" xfId="0" applyFont="1" applyBorder="1" applyAlignment="1">
      <alignment vertical="center"/>
    </xf>
    <xf numFmtId="0" fontId="2" fillId="0" borderId="6" xfId="0" applyFont="1" applyBorder="1"/>
    <xf numFmtId="49" fontId="0" fillId="0" borderId="0" xfId="0" applyNumberFormat="1"/>
    <xf numFmtId="0" fontId="0" fillId="0" borderId="1" xfId="0" applyBorder="1"/>
    <xf numFmtId="0" fontId="8" fillId="0" borderId="0" xfId="0" applyFont="1"/>
    <xf numFmtId="0" fontId="5" fillId="0" borderId="0" xfId="0" applyFont="1" applyAlignment="1">
      <alignment horizontal="right"/>
    </xf>
    <xf numFmtId="0" fontId="2" fillId="0" borderId="7" xfId="0" applyFont="1" applyBorder="1"/>
    <xf numFmtId="1" fontId="0" fillId="0" borderId="1" xfId="0" applyNumberFormat="1" applyBorder="1"/>
    <xf numFmtId="49" fontId="0" fillId="0" borderId="1" xfId="0" applyNumberFormat="1" applyBorder="1"/>
    <xf numFmtId="1" fontId="0" fillId="0" borderId="0" xfId="0" applyNumberFormat="1"/>
    <xf numFmtId="0" fontId="2" fillId="0" borderId="0" xfId="0" applyFont="1" applyAlignment="1">
      <alignment vertical="center"/>
    </xf>
    <xf numFmtId="0" fontId="0" fillId="0" borderId="1" xfId="0" applyNumberFormat="1" applyBorder="1"/>
    <xf numFmtId="0" fontId="0" fillId="0" borderId="0" xfId="0"/>
    <xf numFmtId="0" fontId="7" fillId="0" borderId="2" xfId="0" applyFont="1" applyBorder="1" applyAlignment="1">
      <alignment vertical="center" wrapText="1"/>
    </xf>
    <xf numFmtId="0" fontId="0" fillId="2" borderId="0" xfId="0" applyFill="1"/>
    <xf numFmtId="0" fontId="0" fillId="0" borderId="0" xfId="0"/>
    <xf numFmtId="0" fontId="12" fillId="0" borderId="0" xfId="0" applyFont="1"/>
    <xf numFmtId="0" fontId="0" fillId="0" borderId="2" xfId="0" applyBorder="1" applyAlignment="1">
      <alignment vertical="center" wrapText="1"/>
    </xf>
    <xf numFmtId="1" fontId="2" fillId="0" borderId="0" xfId="0" applyNumberFormat="1" applyFont="1" applyAlignment="1">
      <alignment vertical="center"/>
    </xf>
    <xf numFmtId="0" fontId="0" fillId="0" borderId="0" xfId="0" applyAlignment="1">
      <alignment vertical="center" wrapText="1"/>
    </xf>
    <xf numFmtId="49" fontId="4" fillId="0" borderId="0" xfId="0" applyNumberFormat="1" applyFont="1" applyAlignment="1">
      <alignment vertical="center"/>
    </xf>
    <xf numFmtId="0" fontId="7" fillId="0" borderId="0" xfId="0" applyFont="1" applyAlignment="1">
      <alignment vertical="center"/>
    </xf>
    <xf numFmtId="0" fontId="4" fillId="0" borderId="0" xfId="0" applyFont="1" applyAlignment="1">
      <alignment vertical="center"/>
    </xf>
    <xf numFmtId="0" fontId="13" fillId="0" borderId="0" xfId="0" applyFont="1"/>
    <xf numFmtId="0" fontId="14" fillId="0" borderId="3" xfId="0" applyFont="1" applyBorder="1"/>
    <xf numFmtId="0" fontId="14" fillId="0" borderId="5" xfId="0" applyFont="1" applyBorder="1"/>
    <xf numFmtId="0" fontId="13" fillId="0" borderId="2" xfId="0" applyFont="1" applyBorder="1" applyAlignment="1">
      <alignment vertical="center"/>
    </xf>
    <xf numFmtId="0" fontId="13" fillId="0" borderId="0" xfId="0" applyFont="1" applyAlignment="1">
      <alignment vertical="center"/>
    </xf>
    <xf numFmtId="0" fontId="13" fillId="0" borderId="4" xfId="0" applyFont="1" applyBorder="1"/>
    <xf numFmtId="0" fontId="14" fillId="0" borderId="4" xfId="0" applyFont="1" applyBorder="1"/>
    <xf numFmtId="0" fontId="14" fillId="0" borderId="0" xfId="0" applyFont="1" applyAlignment="1">
      <alignment horizontal="right" vertical="center"/>
    </xf>
    <xf numFmtId="0" fontId="13" fillId="0" borderId="5" xfId="0" applyFont="1" applyBorder="1"/>
    <xf numFmtId="0" fontId="13" fillId="0" borderId="2" xfId="0" applyFont="1" applyBorder="1" applyAlignment="1">
      <alignment horizontal="center" vertical="center"/>
    </xf>
    <xf numFmtId="1" fontId="2" fillId="0" borderId="2" xfId="0" applyNumberFormat="1" applyFont="1" applyBorder="1" applyAlignment="1">
      <alignment horizontal="center" vertical="center"/>
    </xf>
    <xf numFmtId="0" fontId="2" fillId="0" borderId="2" xfId="0" applyFont="1" applyBorder="1" applyAlignment="1">
      <alignment horizontal="center" vertical="center"/>
    </xf>
    <xf numFmtId="0" fontId="2" fillId="0" borderId="0" xfId="0" applyFont="1" applyAlignment="1">
      <alignment horizontal="center" vertical="center"/>
    </xf>
    <xf numFmtId="49" fontId="4" fillId="0" borderId="2" xfId="0" applyNumberFormat="1" applyFont="1" applyBorder="1" applyAlignment="1">
      <alignment horizontal="center" vertical="center"/>
    </xf>
    <xf numFmtId="0" fontId="4" fillId="0" borderId="2" xfId="0" applyFont="1" applyBorder="1" applyAlignment="1">
      <alignment horizontal="center" vertical="center"/>
    </xf>
    <xf numFmtId="49" fontId="4" fillId="0" borderId="2" xfId="0" applyNumberFormat="1" applyFont="1" applyFill="1" applyBorder="1" applyAlignment="1">
      <alignment horizontal="center" vertical="center"/>
    </xf>
    <xf numFmtId="0" fontId="13" fillId="0" borderId="2" xfId="0" applyFont="1" applyFill="1" applyBorder="1" applyAlignment="1">
      <alignment horizontal="center" vertical="center"/>
    </xf>
    <xf numFmtId="0" fontId="2" fillId="0" borderId="0" xfId="0" applyFont="1" applyBorder="1"/>
    <xf numFmtId="0" fontId="0" fillId="0" borderId="0" xfId="0" applyBorder="1"/>
    <xf numFmtId="0" fontId="14" fillId="0" borderId="1" xfId="0" applyFont="1" applyBorder="1" applyAlignment="1">
      <alignment horizontal="right"/>
    </xf>
    <xf numFmtId="0" fontId="11" fillId="0" borderId="1" xfId="0" applyFont="1" applyBorder="1" applyAlignment="1">
      <alignment horizontal="left"/>
    </xf>
    <xf numFmtId="0" fontId="13" fillId="0" borderId="1" xfId="0" applyFont="1" applyBorder="1"/>
    <xf numFmtId="0" fontId="14" fillId="0" borderId="5" xfId="0" applyFont="1" applyBorder="1" applyAlignment="1">
      <alignment horizontal="right"/>
    </xf>
    <xf numFmtId="0" fontId="11" fillId="0" borderId="5" xfId="0" applyFont="1" applyBorder="1" applyAlignment="1">
      <alignment horizontal="left"/>
    </xf>
    <xf numFmtId="0" fontId="13" fillId="0" borderId="5" xfId="0" applyFont="1" applyBorder="1" applyAlignment="1">
      <alignment horizontal="right"/>
    </xf>
    <xf numFmtId="0" fontId="0" fillId="0" borderId="5" xfId="0" applyBorder="1" applyAlignment="1">
      <alignment horizontal="left"/>
    </xf>
    <xf numFmtId="49" fontId="15" fillId="0" borderId="0" xfId="0" applyNumberFormat="1" applyFont="1" applyAlignment="1">
      <alignment horizontal="center"/>
    </xf>
    <xf numFmtId="0" fontId="2" fillId="0" borderId="1" xfId="0" applyFont="1" applyBorder="1" applyAlignment="1">
      <alignment horizontal="center" vertical="center"/>
    </xf>
    <xf numFmtId="0" fontId="2" fillId="0" borderId="3" xfId="0" applyFont="1" applyBorder="1" applyAlignment="1">
      <alignment horizontal="center" vertical="center"/>
    </xf>
    <xf numFmtId="0" fontId="14" fillId="0" borderId="3" xfId="0" applyFont="1" applyBorder="1" applyAlignment="1">
      <alignment horizontal="center" vertical="center"/>
    </xf>
    <xf numFmtId="0" fontId="14" fillId="0" borderId="5" xfId="0" applyFont="1" applyBorder="1" applyAlignment="1">
      <alignment horizontal="center" vertical="center"/>
    </xf>
    <xf numFmtId="0" fontId="2" fillId="0" borderId="5" xfId="0" applyFont="1" applyBorder="1" applyAlignment="1">
      <alignment horizontal="center" vertical="center"/>
    </xf>
    <xf numFmtId="0" fontId="14" fillId="0" borderId="4" xfId="0" applyFont="1" applyBorder="1" applyAlignment="1">
      <alignment horizontal="center" vertical="center"/>
    </xf>
    <xf numFmtId="0" fontId="2" fillId="0" borderId="4" xfId="0" applyFont="1" applyBorder="1" applyAlignment="1">
      <alignment horizontal="center" vertical="center"/>
    </xf>
    <xf numFmtId="49" fontId="14" fillId="0" borderId="0" xfId="0" applyNumberFormat="1" applyFont="1" applyAlignment="1">
      <alignment horizontal="center"/>
    </xf>
    <xf numFmtId="49" fontId="0" fillId="0" borderId="0" xfId="0" applyNumberFormat="1" applyAlignment="1">
      <alignment horizontal="left"/>
    </xf>
    <xf numFmtId="49" fontId="2" fillId="0" borderId="0" xfId="0" applyNumberFormat="1" applyFont="1"/>
    <xf numFmtId="2" fontId="0" fillId="0" borderId="0" xfId="0" applyNumberFormat="1" applyAlignment="1">
      <alignment horizontal="center"/>
    </xf>
    <xf numFmtId="2" fontId="2" fillId="0" borderId="0" xfId="0" applyNumberFormat="1" applyFont="1" applyAlignment="1">
      <alignment horizontal="center"/>
    </xf>
    <xf numFmtId="9" fontId="14" fillId="0" borderId="0" xfId="0" applyNumberFormat="1" applyFont="1" applyAlignment="1">
      <alignment horizontal="center"/>
    </xf>
    <xf numFmtId="0" fontId="2" fillId="0" borderId="0" xfId="0" applyFont="1" applyAlignment="1">
      <alignment horizontal="center"/>
    </xf>
    <xf numFmtId="0" fontId="16" fillId="0" borderId="0" xfId="0" applyFont="1"/>
    <xf numFmtId="0" fontId="0" fillId="0" borderId="1" xfId="0" applyFont="1" applyBorder="1"/>
    <xf numFmtId="0" fontId="0" fillId="0" borderId="0" xfId="0" applyAlignment="1">
      <alignment wrapText="1"/>
    </xf>
    <xf numFmtId="14" fontId="2" fillId="0" borderId="0" xfId="0" applyNumberFormat="1" applyFont="1"/>
    <xf numFmtId="14" fontId="2" fillId="0" borderId="0" xfId="0" applyNumberFormat="1" applyFont="1" applyAlignment="1">
      <alignment horizontal="right"/>
    </xf>
    <xf numFmtId="0" fontId="14" fillId="0" borderId="1" xfId="0" applyFont="1" applyBorder="1" applyAlignment="1">
      <alignment horizontal="center" vertical="center"/>
    </xf>
    <xf numFmtId="0" fontId="2" fillId="0" borderId="1" xfId="0" applyFont="1" applyBorder="1" applyAlignment="1">
      <alignment horizontal="center" vertical="center" wrapText="1"/>
    </xf>
    <xf numFmtId="0" fontId="14" fillId="0" borderId="1" xfId="0" applyFont="1" applyBorder="1" applyAlignment="1">
      <alignment horizontal="center" vertical="center" wrapText="1"/>
    </xf>
    <xf numFmtId="0" fontId="2" fillId="0" borderId="0" xfId="0" applyFont="1" applyAlignment="1">
      <alignment horizontal="right" vertical="center"/>
    </xf>
    <xf numFmtId="1" fontId="2" fillId="0" borderId="0" xfId="0" applyNumberFormat="1" applyFont="1" applyAlignment="1">
      <alignment vertical="center" wrapText="1"/>
    </xf>
    <xf numFmtId="0" fontId="2" fillId="0" borderId="0" xfId="0" applyFont="1" applyAlignment="1">
      <alignment vertical="center" wrapText="1"/>
    </xf>
    <xf numFmtId="0" fontId="2" fillId="0" borderId="1" xfId="0" applyFont="1" applyBorder="1" applyAlignment="1">
      <alignment horizontal="center"/>
    </xf>
    <xf numFmtId="0" fontId="14" fillId="0" borderId="1" xfId="0" applyFont="1" applyBorder="1" applyAlignment="1">
      <alignment horizontal="center"/>
    </xf>
    <xf numFmtId="0" fontId="11" fillId="0" borderId="1" xfId="0" applyFont="1" applyBorder="1" applyAlignment="1">
      <alignment horizontal="center"/>
    </xf>
    <xf numFmtId="0" fontId="2" fillId="0" borderId="8" xfId="0" applyFont="1" applyBorder="1"/>
    <xf numFmtId="1" fontId="2" fillId="0" borderId="8" xfId="0" applyNumberFormat="1" applyFont="1" applyBorder="1" applyAlignment="1">
      <alignment vertical="center"/>
    </xf>
    <xf numFmtId="0" fontId="17" fillId="0" borderId="1" xfId="0" applyFont="1" applyBorder="1" applyAlignment="1">
      <alignment horizontal="center" vertical="center" wrapText="1"/>
    </xf>
    <xf numFmtId="0" fontId="0" fillId="0" borderId="3" xfId="0" applyFont="1" applyBorder="1"/>
    <xf numFmtId="2" fontId="2" fillId="0" borderId="8" xfId="0" applyNumberFormat="1" applyFont="1" applyBorder="1"/>
    <xf numFmtId="0" fontId="11" fillId="0" borderId="1" xfId="0" applyFont="1" applyBorder="1" applyAlignment="1">
      <alignment horizontal="center" vertical="center" wrapText="1"/>
    </xf>
    <xf numFmtId="0" fontId="7" fillId="0" borderId="1" xfId="0" applyFont="1" applyBorder="1" applyAlignment="1">
      <alignment horizontal="center" vertical="center" wrapText="1"/>
    </xf>
    <xf numFmtId="49" fontId="15" fillId="0" borderId="9" xfId="0" applyNumberFormat="1" applyFont="1" applyBorder="1" applyAlignment="1">
      <alignment horizontal="center"/>
    </xf>
    <xf numFmtId="0" fontId="0" fillId="0" borderId="0" xfId="0" applyAlignment="1">
      <alignment horizontal="center" vertical="center"/>
    </xf>
    <xf numFmtId="0" fontId="0" fillId="0" borderId="0" xfId="0" applyAlignment="1">
      <alignment horizontal="left" vertical="center"/>
    </xf>
    <xf numFmtId="0" fontId="0" fillId="0" borderId="10" xfId="0" applyBorder="1" applyAlignment="1">
      <alignment horizontal="center" vertical="center"/>
    </xf>
    <xf numFmtId="0" fontId="0" fillId="0" borderId="11" xfId="0" applyBorder="1"/>
    <xf numFmtId="0" fontId="0" fillId="0" borderId="11" xfId="0" applyBorder="1" applyAlignment="1">
      <alignment horizontal="center" vertical="center"/>
    </xf>
    <xf numFmtId="0" fontId="0" fillId="0" borderId="11" xfId="0" applyBorder="1" applyAlignment="1">
      <alignment wrapText="1"/>
    </xf>
    <xf numFmtId="0" fontId="0" fillId="0" borderId="10" xfId="0" applyBorder="1" applyAlignment="1">
      <alignment horizontal="left" vertical="center" wrapText="1"/>
    </xf>
    <xf numFmtId="0" fontId="2" fillId="0" borderId="10" xfId="0" applyFont="1" applyBorder="1" applyAlignment="1">
      <alignment horizontal="center" vertical="center"/>
    </xf>
    <xf numFmtId="0" fontId="18" fillId="0" borderId="10" xfId="0" applyFont="1" applyBorder="1" applyAlignment="1">
      <alignment horizontal="center" vertical="center"/>
    </xf>
    <xf numFmtId="0" fontId="19" fillId="0" borderId="10" xfId="0" applyFont="1" applyBorder="1" applyAlignment="1">
      <alignment horizontal="center" vertical="center"/>
    </xf>
    <xf numFmtId="0" fontId="2" fillId="0" borderId="3" xfId="0" applyFont="1" applyBorder="1" applyAlignment="1">
      <alignment horizontal="center"/>
    </xf>
    <xf numFmtId="0" fontId="2" fillId="0" borderId="5" xfId="0" applyFont="1" applyBorder="1" applyAlignment="1">
      <alignment horizontal="center"/>
    </xf>
    <xf numFmtId="0" fontId="2" fillId="0" borderId="4" xfId="0" applyFont="1" applyBorder="1" applyAlignment="1">
      <alignment horizontal="center"/>
    </xf>
  </cellXfs>
  <cellStyles count="2">
    <cellStyle name="Обычный" xfId="0" builtinId="0"/>
    <cellStyle name="Обычный 3" xfId="1" xr:uid="{00000000-0005-0000-0000-000001000000}"/>
  </cellStyles>
  <dxfs count="212">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s>
  <tableStyles count="0" defaultTableStyle="TableStyleMedium9" defaultPivotStyle="PivotStyleLight16"/>
  <colors>
    <mruColors>
      <color rgb="FFFFFF99"/>
      <color rgb="FFCC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file>

<file path=xl/ctrlProps/ctrlProp5.xml><?xml version="1.0" encoding="utf-8"?>
<formControlPr xmlns="http://schemas.microsoft.com/office/spreadsheetml/2009/9/main" objectType="Button"/>
</file>

<file path=xl/ctrlProps/ctrlProp6.xml><?xml version="1.0" encoding="utf-8"?>
<formControlPr xmlns="http://schemas.microsoft.com/office/spreadsheetml/2009/9/main" objectType="Button"/>
</file>

<file path=xl/ctrlProps/ctrlProp7.xml><?xml version="1.0" encoding="utf-8"?>
<formControlPr xmlns="http://schemas.microsoft.com/office/spreadsheetml/2009/9/main" objectType="Button"/>
</file>

<file path=xl/ctrlProps/ctrlProp8.xml><?xml version="1.0" encoding="utf-8"?>
<formControlPr xmlns="http://schemas.microsoft.com/office/spreadsheetml/2009/9/main" objectType="Button"/>
</file>

<file path=xl/ctrlProps/ctrlProp9.xml><?xml version="1.0" encoding="utf-8"?>
<formControlPr xmlns="http://schemas.microsoft.com/office/spreadsheetml/2009/9/main" objectType="Button"/>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38100</xdr:colOff>
          <xdr:row>52</xdr:row>
          <xdr:rowOff>152400</xdr:rowOff>
        </xdr:from>
        <xdr:to>
          <xdr:col>4</xdr:col>
          <xdr:colOff>419100</xdr:colOff>
          <xdr:row>54</xdr:row>
          <xdr:rowOff>161925</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000-000001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uk-UA" sz="1100" b="0" i="0" u="none" strike="noStrike" baseline="0">
                  <a:solidFill>
                    <a:srgbClr val="000000"/>
                  </a:solidFill>
                  <a:latin typeface="Calibri"/>
                </a:rPr>
                <a:t>Синхронизация Таблицы Замены</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0</xdr:colOff>
          <xdr:row>0</xdr:row>
          <xdr:rowOff>180975</xdr:rowOff>
        </xdr:from>
        <xdr:to>
          <xdr:col>15</xdr:col>
          <xdr:colOff>1666875</xdr:colOff>
          <xdr:row>1</xdr:row>
          <xdr:rowOff>228600</xdr:rowOff>
        </xdr:to>
        <xdr:sp macro="" textlink="">
          <xdr:nvSpPr>
            <xdr:cNvPr id="44020" name="Button 1012" hidden="1">
              <a:extLst>
                <a:ext uri="{63B3BB69-23CF-44E3-9099-C40C66FF867C}">
                  <a14:compatExt spid="_x0000_s44020"/>
                </a:ext>
                <a:ext uri="{FF2B5EF4-FFF2-40B4-BE49-F238E27FC236}">
                  <a16:creationId xmlns:a16="http://schemas.microsoft.com/office/drawing/2014/main" id="{00000000-0008-0000-0100-0000F4AB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uk-UA" sz="1100" b="0" i="0" u="none" strike="noStrike" baseline="0">
                  <a:solidFill>
                    <a:srgbClr val="000000"/>
                  </a:solidFill>
                  <a:latin typeface="Calibri"/>
                </a:rPr>
                <a:t>Панель инструментов</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123825</xdr:colOff>
          <xdr:row>0</xdr:row>
          <xdr:rowOff>171450</xdr:rowOff>
        </xdr:from>
        <xdr:to>
          <xdr:col>16</xdr:col>
          <xdr:colOff>1238250</xdr:colOff>
          <xdr:row>1</xdr:row>
          <xdr:rowOff>219075</xdr:rowOff>
        </xdr:to>
        <xdr:sp macro="" textlink="">
          <xdr:nvSpPr>
            <xdr:cNvPr id="44033" name="Button 1025" hidden="1">
              <a:extLst>
                <a:ext uri="{63B3BB69-23CF-44E3-9099-C40C66FF867C}">
                  <a14:compatExt spid="_x0000_s44033"/>
                </a:ext>
                <a:ext uri="{FF2B5EF4-FFF2-40B4-BE49-F238E27FC236}">
                  <a16:creationId xmlns:a16="http://schemas.microsoft.com/office/drawing/2014/main" id="{00000000-0008-0000-0100-000001A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uk-UA" sz="1100" b="0" i="0" u="none" strike="noStrike" baseline="0">
                  <a:solidFill>
                    <a:srgbClr val="000000"/>
                  </a:solidFill>
                  <a:latin typeface="Calibri"/>
                </a:rPr>
                <a:t>Ended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19</xdr:col>
          <xdr:colOff>600075</xdr:colOff>
          <xdr:row>0</xdr:row>
          <xdr:rowOff>142875</xdr:rowOff>
        </xdr:from>
        <xdr:to>
          <xdr:col>24</xdr:col>
          <xdr:colOff>161925</xdr:colOff>
          <xdr:row>3</xdr:row>
          <xdr:rowOff>57150</xdr:rowOff>
        </xdr:to>
        <xdr:sp macro="" textlink="">
          <xdr:nvSpPr>
            <xdr:cNvPr id="97281" name="Button 1" hidden="1">
              <a:extLst>
                <a:ext uri="{63B3BB69-23CF-44E3-9099-C40C66FF867C}">
                  <a14:compatExt spid="_x0000_s97281"/>
                </a:ext>
                <a:ext uri="{FF2B5EF4-FFF2-40B4-BE49-F238E27FC236}">
                  <a16:creationId xmlns:a16="http://schemas.microsoft.com/office/drawing/2014/main" id="{00000000-0008-0000-0400-0000017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uk-UA" sz="1100" b="0" i="0" u="none" strike="noStrike" baseline="0">
                  <a:solidFill>
                    <a:srgbClr val="000000"/>
                  </a:solidFill>
                  <a:latin typeface="Calibri"/>
                </a:rPr>
                <a:t>Первый столбик скрыть/показать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24</xdr:col>
          <xdr:colOff>409575</xdr:colOff>
          <xdr:row>1</xdr:row>
          <xdr:rowOff>19050</xdr:rowOff>
        </xdr:from>
        <xdr:to>
          <xdr:col>27</xdr:col>
          <xdr:colOff>104775</xdr:colOff>
          <xdr:row>1</xdr:row>
          <xdr:rowOff>390525</xdr:rowOff>
        </xdr:to>
        <xdr:sp macro="" textlink="">
          <xdr:nvSpPr>
            <xdr:cNvPr id="97282" name="Button 2" hidden="1">
              <a:extLst>
                <a:ext uri="{63B3BB69-23CF-44E3-9099-C40C66FF867C}">
                  <a14:compatExt spid="_x0000_s97282"/>
                </a:ext>
                <a:ext uri="{FF2B5EF4-FFF2-40B4-BE49-F238E27FC236}">
                  <a16:creationId xmlns:a16="http://schemas.microsoft.com/office/drawing/2014/main" id="{00000000-0008-0000-0400-0000027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uk-UA" sz="1100" b="0" i="0" u="none" strike="noStrike" baseline="0">
                  <a:solidFill>
                    <a:srgbClr val="000000"/>
                  </a:solidFill>
                  <a:latin typeface="Calibri"/>
                </a:rPr>
                <a:t>Autofit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10</xdr:col>
          <xdr:colOff>85725</xdr:colOff>
          <xdr:row>0</xdr:row>
          <xdr:rowOff>114300</xdr:rowOff>
        </xdr:from>
        <xdr:to>
          <xdr:col>12</xdr:col>
          <xdr:colOff>200025</xdr:colOff>
          <xdr:row>1</xdr:row>
          <xdr:rowOff>304800</xdr:rowOff>
        </xdr:to>
        <xdr:sp macro="" textlink="">
          <xdr:nvSpPr>
            <xdr:cNvPr id="107521" name="Button 1" hidden="1">
              <a:extLst>
                <a:ext uri="{63B3BB69-23CF-44E3-9099-C40C66FF867C}">
                  <a14:compatExt spid="_x0000_s107521"/>
                </a:ext>
                <a:ext uri="{FF2B5EF4-FFF2-40B4-BE49-F238E27FC236}">
                  <a16:creationId xmlns:a16="http://schemas.microsoft.com/office/drawing/2014/main" id="{00000000-0008-0000-0500-000001A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uk-UA" sz="1100" b="0" i="0" u="none" strike="noStrike" baseline="0">
                  <a:solidFill>
                    <a:srgbClr val="000000"/>
                  </a:solidFill>
                  <a:latin typeface="Calibri"/>
                </a:rPr>
                <a:t>Первый столбик скрыть/показать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304800</xdr:colOff>
          <xdr:row>0</xdr:row>
          <xdr:rowOff>142875</xdr:rowOff>
        </xdr:from>
        <xdr:to>
          <xdr:col>14</xdr:col>
          <xdr:colOff>152400</xdr:colOff>
          <xdr:row>1</xdr:row>
          <xdr:rowOff>276225</xdr:rowOff>
        </xdr:to>
        <xdr:sp macro="" textlink="">
          <xdr:nvSpPr>
            <xdr:cNvPr id="107522" name="Button 2" hidden="1">
              <a:extLst>
                <a:ext uri="{63B3BB69-23CF-44E3-9099-C40C66FF867C}">
                  <a14:compatExt spid="_x0000_s107522"/>
                </a:ext>
                <a:ext uri="{FF2B5EF4-FFF2-40B4-BE49-F238E27FC236}">
                  <a16:creationId xmlns:a16="http://schemas.microsoft.com/office/drawing/2014/main" id="{00000000-0008-0000-0500-000002A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uk-UA" sz="1100" b="0" i="0" u="none" strike="noStrike" baseline="0">
                  <a:solidFill>
                    <a:srgbClr val="000000"/>
                  </a:solidFill>
                  <a:latin typeface="Calibri"/>
                </a:rPr>
                <a:t>Autofit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10</xdr:col>
          <xdr:colOff>317126</xdr:colOff>
          <xdr:row>0</xdr:row>
          <xdr:rowOff>178734</xdr:rowOff>
        </xdr:from>
        <xdr:to>
          <xdr:col>14</xdr:col>
          <xdr:colOff>508186</xdr:colOff>
          <xdr:row>1</xdr:row>
          <xdr:rowOff>369234</xdr:rowOff>
        </xdr:to>
        <xdr:sp macro="" textlink="">
          <xdr:nvSpPr>
            <xdr:cNvPr id="102401" name="Button 1" hidden="1">
              <a:extLst>
                <a:ext uri="{63B3BB69-23CF-44E3-9099-C40C66FF867C}">
                  <a14:compatExt spid="_x0000_s102401"/>
                </a:ext>
                <a:ext uri="{FF2B5EF4-FFF2-40B4-BE49-F238E27FC236}">
                  <a16:creationId xmlns:a16="http://schemas.microsoft.com/office/drawing/2014/main" id="{00000000-0008-0000-0600-0000019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uk-UA" sz="1100" b="0" i="0" u="none" strike="noStrike" baseline="0">
                  <a:solidFill>
                    <a:srgbClr val="000000"/>
                  </a:solidFill>
                  <a:latin typeface="Calibri"/>
                </a:rPr>
                <a:t>Первый столбик скрыть/показать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15</xdr:col>
          <xdr:colOff>122705</xdr:colOff>
          <xdr:row>0</xdr:row>
          <xdr:rowOff>207309</xdr:rowOff>
        </xdr:from>
        <xdr:to>
          <xdr:col>17</xdr:col>
          <xdr:colOff>12326</xdr:colOff>
          <xdr:row>1</xdr:row>
          <xdr:rowOff>340659</xdr:rowOff>
        </xdr:to>
        <xdr:sp macro="" textlink="">
          <xdr:nvSpPr>
            <xdr:cNvPr id="102402" name="Button 2" hidden="1">
              <a:extLst>
                <a:ext uri="{63B3BB69-23CF-44E3-9099-C40C66FF867C}">
                  <a14:compatExt spid="_x0000_s102402"/>
                </a:ext>
                <a:ext uri="{FF2B5EF4-FFF2-40B4-BE49-F238E27FC236}">
                  <a16:creationId xmlns:a16="http://schemas.microsoft.com/office/drawing/2014/main" id="{00000000-0008-0000-0600-0000029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uk-UA" sz="1100" b="0" i="0" u="none" strike="noStrike" baseline="0">
                  <a:solidFill>
                    <a:srgbClr val="000000"/>
                  </a:solidFill>
                  <a:latin typeface="Calibri"/>
                </a:rPr>
                <a:t>Autofit</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omments" Target="../comments3.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omments" Target="../comments4.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omments" Target="../comments5.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533832-2D9D-4554-840F-EF180AB81780}">
  <sheetPr codeName="Лист1"/>
  <dimension ref="A1:AI289"/>
  <sheetViews>
    <sheetView topLeftCell="A41" workbookViewId="0">
      <selection activeCell="A56" sqref="A56"/>
    </sheetView>
  </sheetViews>
  <sheetFormatPr defaultRowHeight="15" x14ac:dyDescent="0.25"/>
  <cols>
    <col min="1" max="1" width="50.85546875" customWidth="1"/>
    <col min="2" max="2" width="52" customWidth="1"/>
  </cols>
  <sheetData>
    <row r="1" spans="1:30" s="27" customFormat="1" x14ac:dyDescent="0.25">
      <c r="A1" s="30" t="s">
        <v>42</v>
      </c>
      <c r="B1" s="30"/>
      <c r="C1" s="30"/>
      <c r="D1" s="30"/>
      <c r="E1" s="30"/>
      <c r="F1" s="30"/>
      <c r="G1" s="30"/>
      <c r="H1" s="30"/>
      <c r="I1" s="30"/>
      <c r="J1" s="30"/>
      <c r="K1" s="30"/>
      <c r="L1" s="30"/>
      <c r="M1" s="30"/>
      <c r="N1" s="30"/>
      <c r="O1" s="30"/>
      <c r="P1" s="30"/>
      <c r="Q1" s="30"/>
      <c r="R1" s="30"/>
      <c r="S1" s="30"/>
      <c r="T1" s="30"/>
      <c r="U1" s="30"/>
      <c r="V1" s="30"/>
      <c r="W1" s="30"/>
      <c r="X1" s="30"/>
      <c r="Y1" s="30"/>
      <c r="Z1" s="30"/>
      <c r="AA1" s="30"/>
      <c r="AB1" s="30"/>
      <c r="AC1" s="30"/>
    </row>
    <row r="2" spans="1:30" ht="18.75" x14ac:dyDescent="0.3">
      <c r="A2" s="1" t="s">
        <v>61</v>
      </c>
      <c r="B2" s="30"/>
      <c r="C2" s="30"/>
      <c r="D2" s="30"/>
      <c r="E2" s="30"/>
      <c r="F2" s="30"/>
      <c r="G2" s="30"/>
      <c r="H2" s="30"/>
      <c r="I2" s="30"/>
      <c r="J2" s="30"/>
      <c r="K2" s="30"/>
      <c r="L2" s="30"/>
      <c r="M2" s="30"/>
      <c r="N2" s="30"/>
      <c r="O2" s="30"/>
      <c r="P2" s="30"/>
      <c r="Q2" s="30"/>
      <c r="R2" s="30"/>
      <c r="S2" s="30"/>
      <c r="T2" s="30"/>
      <c r="U2" s="30"/>
      <c r="V2" s="30"/>
      <c r="W2" s="30"/>
      <c r="X2" s="30"/>
      <c r="Y2" s="30"/>
      <c r="Z2" s="30"/>
      <c r="AA2" s="30"/>
      <c r="AB2" s="30"/>
      <c r="AC2" s="30"/>
    </row>
    <row r="3" spans="1:30" x14ac:dyDescent="0.25">
      <c r="A3" s="30"/>
      <c r="B3" s="30"/>
      <c r="C3" s="30"/>
      <c r="D3" s="30"/>
      <c r="E3" s="30"/>
      <c r="F3" s="30"/>
      <c r="G3" s="30"/>
      <c r="H3" s="30"/>
      <c r="I3" s="30"/>
      <c r="J3" s="30"/>
      <c r="K3" s="30"/>
      <c r="L3" s="30"/>
      <c r="M3" s="30"/>
      <c r="N3" s="30"/>
      <c r="O3" s="30"/>
      <c r="P3" s="30"/>
      <c r="Q3" s="30"/>
      <c r="R3" s="30"/>
      <c r="S3" s="30"/>
      <c r="T3" s="30"/>
      <c r="U3" s="30"/>
      <c r="V3" s="30"/>
      <c r="W3" s="30"/>
      <c r="X3" s="30"/>
      <c r="Y3" s="30"/>
      <c r="Z3" s="30"/>
      <c r="AA3" s="30"/>
      <c r="AB3" s="30"/>
      <c r="AC3" s="30"/>
    </row>
    <row r="4" spans="1:30" x14ac:dyDescent="0.25">
      <c r="A4" s="2" t="s">
        <v>38</v>
      </c>
      <c r="B4" s="30"/>
      <c r="C4" s="30"/>
      <c r="D4" s="30"/>
      <c r="E4" s="30"/>
      <c r="F4" s="30"/>
      <c r="G4" s="30"/>
      <c r="H4" s="30"/>
      <c r="I4" s="30"/>
      <c r="J4" s="30"/>
      <c r="K4" s="30"/>
      <c r="L4" s="30"/>
      <c r="M4" s="30"/>
      <c r="N4" s="30"/>
      <c r="O4" s="30"/>
      <c r="P4" s="30"/>
      <c r="Q4" s="30"/>
      <c r="R4" s="30"/>
      <c r="S4" s="30"/>
      <c r="T4" s="30"/>
      <c r="U4" s="30"/>
      <c r="V4" s="30"/>
      <c r="W4" s="30"/>
      <c r="X4" s="30"/>
      <c r="Y4" s="30"/>
      <c r="Z4" s="30"/>
      <c r="AA4" s="30"/>
      <c r="AB4" s="30"/>
      <c r="AC4" s="30"/>
    </row>
    <row r="5" spans="1:30" x14ac:dyDescent="0.25">
      <c r="A5" s="9" t="str">
        <f>CONCATENATE(O5,".",LEFT(J5))</f>
        <v>.0</v>
      </c>
      <c r="B5" s="32" t="str">
        <f>CONCATENATE(IF(OR(Y5="Не определена",Y5,ISBLANK(Y5)),"↕",),IF(Y5="Не обязательна","±",),Q5,".",P5)</f>
        <v>↕.</v>
      </c>
      <c r="C5" s="47"/>
      <c r="D5" s="47"/>
      <c r="E5" s="48">
        <f>IF(M5="скрутка",T5+$Q$1,IF(M5="склейка",T5+$Q$1,IF(M5="запил торца",ROUND(T5+$P$1,0),IF(M5="запил торцов",ROUND(T5+$P$1*2,0),T5))))+IF(G5=$O$1,$P$1,)+IF(H5=$O$1,$P$1,)</f>
        <v>0</v>
      </c>
      <c r="F5" s="48">
        <f>IF(M5="скрутка",U5+$Q$1,IF(M5="склейка",U5+$Q$1,IF(M5="запил торца",ROUND(U5+$P$1,0),IF(M5="запил торцов",ROUND(U5+$P$1*2,0),U5))))+IF(C5=$O$1,$P$1,)+IF(D5=$O$1,$P$1,)</f>
        <v>0</v>
      </c>
      <c r="G5" s="47"/>
      <c r="H5" s="47"/>
      <c r="I5" s="49">
        <f>IF(OR(M5="скрутка",M5="склейка"),Z5*2,Z5)</f>
        <v>0</v>
      </c>
      <c r="J5" s="51">
        <f>X5</f>
        <v>0</v>
      </c>
      <c r="K5" s="52" t="str">
        <f t="shared" ref="K5:L5" si="0">IF(ISBLANK(AB5),"",AB5)</f>
        <v/>
      </c>
      <c r="L5" s="52" t="str">
        <f t="shared" si="0"/>
        <v/>
      </c>
      <c r="M5" s="51" t="str">
        <f>IF(AA5="","",AA5)</f>
        <v/>
      </c>
      <c r="N5" s="30" t="str">
        <f>CONCATENATE(IF(E5&lt;&gt;T5,"НеРавны",),IF(AND(NOT(ISBLANK(R5)),R5&lt;&gt;T5),"Д",),IF(AND(NOT(ISBLANK(S5)),S5&lt;&gt;U5),"Ш",))</f>
        <v/>
      </c>
      <c r="O5" s="22"/>
      <c r="P5" s="18"/>
      <c r="Q5" s="18"/>
      <c r="R5" s="18"/>
      <c r="S5" s="18"/>
      <c r="T5" s="3"/>
      <c r="U5" s="3"/>
      <c r="V5" s="23"/>
      <c r="W5" s="23"/>
      <c r="X5" s="18"/>
      <c r="Y5" s="18"/>
      <c r="Z5" s="18"/>
      <c r="AA5" s="18"/>
      <c r="AB5" s="18"/>
      <c r="AC5" s="18"/>
      <c r="AD5" s="18"/>
    </row>
    <row r="6" spans="1:30" x14ac:dyDescent="0.25">
      <c r="A6" s="30"/>
      <c r="B6" s="30"/>
      <c r="C6" s="30"/>
      <c r="D6" s="30"/>
      <c r="E6" s="30"/>
      <c r="F6" s="30"/>
      <c r="G6" s="30"/>
      <c r="H6" s="30"/>
      <c r="I6" s="30"/>
      <c r="J6" s="30"/>
      <c r="K6" s="30"/>
      <c r="L6" s="30"/>
      <c r="M6" s="30"/>
      <c r="N6" s="30"/>
      <c r="O6" s="30"/>
      <c r="P6" s="30"/>
      <c r="Q6" s="30"/>
      <c r="R6" s="30"/>
      <c r="S6" s="30"/>
      <c r="T6" s="30"/>
      <c r="U6" s="30"/>
      <c r="V6" s="30"/>
      <c r="W6" s="30"/>
      <c r="X6" s="30"/>
      <c r="Y6" s="30"/>
      <c r="Z6" s="30"/>
      <c r="AA6" s="30"/>
      <c r="AB6" s="30"/>
      <c r="AC6" s="30"/>
    </row>
    <row r="7" spans="1:30" x14ac:dyDescent="0.25">
      <c r="A7" s="30"/>
      <c r="B7" s="30"/>
      <c r="C7" s="30"/>
      <c r="D7" s="30"/>
      <c r="E7" s="30"/>
      <c r="F7" s="30"/>
      <c r="G7" s="30"/>
      <c r="H7" s="30"/>
      <c r="I7" s="30"/>
      <c r="J7" s="30"/>
      <c r="K7" s="30"/>
      <c r="L7" s="30"/>
      <c r="M7" s="30"/>
      <c r="N7" s="30"/>
      <c r="O7" s="30"/>
      <c r="P7" s="30"/>
      <c r="Q7" s="30"/>
      <c r="R7" s="30"/>
      <c r="S7" s="30"/>
      <c r="T7" s="30"/>
      <c r="U7" s="30"/>
      <c r="V7" s="30"/>
      <c r="W7" s="30"/>
      <c r="X7" s="30"/>
      <c r="Y7" s="30"/>
      <c r="Z7" s="30"/>
      <c r="AA7" s="30"/>
      <c r="AB7" s="30"/>
      <c r="AC7" s="30"/>
    </row>
    <row r="8" spans="1:30" x14ac:dyDescent="0.25">
      <c r="A8" s="30"/>
      <c r="B8" s="30"/>
      <c r="C8" s="30"/>
      <c r="D8" s="30"/>
      <c r="E8" s="30"/>
      <c r="F8" s="30"/>
      <c r="G8" s="30"/>
      <c r="H8" s="30"/>
      <c r="I8" s="30"/>
      <c r="J8" s="30"/>
      <c r="K8" s="30"/>
      <c r="L8" s="30"/>
      <c r="M8" s="30"/>
      <c r="N8" s="30"/>
      <c r="O8" s="30"/>
      <c r="P8" s="30"/>
      <c r="Q8" s="30"/>
      <c r="R8" s="30"/>
      <c r="S8" s="30"/>
      <c r="T8" s="30"/>
      <c r="U8" s="30"/>
      <c r="V8" s="30"/>
      <c r="W8" s="30"/>
      <c r="X8" s="30"/>
      <c r="Y8" s="30"/>
      <c r="Z8" s="30"/>
      <c r="AA8" s="30"/>
      <c r="AB8" s="30"/>
      <c r="AC8" s="30"/>
    </row>
    <row r="9" spans="1:30" x14ac:dyDescent="0.25">
      <c r="A9" s="2" t="s">
        <v>41</v>
      </c>
      <c r="B9" s="30"/>
      <c r="C9" s="30"/>
      <c r="D9" s="30"/>
      <c r="E9" s="30"/>
      <c r="F9" s="30"/>
      <c r="G9" s="30"/>
      <c r="H9" s="30"/>
      <c r="I9" s="30"/>
      <c r="J9" s="30"/>
      <c r="K9" s="30"/>
      <c r="L9" s="30"/>
      <c r="M9" s="30"/>
      <c r="N9" s="30"/>
      <c r="O9" s="30"/>
      <c r="P9" s="30"/>
      <c r="Q9" s="30"/>
      <c r="R9" s="30"/>
      <c r="S9" s="30"/>
      <c r="T9" s="30"/>
      <c r="U9" s="30"/>
      <c r="V9" s="30"/>
      <c r="W9" s="30"/>
      <c r="X9" s="30"/>
      <c r="Y9" s="30"/>
      <c r="Z9" s="30"/>
      <c r="AA9" s="30"/>
      <c r="AB9" s="30"/>
      <c r="AC9" s="30"/>
    </row>
    <row r="10" spans="1:30" x14ac:dyDescent="0.25">
      <c r="A10" s="3"/>
      <c r="B10" s="4"/>
      <c r="C10" s="46"/>
      <c r="D10" s="62"/>
      <c r="E10" s="63"/>
      <c r="F10" s="5"/>
      <c r="G10" s="43"/>
      <c r="H10" s="59"/>
      <c r="I10" s="18"/>
      <c r="J10" s="3"/>
      <c r="K10" s="3"/>
      <c r="L10" s="55"/>
      <c r="M10" s="56"/>
      <c r="N10" s="30"/>
      <c r="O10" s="30"/>
      <c r="P10" s="30"/>
      <c r="Q10" s="30"/>
      <c r="R10" s="30"/>
      <c r="S10" s="30"/>
      <c r="T10" s="30"/>
      <c r="U10" s="30"/>
      <c r="V10" s="30"/>
      <c r="W10" s="30"/>
      <c r="X10" s="30"/>
      <c r="Y10" s="30"/>
      <c r="Z10" s="30"/>
      <c r="AA10" s="30"/>
      <c r="AB10" s="30"/>
      <c r="AC10" s="30"/>
    </row>
    <row r="11" spans="1:30" x14ac:dyDescent="0.25">
      <c r="A11" s="30"/>
      <c r="B11" s="30"/>
      <c r="C11" s="30"/>
      <c r="D11" s="30"/>
      <c r="E11" s="30"/>
      <c r="F11" s="30"/>
      <c r="G11" s="30"/>
      <c r="H11" s="30"/>
      <c r="I11" s="30"/>
      <c r="J11" s="30"/>
      <c r="K11" s="30"/>
      <c r="L11" s="30"/>
      <c r="M11" s="30"/>
      <c r="N11" s="30"/>
      <c r="O11" s="30"/>
      <c r="P11" s="30"/>
      <c r="Q11" s="30"/>
      <c r="R11" s="30"/>
      <c r="S11" s="30"/>
      <c r="T11" s="30"/>
      <c r="U11" s="30"/>
      <c r="V11" s="30"/>
      <c r="W11" s="30"/>
      <c r="X11" s="30"/>
      <c r="Y11" s="30"/>
      <c r="Z11" s="30"/>
      <c r="AA11" s="30"/>
      <c r="AB11" s="30"/>
      <c r="AC11" s="30"/>
    </row>
    <row r="12" spans="1:30" x14ac:dyDescent="0.25">
      <c r="A12" s="30"/>
      <c r="B12" s="30"/>
      <c r="C12" s="30"/>
      <c r="D12" s="30"/>
      <c r="E12" s="30"/>
      <c r="F12" s="30"/>
      <c r="G12" s="30"/>
      <c r="H12" s="30"/>
      <c r="I12" s="30"/>
      <c r="J12" s="30"/>
      <c r="K12" s="30"/>
      <c r="L12" s="30"/>
      <c r="M12" s="30"/>
      <c r="N12" s="30"/>
      <c r="O12" s="30"/>
      <c r="P12" s="30"/>
      <c r="Q12" s="30"/>
      <c r="R12" s="30"/>
      <c r="S12" s="30"/>
      <c r="T12" s="30"/>
      <c r="U12" s="30"/>
      <c r="V12" s="30"/>
      <c r="W12" s="30"/>
      <c r="X12" s="30"/>
      <c r="Y12" s="30"/>
      <c r="Z12" s="30"/>
      <c r="AA12" s="30"/>
      <c r="AB12" s="30"/>
      <c r="AC12" s="30"/>
    </row>
    <row r="13" spans="1:30" x14ac:dyDescent="0.25">
      <c r="A13" s="30"/>
      <c r="B13" s="30"/>
      <c r="C13" s="30"/>
      <c r="D13" s="30"/>
      <c r="E13" s="30"/>
      <c r="F13" s="30"/>
      <c r="G13" s="30"/>
      <c r="H13" s="30"/>
      <c r="I13" s="30"/>
      <c r="J13" s="30"/>
      <c r="K13" s="30"/>
      <c r="L13" s="30"/>
      <c r="M13" s="30"/>
      <c r="N13" s="30"/>
      <c r="O13" s="30"/>
      <c r="P13" s="30"/>
      <c r="Q13" s="30"/>
      <c r="R13" s="30"/>
      <c r="S13" s="30"/>
      <c r="T13" s="30"/>
      <c r="U13" s="30"/>
      <c r="V13" s="30"/>
      <c r="W13" s="30"/>
      <c r="X13" s="30"/>
      <c r="Y13" s="30"/>
      <c r="Z13" s="30"/>
      <c r="AA13" s="30"/>
      <c r="AB13" s="30"/>
      <c r="AC13" s="30"/>
    </row>
    <row r="14" spans="1:30" x14ac:dyDescent="0.25">
      <c r="A14" s="2" t="s">
        <v>39</v>
      </c>
      <c r="B14" s="30"/>
      <c r="C14" s="30"/>
      <c r="D14" s="30"/>
      <c r="E14" s="30"/>
      <c r="F14" s="30"/>
      <c r="G14" s="30"/>
      <c r="H14" s="30"/>
      <c r="I14" s="30"/>
      <c r="J14" s="30"/>
      <c r="K14" s="30"/>
      <c r="L14" s="30"/>
      <c r="M14" s="30"/>
      <c r="N14" s="30"/>
      <c r="O14" s="30"/>
      <c r="P14" s="30"/>
      <c r="Q14" s="30"/>
      <c r="R14" s="30"/>
      <c r="S14" s="30"/>
      <c r="T14" s="30"/>
      <c r="U14" s="30"/>
      <c r="V14" s="30"/>
      <c r="W14" s="30"/>
      <c r="X14" s="30"/>
      <c r="Y14" s="30"/>
      <c r="Z14" s="30"/>
      <c r="AA14" s="30"/>
      <c r="AB14" s="30"/>
      <c r="AC14" s="30"/>
    </row>
    <row r="15" spans="1:30" x14ac:dyDescent="0.25">
      <c r="A15" s="9" t="str">
        <f>CONCATENATE(O15,".",LEFT(J15))</f>
        <v>.0</v>
      </c>
      <c r="B15" s="9"/>
      <c r="C15" s="9"/>
      <c r="D15" s="14">
        <f>IF(M15="скрутка",T15+$Q$1,IF(M15="склейка",T15+$Q$1,IF(M15="запил торца",ROUND(T15+$P$1,0),IF(M15="запил торцов",ROUND(T15+$P$1*2,0),T15))))+IF(F15=$O$1,$P$1,)+IF(G15=$O$1,$P$1,)</f>
        <v>0</v>
      </c>
      <c r="E15" s="14">
        <f>IF(M15="скрутка",U15+$Q$1,IF(M15="склейка",U15+$Q$1,IF(M15="запил торца",ROUND(U15+$P$1,0),IF(M15="запил торцов",ROUND(U15+$P$1*2,0),U15))))+IF(B15=$O$1,$P$1,)+IF(C15=$O$1,$P$1,)</f>
        <v>0</v>
      </c>
      <c r="F15" s="9"/>
      <c r="G15" s="9"/>
      <c r="H15" s="10">
        <f>IF(OR(M15="скрутка",M15="склейка"),Z15*2,Z15)</f>
        <v>0</v>
      </c>
      <c r="I15" s="32" t="str">
        <f>CONCATENATE(IF(OR(Y15="Не определена",Y15,ISBLANK(Y15)),"↕",),IF(Y15="Не обязательна","±",),P15,"_",Q15)</f>
        <v>↕_</v>
      </c>
      <c r="J15" s="11">
        <f>X15</f>
        <v>0</v>
      </c>
      <c r="K15" s="32"/>
      <c r="L15" s="32"/>
      <c r="M15" s="28" t="str">
        <f>IF(AA15="","",AA15)</f>
        <v/>
      </c>
      <c r="N15" s="30" t="str">
        <f>CONCATENATE(IF(D15&lt;&gt;T15,"НеРавны",),IF(AND(NOT(ISBLANK(R15)),R15&lt;&gt;T15),"Д",),IF(AND(NOT(ISBLANK(S15)),S15&lt;&gt;U15),"Ш",))</f>
        <v/>
      </c>
      <c r="O15" s="22"/>
      <c r="P15" s="18"/>
      <c r="Q15" s="18"/>
      <c r="R15" s="18"/>
      <c r="S15" s="18"/>
      <c r="T15" s="3"/>
      <c r="U15" s="3"/>
      <c r="V15" s="23"/>
      <c r="W15" s="23"/>
      <c r="X15" s="18"/>
      <c r="Y15" s="18"/>
      <c r="Z15" s="18"/>
      <c r="AA15" s="18"/>
      <c r="AB15" s="30"/>
      <c r="AC15" s="30"/>
    </row>
    <row r="17" spans="1:6" ht="18.75" x14ac:dyDescent="0.3">
      <c r="A17" s="1" t="s">
        <v>62</v>
      </c>
      <c r="B17" s="2" t="s">
        <v>43</v>
      </c>
    </row>
    <row r="18" spans="1:6" ht="15.75" x14ac:dyDescent="0.25">
      <c r="B18" s="31" t="s">
        <v>45</v>
      </c>
    </row>
    <row r="19" spans="1:6" x14ac:dyDescent="0.25">
      <c r="B19" t="s">
        <v>46</v>
      </c>
    </row>
    <row r="20" spans="1:6" ht="15.75" x14ac:dyDescent="0.25">
      <c r="B20" s="31" t="s">
        <v>44</v>
      </c>
    </row>
    <row r="21" spans="1:6" x14ac:dyDescent="0.25">
      <c r="B21" t="s">
        <v>47</v>
      </c>
    </row>
    <row r="22" spans="1:6" x14ac:dyDescent="0.25">
      <c r="B22" s="2" t="s">
        <v>55</v>
      </c>
    </row>
    <row r="23" spans="1:6" x14ac:dyDescent="0.25">
      <c r="B23" s="30" t="s">
        <v>58</v>
      </c>
    </row>
    <row r="24" spans="1:6" x14ac:dyDescent="0.25">
      <c r="B24" t="s">
        <v>60</v>
      </c>
    </row>
    <row r="26" spans="1:6" s="30" customFormat="1" ht="21" x14ac:dyDescent="0.35">
      <c r="A26" s="79" t="s">
        <v>85</v>
      </c>
    </row>
    <row r="27" spans="1:6" s="30" customFormat="1" x14ac:dyDescent="0.25"/>
    <row r="28" spans="1:6" s="30" customFormat="1" ht="15.75" x14ac:dyDescent="0.25">
      <c r="A28" s="2" t="s">
        <v>63</v>
      </c>
      <c r="F28" s="31" t="s">
        <v>64</v>
      </c>
    </row>
    <row r="29" spans="1:6" s="30" customFormat="1" x14ac:dyDescent="0.25">
      <c r="A29" s="72" t="s">
        <v>3</v>
      </c>
      <c r="B29" s="72" t="s">
        <v>65</v>
      </c>
      <c r="C29" s="72" t="s">
        <v>66</v>
      </c>
      <c r="F29" s="73" t="s">
        <v>67</v>
      </c>
    </row>
    <row r="30" spans="1:6" s="30" customFormat="1" x14ac:dyDescent="0.25">
      <c r="F30" s="30" t="s">
        <v>68</v>
      </c>
    </row>
    <row r="31" spans="1:6" s="30" customFormat="1" x14ac:dyDescent="0.25">
      <c r="A31" s="74" t="s">
        <v>69</v>
      </c>
      <c r="C31" s="75"/>
      <c r="F31" s="30" t="s">
        <v>70</v>
      </c>
    </row>
    <row r="32" spans="1:6" s="30" customFormat="1" x14ac:dyDescent="0.25">
      <c r="A32" s="72" t="s">
        <v>3</v>
      </c>
      <c r="B32" s="72" t="s">
        <v>65</v>
      </c>
      <c r="C32" s="72" t="s">
        <v>66</v>
      </c>
    </row>
    <row r="33" spans="1:6" s="30" customFormat="1" x14ac:dyDescent="0.25">
      <c r="F33" s="30" t="s">
        <v>87</v>
      </c>
    </row>
    <row r="34" spans="1:6" s="30" customFormat="1" x14ac:dyDescent="0.25">
      <c r="A34" s="2" t="s">
        <v>71</v>
      </c>
      <c r="B34" s="2"/>
      <c r="C34" s="76"/>
    </row>
    <row r="35" spans="1:6" s="30" customFormat="1" x14ac:dyDescent="0.25">
      <c r="A35" s="72" t="s">
        <v>3</v>
      </c>
      <c r="B35" s="72" t="s">
        <v>72</v>
      </c>
      <c r="C35" s="77">
        <v>1.2</v>
      </c>
    </row>
    <row r="36" spans="1:6" s="30" customFormat="1" x14ac:dyDescent="0.25"/>
    <row r="37" spans="1:6" s="30" customFormat="1" x14ac:dyDescent="0.25">
      <c r="A37" s="2" t="s">
        <v>74</v>
      </c>
      <c r="C37" s="75"/>
    </row>
    <row r="38" spans="1:6" s="30" customFormat="1" x14ac:dyDescent="0.25">
      <c r="A38" s="72" t="s">
        <v>75</v>
      </c>
      <c r="B38" s="72" t="s">
        <v>76</v>
      </c>
      <c r="C38" s="72" t="s">
        <v>77</v>
      </c>
    </row>
    <row r="39" spans="1:6" s="30" customFormat="1" x14ac:dyDescent="0.25"/>
    <row r="40" spans="1:6" s="30" customFormat="1" x14ac:dyDescent="0.25">
      <c r="A40" s="74" t="s">
        <v>78</v>
      </c>
      <c r="B40" s="78"/>
      <c r="C40" s="78"/>
    </row>
    <row r="41" spans="1:6" s="30" customFormat="1" x14ac:dyDescent="0.25">
      <c r="A41" s="72" t="s">
        <v>75</v>
      </c>
      <c r="B41" s="72" t="s">
        <v>79</v>
      </c>
      <c r="C41" s="72" t="s">
        <v>77</v>
      </c>
    </row>
    <row r="42" spans="1:6" s="30" customFormat="1" x14ac:dyDescent="0.25"/>
    <row r="43" spans="1:6" s="30" customFormat="1" ht="18.75" x14ac:dyDescent="0.3">
      <c r="A43" s="1" t="s">
        <v>80</v>
      </c>
    </row>
    <row r="44" spans="1:6" s="30" customFormat="1" x14ac:dyDescent="0.25"/>
    <row r="45" spans="1:6" x14ac:dyDescent="0.25">
      <c r="A45" s="30"/>
      <c r="B45" s="30"/>
      <c r="C45" s="30"/>
      <c r="D45" s="30"/>
      <c r="E45" s="30"/>
      <c r="F45" s="30"/>
    </row>
    <row r="46" spans="1:6" x14ac:dyDescent="0.25">
      <c r="A46" s="2" t="s">
        <v>81</v>
      </c>
      <c r="B46" s="30"/>
      <c r="C46" s="30"/>
      <c r="D46" s="30"/>
      <c r="E46" s="30"/>
      <c r="F46" s="30"/>
    </row>
    <row r="47" spans="1:6" s="30" customFormat="1" x14ac:dyDescent="0.25">
      <c r="A47" s="30" t="s">
        <v>82</v>
      </c>
    </row>
    <row r="48" spans="1:6" s="30" customFormat="1" x14ac:dyDescent="0.25">
      <c r="A48" s="30" t="s">
        <v>83</v>
      </c>
    </row>
    <row r="49" spans="1:6" s="30" customFormat="1" x14ac:dyDescent="0.25">
      <c r="A49" s="2" t="s">
        <v>84</v>
      </c>
    </row>
    <row r="50" spans="1:6" s="30" customFormat="1" x14ac:dyDescent="0.25"/>
    <row r="51" spans="1:6" s="30" customFormat="1" ht="21" x14ac:dyDescent="0.35">
      <c r="A51" s="79" t="s">
        <v>86</v>
      </c>
      <c r="F51" s="31" t="s">
        <v>64</v>
      </c>
    </row>
    <row r="52" spans="1:6" s="30" customFormat="1" x14ac:dyDescent="0.25">
      <c r="F52" s="30" t="s">
        <v>73</v>
      </c>
    </row>
    <row r="53" spans="1:6" x14ac:dyDescent="0.25">
      <c r="F53" t="s">
        <v>90</v>
      </c>
    </row>
    <row r="54" spans="1:6" ht="18.75" x14ac:dyDescent="0.3">
      <c r="A54" s="1" t="s">
        <v>55</v>
      </c>
      <c r="B54" t="s">
        <v>92</v>
      </c>
      <c r="F54" t="s">
        <v>91</v>
      </c>
    </row>
    <row r="55" spans="1:6" x14ac:dyDescent="0.25">
      <c r="A55" s="64" t="s">
        <v>56</v>
      </c>
      <c r="B55" s="64" t="s">
        <v>57</v>
      </c>
    </row>
    <row r="56" spans="1:6" s="30" customFormat="1" x14ac:dyDescent="0.25">
      <c r="A56" s="100" t="s">
        <v>94</v>
      </c>
      <c r="B56" s="100" t="s">
        <v>94</v>
      </c>
    </row>
    <row r="57" spans="1:6" s="30" customFormat="1" x14ac:dyDescent="0.25">
      <c r="A57" s="100" t="s">
        <v>88</v>
      </c>
      <c r="B57" s="100" t="s">
        <v>88</v>
      </c>
    </row>
    <row r="58" spans="1:6" s="30" customFormat="1" x14ac:dyDescent="0.25">
      <c r="A58" s="100" t="s">
        <v>89</v>
      </c>
      <c r="B58" s="100" t="s">
        <v>89</v>
      </c>
    </row>
    <row r="59" spans="1:6" s="30" customFormat="1" x14ac:dyDescent="0.25">
      <c r="A59" s="100" t="s">
        <v>96</v>
      </c>
      <c r="B59" s="100" t="s">
        <v>96</v>
      </c>
    </row>
    <row r="60" spans="1:6" s="30" customFormat="1" x14ac:dyDescent="0.25">
      <c r="A60" s="100" t="s">
        <v>93</v>
      </c>
      <c r="B60" s="100" t="s">
        <v>93</v>
      </c>
    </row>
    <row r="61" spans="1:6" s="30" customFormat="1" x14ac:dyDescent="0.25">
      <c r="A61" s="100" t="s">
        <v>95</v>
      </c>
      <c r="B61" s="100" t="s">
        <v>95</v>
      </c>
    </row>
    <row r="62" spans="1:6" s="30" customFormat="1" x14ac:dyDescent="0.25">
      <c r="A62" s="100" t="s">
        <v>151</v>
      </c>
      <c r="B62" s="100" t="s">
        <v>151</v>
      </c>
    </row>
    <row r="63" spans="1:6" s="30" customFormat="1" x14ac:dyDescent="0.25">
      <c r="A63" s="100" t="s">
        <v>152</v>
      </c>
      <c r="B63" s="100" t="s">
        <v>152</v>
      </c>
    </row>
    <row r="64" spans="1:6" s="30" customFormat="1" x14ac:dyDescent="0.25">
      <c r="A64" s="100" t="s">
        <v>115</v>
      </c>
      <c r="B64" s="100" t="s">
        <v>115</v>
      </c>
    </row>
    <row r="65" spans="1:2" s="30" customFormat="1" x14ac:dyDescent="0.25">
      <c r="A65" s="100" t="s">
        <v>153</v>
      </c>
      <c r="B65" s="100" t="s">
        <v>153</v>
      </c>
    </row>
    <row r="66" spans="1:2" s="30" customFormat="1" x14ac:dyDescent="0.25">
      <c r="A66" s="100" t="s">
        <v>154</v>
      </c>
      <c r="B66" s="100" t="s">
        <v>154</v>
      </c>
    </row>
    <row r="67" spans="1:2" s="30" customFormat="1" x14ac:dyDescent="0.25">
      <c r="A67" s="100" t="s">
        <v>155</v>
      </c>
      <c r="B67" s="100" t="s">
        <v>155</v>
      </c>
    </row>
    <row r="68" spans="1:2" s="30" customFormat="1" x14ac:dyDescent="0.25">
      <c r="A68" s="100" t="s">
        <v>156</v>
      </c>
      <c r="B68" s="100" t="s">
        <v>156</v>
      </c>
    </row>
    <row r="69" spans="1:2" s="30" customFormat="1" x14ac:dyDescent="0.25">
      <c r="A69" s="100" t="s">
        <v>157</v>
      </c>
      <c r="B69" s="100" t="s">
        <v>157</v>
      </c>
    </row>
    <row r="70" spans="1:2" s="30" customFormat="1" x14ac:dyDescent="0.25">
      <c r="A70" s="100" t="s">
        <v>140</v>
      </c>
      <c r="B70" s="100" t="s">
        <v>140</v>
      </c>
    </row>
    <row r="71" spans="1:2" s="30" customFormat="1" x14ac:dyDescent="0.25">
      <c r="A71" s="100" t="s">
        <v>141</v>
      </c>
      <c r="B71" s="100" t="s">
        <v>141</v>
      </c>
    </row>
    <row r="72" spans="1:2" s="30" customFormat="1" x14ac:dyDescent="0.25">
      <c r="A72" s="100" t="s">
        <v>138</v>
      </c>
      <c r="B72" s="100" t="s">
        <v>138</v>
      </c>
    </row>
    <row r="73" spans="1:2" s="30" customFormat="1" x14ac:dyDescent="0.25">
      <c r="A73" s="100" t="s">
        <v>125</v>
      </c>
      <c r="B73" s="100" t="s">
        <v>125</v>
      </c>
    </row>
    <row r="74" spans="1:2" s="30" customFormat="1" x14ac:dyDescent="0.25">
      <c r="A74" s="100" t="s">
        <v>130</v>
      </c>
      <c r="B74" s="100" t="s">
        <v>130</v>
      </c>
    </row>
    <row r="75" spans="1:2" s="30" customFormat="1" x14ac:dyDescent="0.25">
      <c r="A75" s="100" t="s">
        <v>158</v>
      </c>
      <c r="B75" s="100" t="s">
        <v>158</v>
      </c>
    </row>
    <row r="76" spans="1:2" s="30" customFormat="1" x14ac:dyDescent="0.25">
      <c r="A76" s="100" t="s">
        <v>131</v>
      </c>
      <c r="B76" s="100" t="s">
        <v>131</v>
      </c>
    </row>
    <row r="77" spans="1:2" s="30" customFormat="1" x14ac:dyDescent="0.25">
      <c r="A77" s="100" t="s">
        <v>139</v>
      </c>
      <c r="B77" s="100" t="s">
        <v>139</v>
      </c>
    </row>
    <row r="78" spans="1:2" s="30" customFormat="1" x14ac:dyDescent="0.25">
      <c r="A78" s="100" t="s">
        <v>137</v>
      </c>
      <c r="B78" s="100" t="s">
        <v>137</v>
      </c>
    </row>
    <row r="79" spans="1:2" s="30" customFormat="1" x14ac:dyDescent="0.25">
      <c r="A79" s="100" t="s">
        <v>159</v>
      </c>
      <c r="B79" s="100" t="s">
        <v>159</v>
      </c>
    </row>
    <row r="80" spans="1:2" s="30" customFormat="1" x14ac:dyDescent="0.25">
      <c r="A80" s="100" t="s">
        <v>132</v>
      </c>
      <c r="B80" s="100" t="s">
        <v>132</v>
      </c>
    </row>
    <row r="81" spans="1:2" s="30" customFormat="1" x14ac:dyDescent="0.25">
      <c r="A81" s="100" t="s">
        <v>160</v>
      </c>
      <c r="B81" s="100" t="s">
        <v>160</v>
      </c>
    </row>
    <row r="82" spans="1:2" s="30" customFormat="1" x14ac:dyDescent="0.25">
      <c r="A82" s="100" t="s">
        <v>133</v>
      </c>
      <c r="B82" s="100" t="s">
        <v>133</v>
      </c>
    </row>
    <row r="83" spans="1:2" s="30" customFormat="1" x14ac:dyDescent="0.25">
      <c r="A83" s="100" t="s">
        <v>136</v>
      </c>
      <c r="B83" s="100" t="s">
        <v>136</v>
      </c>
    </row>
    <row r="84" spans="1:2" s="30" customFormat="1" x14ac:dyDescent="0.25">
      <c r="A84" s="100" t="s">
        <v>161</v>
      </c>
      <c r="B84" s="100" t="s">
        <v>161</v>
      </c>
    </row>
    <row r="85" spans="1:2" s="30" customFormat="1" x14ac:dyDescent="0.25">
      <c r="A85" s="100" t="s">
        <v>162</v>
      </c>
      <c r="B85" s="100" t="s">
        <v>162</v>
      </c>
    </row>
    <row r="86" spans="1:2" s="30" customFormat="1" x14ac:dyDescent="0.25">
      <c r="A86" s="100" t="s">
        <v>163</v>
      </c>
      <c r="B86" s="100" t="s">
        <v>163</v>
      </c>
    </row>
    <row r="87" spans="1:2" s="30" customFormat="1" x14ac:dyDescent="0.25">
      <c r="A87" s="100" t="s">
        <v>164</v>
      </c>
      <c r="B87" s="100" t="s">
        <v>164</v>
      </c>
    </row>
    <row r="88" spans="1:2" s="30" customFormat="1" x14ac:dyDescent="0.25">
      <c r="A88" s="100" t="s">
        <v>165</v>
      </c>
      <c r="B88" s="100" t="s">
        <v>165</v>
      </c>
    </row>
    <row r="89" spans="1:2" s="30" customFormat="1" x14ac:dyDescent="0.25">
      <c r="A89" s="100" t="s">
        <v>166</v>
      </c>
      <c r="B89" s="100" t="s">
        <v>166</v>
      </c>
    </row>
    <row r="90" spans="1:2" s="30" customFormat="1" x14ac:dyDescent="0.25">
      <c r="A90" s="100" t="s">
        <v>167</v>
      </c>
      <c r="B90" s="100" t="s">
        <v>167</v>
      </c>
    </row>
    <row r="91" spans="1:2" s="30" customFormat="1" x14ac:dyDescent="0.25">
      <c r="A91" s="100" t="s">
        <v>168</v>
      </c>
      <c r="B91" s="100" t="s">
        <v>168</v>
      </c>
    </row>
    <row r="92" spans="1:2" s="30" customFormat="1" x14ac:dyDescent="0.25">
      <c r="A92" s="100" t="s">
        <v>169</v>
      </c>
      <c r="B92" s="100" t="s">
        <v>169</v>
      </c>
    </row>
    <row r="93" spans="1:2" s="30" customFormat="1" x14ac:dyDescent="0.25">
      <c r="A93" s="100" t="s">
        <v>170</v>
      </c>
      <c r="B93" s="100" t="s">
        <v>170</v>
      </c>
    </row>
    <row r="94" spans="1:2" s="30" customFormat="1" x14ac:dyDescent="0.25">
      <c r="A94" s="100" t="s">
        <v>171</v>
      </c>
      <c r="B94" s="100" t="s">
        <v>171</v>
      </c>
    </row>
    <row r="95" spans="1:2" s="30" customFormat="1" x14ac:dyDescent="0.25">
      <c r="A95" s="100" t="s">
        <v>150</v>
      </c>
      <c r="B95" s="100" t="s">
        <v>150</v>
      </c>
    </row>
    <row r="96" spans="1:2" s="30" customFormat="1" x14ac:dyDescent="0.25">
      <c r="A96" s="100" t="s">
        <v>172</v>
      </c>
      <c r="B96" s="100" t="s">
        <v>172</v>
      </c>
    </row>
    <row r="97" spans="1:2" s="30" customFormat="1" x14ac:dyDescent="0.25">
      <c r="A97" s="100" t="s">
        <v>173</v>
      </c>
      <c r="B97" s="100" t="s">
        <v>173</v>
      </c>
    </row>
    <row r="98" spans="1:2" s="30" customFormat="1" x14ac:dyDescent="0.25">
      <c r="A98" s="100" t="s">
        <v>174</v>
      </c>
      <c r="B98" s="100" t="s">
        <v>174</v>
      </c>
    </row>
    <row r="99" spans="1:2" s="30" customFormat="1" x14ac:dyDescent="0.25">
      <c r="A99" s="100" t="s">
        <v>175</v>
      </c>
      <c r="B99" s="100" t="s">
        <v>175</v>
      </c>
    </row>
    <row r="100" spans="1:2" s="30" customFormat="1" x14ac:dyDescent="0.25">
      <c r="A100" s="100" t="s">
        <v>176</v>
      </c>
      <c r="B100" s="100" t="s">
        <v>176</v>
      </c>
    </row>
    <row r="101" spans="1:2" s="30" customFormat="1" x14ac:dyDescent="0.25">
      <c r="A101" s="100" t="s">
        <v>116</v>
      </c>
      <c r="B101" s="100" t="s">
        <v>116</v>
      </c>
    </row>
    <row r="102" spans="1:2" s="30" customFormat="1" x14ac:dyDescent="0.25">
      <c r="A102" s="100" t="s">
        <v>108</v>
      </c>
      <c r="B102" s="100" t="s">
        <v>108</v>
      </c>
    </row>
    <row r="103" spans="1:2" s="30" customFormat="1" x14ac:dyDescent="0.25">
      <c r="A103" s="100" t="s">
        <v>117</v>
      </c>
      <c r="B103" s="100" t="s">
        <v>117</v>
      </c>
    </row>
    <row r="104" spans="1:2" s="30" customFormat="1" x14ac:dyDescent="0.25">
      <c r="A104" s="100" t="s">
        <v>109</v>
      </c>
      <c r="B104" s="100" t="s">
        <v>109</v>
      </c>
    </row>
    <row r="105" spans="1:2" s="30" customFormat="1" x14ac:dyDescent="0.25">
      <c r="A105" s="100" t="s">
        <v>118</v>
      </c>
      <c r="B105" s="100" t="s">
        <v>118</v>
      </c>
    </row>
    <row r="106" spans="1:2" s="30" customFormat="1" x14ac:dyDescent="0.25">
      <c r="A106" s="100" t="s">
        <v>110</v>
      </c>
      <c r="B106" s="100" t="s">
        <v>110</v>
      </c>
    </row>
    <row r="107" spans="1:2" s="30" customFormat="1" x14ac:dyDescent="0.25">
      <c r="A107" s="100" t="s">
        <v>114</v>
      </c>
      <c r="B107" s="100" t="s">
        <v>114</v>
      </c>
    </row>
    <row r="108" spans="1:2" s="30" customFormat="1" x14ac:dyDescent="0.25">
      <c r="A108" s="100" t="s">
        <v>112</v>
      </c>
      <c r="B108" s="100" t="s">
        <v>112</v>
      </c>
    </row>
    <row r="109" spans="1:2" s="30" customFormat="1" x14ac:dyDescent="0.25">
      <c r="A109" s="100" t="s">
        <v>113</v>
      </c>
      <c r="B109" s="100" t="s">
        <v>113</v>
      </c>
    </row>
    <row r="110" spans="1:2" s="30" customFormat="1" x14ac:dyDescent="0.25">
      <c r="A110" s="100" t="s">
        <v>177</v>
      </c>
      <c r="B110" s="100" t="s">
        <v>177</v>
      </c>
    </row>
    <row r="111" spans="1:2" s="30" customFormat="1" x14ac:dyDescent="0.25">
      <c r="A111" s="100" t="s">
        <v>178</v>
      </c>
      <c r="B111" s="100" t="s">
        <v>178</v>
      </c>
    </row>
    <row r="112" spans="1:2" s="30" customFormat="1" x14ac:dyDescent="0.25">
      <c r="A112" s="100" t="s">
        <v>179</v>
      </c>
      <c r="B112" s="100" t="s">
        <v>179</v>
      </c>
    </row>
    <row r="113" spans="1:2" s="30" customFormat="1" x14ac:dyDescent="0.25">
      <c r="A113" s="100" t="s">
        <v>180</v>
      </c>
      <c r="B113" s="100" t="s">
        <v>180</v>
      </c>
    </row>
    <row r="114" spans="1:2" s="30" customFormat="1" x14ac:dyDescent="0.25">
      <c r="A114" s="100" t="s">
        <v>181</v>
      </c>
      <c r="B114" s="100" t="s">
        <v>181</v>
      </c>
    </row>
    <row r="115" spans="1:2" s="30" customFormat="1" x14ac:dyDescent="0.25">
      <c r="A115" s="100" t="s">
        <v>182</v>
      </c>
      <c r="B115" s="100" t="s">
        <v>182</v>
      </c>
    </row>
    <row r="116" spans="1:2" s="30" customFormat="1" x14ac:dyDescent="0.25">
      <c r="A116" s="100" t="s">
        <v>183</v>
      </c>
      <c r="B116" s="100" t="s">
        <v>183</v>
      </c>
    </row>
    <row r="117" spans="1:2" s="30" customFormat="1" x14ac:dyDescent="0.25">
      <c r="A117" s="100" t="s">
        <v>184</v>
      </c>
      <c r="B117" s="100" t="s">
        <v>184</v>
      </c>
    </row>
    <row r="118" spans="1:2" s="30" customFormat="1" x14ac:dyDescent="0.25">
      <c r="A118" s="100" t="s">
        <v>185</v>
      </c>
      <c r="B118" s="100" t="s">
        <v>185</v>
      </c>
    </row>
    <row r="119" spans="1:2" s="30" customFormat="1" x14ac:dyDescent="0.25">
      <c r="A119" s="100" t="s">
        <v>186</v>
      </c>
      <c r="B119" s="100" t="s">
        <v>186</v>
      </c>
    </row>
    <row r="120" spans="1:2" s="30" customFormat="1" x14ac:dyDescent="0.25">
      <c r="A120" s="100" t="s">
        <v>187</v>
      </c>
      <c r="B120" s="100" t="s">
        <v>187</v>
      </c>
    </row>
    <row r="121" spans="1:2" s="30" customFormat="1" x14ac:dyDescent="0.25">
      <c r="A121" s="100" t="s">
        <v>188</v>
      </c>
      <c r="B121" s="100" t="s">
        <v>188</v>
      </c>
    </row>
    <row r="122" spans="1:2" s="30" customFormat="1" x14ac:dyDescent="0.25">
      <c r="A122" s="100" t="s">
        <v>189</v>
      </c>
      <c r="B122" s="100" t="s">
        <v>189</v>
      </c>
    </row>
    <row r="123" spans="1:2" s="30" customFormat="1" x14ac:dyDescent="0.25">
      <c r="A123" s="100" t="s">
        <v>190</v>
      </c>
      <c r="B123" s="100" t="s">
        <v>190</v>
      </c>
    </row>
    <row r="124" spans="1:2" s="30" customFormat="1" x14ac:dyDescent="0.25">
      <c r="A124" s="100" t="s">
        <v>191</v>
      </c>
      <c r="B124" s="100" t="s">
        <v>191</v>
      </c>
    </row>
    <row r="125" spans="1:2" s="30" customFormat="1" x14ac:dyDescent="0.25">
      <c r="A125" s="100" t="s">
        <v>192</v>
      </c>
      <c r="B125" s="100" t="s">
        <v>192</v>
      </c>
    </row>
    <row r="126" spans="1:2" s="30" customFormat="1" x14ac:dyDescent="0.25">
      <c r="A126" s="100" t="s">
        <v>193</v>
      </c>
      <c r="B126" s="100" t="s">
        <v>193</v>
      </c>
    </row>
    <row r="127" spans="1:2" s="30" customFormat="1" x14ac:dyDescent="0.25">
      <c r="A127" s="100" t="s">
        <v>194</v>
      </c>
      <c r="B127" s="100" t="s">
        <v>194</v>
      </c>
    </row>
    <row r="128" spans="1:2" s="30" customFormat="1" x14ac:dyDescent="0.25">
      <c r="A128" s="100" t="s">
        <v>195</v>
      </c>
      <c r="B128" s="100" t="s">
        <v>195</v>
      </c>
    </row>
    <row r="129" spans="1:2" s="30" customFormat="1" x14ac:dyDescent="0.25">
      <c r="A129" s="100" t="s">
        <v>111</v>
      </c>
      <c r="B129" s="100" t="s">
        <v>111</v>
      </c>
    </row>
    <row r="130" spans="1:2" s="30" customFormat="1" x14ac:dyDescent="0.25">
      <c r="A130" s="100" t="s">
        <v>134</v>
      </c>
      <c r="B130" s="100" t="s">
        <v>134</v>
      </c>
    </row>
    <row r="131" spans="1:2" s="30" customFormat="1" x14ac:dyDescent="0.25">
      <c r="A131" s="100" t="s">
        <v>135</v>
      </c>
      <c r="B131" s="100" t="s">
        <v>135</v>
      </c>
    </row>
    <row r="132" spans="1:2" s="30" customFormat="1" x14ac:dyDescent="0.25">
      <c r="A132" s="100" t="s">
        <v>120</v>
      </c>
      <c r="B132" s="100" t="s">
        <v>120</v>
      </c>
    </row>
    <row r="133" spans="1:2" s="30" customFormat="1" x14ac:dyDescent="0.25">
      <c r="A133" s="100" t="s">
        <v>142</v>
      </c>
      <c r="B133" s="100" t="s">
        <v>142</v>
      </c>
    </row>
    <row r="134" spans="1:2" s="30" customFormat="1" x14ac:dyDescent="0.25">
      <c r="A134" s="100" t="s">
        <v>143</v>
      </c>
      <c r="B134" s="100" t="s">
        <v>143</v>
      </c>
    </row>
    <row r="135" spans="1:2" s="30" customFormat="1" x14ac:dyDescent="0.25">
      <c r="A135" s="100" t="s">
        <v>121</v>
      </c>
      <c r="B135" s="100" t="s">
        <v>121</v>
      </c>
    </row>
    <row r="136" spans="1:2" s="30" customFormat="1" x14ac:dyDescent="0.25">
      <c r="A136" s="100" t="s">
        <v>122</v>
      </c>
      <c r="B136" s="100" t="s">
        <v>122</v>
      </c>
    </row>
    <row r="137" spans="1:2" s="30" customFormat="1" x14ac:dyDescent="0.25">
      <c r="A137" s="100" t="s">
        <v>123</v>
      </c>
      <c r="B137" s="100" t="s">
        <v>123</v>
      </c>
    </row>
    <row r="138" spans="1:2" s="30" customFormat="1" x14ac:dyDescent="0.25">
      <c r="A138" s="100" t="s">
        <v>144</v>
      </c>
      <c r="B138" s="100" t="s">
        <v>144</v>
      </c>
    </row>
    <row r="139" spans="1:2" s="30" customFormat="1" x14ac:dyDescent="0.25">
      <c r="A139" s="100" t="s">
        <v>124</v>
      </c>
      <c r="B139" s="100" t="s">
        <v>124</v>
      </c>
    </row>
    <row r="140" spans="1:2" s="30" customFormat="1" x14ac:dyDescent="0.25">
      <c r="A140" s="100" t="s">
        <v>145</v>
      </c>
      <c r="B140" s="100" t="s">
        <v>145</v>
      </c>
    </row>
    <row r="141" spans="1:2" s="30" customFormat="1" x14ac:dyDescent="0.25">
      <c r="A141" s="100" t="s">
        <v>126</v>
      </c>
      <c r="B141" s="100" t="s">
        <v>126</v>
      </c>
    </row>
    <row r="142" spans="1:2" s="30" customFormat="1" x14ac:dyDescent="0.25">
      <c r="A142" s="100" t="s">
        <v>127</v>
      </c>
      <c r="B142" s="100" t="s">
        <v>127</v>
      </c>
    </row>
    <row r="143" spans="1:2" s="30" customFormat="1" x14ac:dyDescent="0.25">
      <c r="A143" s="100" t="s">
        <v>128</v>
      </c>
      <c r="B143" s="100" t="s">
        <v>128</v>
      </c>
    </row>
    <row r="144" spans="1:2" s="30" customFormat="1" x14ac:dyDescent="0.25">
      <c r="A144" s="100" t="s">
        <v>146</v>
      </c>
      <c r="B144" s="100" t="s">
        <v>146</v>
      </c>
    </row>
    <row r="145" spans="1:2" s="30" customFormat="1" x14ac:dyDescent="0.25">
      <c r="A145" s="100" t="s">
        <v>147</v>
      </c>
      <c r="B145" s="100" t="s">
        <v>147</v>
      </c>
    </row>
    <row r="146" spans="1:2" s="30" customFormat="1" x14ac:dyDescent="0.25">
      <c r="A146" s="100" t="s">
        <v>148</v>
      </c>
      <c r="B146" s="100" t="s">
        <v>148</v>
      </c>
    </row>
    <row r="147" spans="1:2" s="30" customFormat="1" x14ac:dyDescent="0.25">
      <c r="A147" s="100" t="s">
        <v>149</v>
      </c>
      <c r="B147" s="100" t="s">
        <v>149</v>
      </c>
    </row>
    <row r="148" spans="1:2" s="30" customFormat="1" x14ac:dyDescent="0.25">
      <c r="A148" s="100" t="s">
        <v>129</v>
      </c>
      <c r="B148" s="100" t="s">
        <v>129</v>
      </c>
    </row>
    <row r="149" spans="1:2" s="30" customFormat="1" x14ac:dyDescent="0.25">
      <c r="A149" s="100" t="s">
        <v>119</v>
      </c>
      <c r="B149" s="100" t="s">
        <v>119</v>
      </c>
    </row>
    <row r="150" spans="1:2" s="30" customFormat="1" x14ac:dyDescent="0.25">
      <c r="A150" s="18"/>
      <c r="B150" s="18"/>
    </row>
    <row r="151" spans="1:2" s="30" customFormat="1" x14ac:dyDescent="0.25">
      <c r="A151" s="18"/>
      <c r="B151" s="18"/>
    </row>
    <row r="152" spans="1:2" s="30" customFormat="1" x14ac:dyDescent="0.25">
      <c r="A152" s="18"/>
      <c r="B152" s="18"/>
    </row>
    <row r="153" spans="1:2" x14ac:dyDescent="0.25">
      <c r="A153" s="18"/>
      <c r="B153" s="18"/>
    </row>
    <row r="154" spans="1:2" x14ac:dyDescent="0.25">
      <c r="A154" s="18"/>
      <c r="B154" s="18"/>
    </row>
    <row r="155" spans="1:2" x14ac:dyDescent="0.25">
      <c r="A155" s="18"/>
      <c r="B155" s="18"/>
    </row>
    <row r="156" spans="1:2" x14ac:dyDescent="0.25">
      <c r="A156" s="18"/>
      <c r="B156" s="18"/>
    </row>
    <row r="157" spans="1:2" x14ac:dyDescent="0.25">
      <c r="A157" s="18"/>
      <c r="B157" s="18"/>
    </row>
    <row r="158" spans="1:2" x14ac:dyDescent="0.25">
      <c r="A158" s="18"/>
      <c r="B158" s="18"/>
    </row>
    <row r="159" spans="1:2" x14ac:dyDescent="0.25">
      <c r="A159" s="18"/>
      <c r="B159" s="18"/>
    </row>
    <row r="160" spans="1:2" x14ac:dyDescent="0.25">
      <c r="A160" s="18"/>
      <c r="B160" s="18"/>
    </row>
    <row r="161" spans="1:2" x14ac:dyDescent="0.25">
      <c r="A161" s="18"/>
      <c r="B161" s="18"/>
    </row>
    <row r="162" spans="1:2" x14ac:dyDescent="0.25">
      <c r="A162" s="18"/>
      <c r="B162" s="18"/>
    </row>
    <row r="163" spans="1:2" x14ac:dyDescent="0.25">
      <c r="A163" s="18"/>
      <c r="B163" s="18"/>
    </row>
    <row r="164" spans="1:2" x14ac:dyDescent="0.25">
      <c r="A164" s="18"/>
      <c r="B164" s="18"/>
    </row>
    <row r="165" spans="1:2" x14ac:dyDescent="0.25">
      <c r="A165" s="18"/>
      <c r="B165" s="18"/>
    </row>
    <row r="166" spans="1:2" x14ac:dyDescent="0.25">
      <c r="A166" s="18"/>
      <c r="B166" s="18"/>
    </row>
    <row r="167" spans="1:2" x14ac:dyDescent="0.25">
      <c r="A167" s="18"/>
      <c r="B167" s="18"/>
    </row>
    <row r="168" spans="1:2" x14ac:dyDescent="0.25">
      <c r="A168" s="18"/>
      <c r="B168" s="18"/>
    </row>
    <row r="169" spans="1:2" x14ac:dyDescent="0.25">
      <c r="A169" s="18"/>
      <c r="B169" s="18"/>
    </row>
    <row r="170" spans="1:2" x14ac:dyDescent="0.25">
      <c r="A170" s="18"/>
      <c r="B170" s="18"/>
    </row>
    <row r="171" spans="1:2" x14ac:dyDescent="0.25">
      <c r="A171" s="18"/>
      <c r="B171" s="18"/>
    </row>
    <row r="172" spans="1:2" x14ac:dyDescent="0.25">
      <c r="A172" s="18"/>
      <c r="B172" s="18"/>
    </row>
    <row r="173" spans="1:2" x14ac:dyDescent="0.25">
      <c r="A173" s="18"/>
      <c r="B173" s="18"/>
    </row>
    <row r="174" spans="1:2" x14ac:dyDescent="0.25">
      <c r="A174" s="18"/>
      <c r="B174" s="18"/>
    </row>
    <row r="175" spans="1:2" x14ac:dyDescent="0.25">
      <c r="A175" s="18"/>
      <c r="B175" s="18"/>
    </row>
    <row r="176" spans="1:2" x14ac:dyDescent="0.25">
      <c r="A176" s="18"/>
      <c r="B176" s="18"/>
    </row>
    <row r="177" spans="1:2" x14ac:dyDescent="0.25">
      <c r="A177" s="18"/>
      <c r="B177" s="18"/>
    </row>
    <row r="178" spans="1:2" x14ac:dyDescent="0.25">
      <c r="A178" s="18"/>
      <c r="B178" s="18"/>
    </row>
    <row r="179" spans="1:2" x14ac:dyDescent="0.25">
      <c r="A179" s="18"/>
      <c r="B179" s="18"/>
    </row>
    <row r="180" spans="1:2" x14ac:dyDescent="0.25">
      <c r="A180" s="18"/>
      <c r="B180" s="18"/>
    </row>
    <row r="181" spans="1:2" x14ac:dyDescent="0.25">
      <c r="A181" s="18"/>
      <c r="B181" s="18"/>
    </row>
    <row r="182" spans="1:2" x14ac:dyDescent="0.25">
      <c r="A182" s="18"/>
      <c r="B182" s="18"/>
    </row>
    <row r="183" spans="1:2" x14ac:dyDescent="0.25">
      <c r="A183" s="18"/>
      <c r="B183" s="18"/>
    </row>
    <row r="184" spans="1:2" x14ac:dyDescent="0.25">
      <c r="A184" s="18"/>
      <c r="B184" s="18"/>
    </row>
    <row r="185" spans="1:2" x14ac:dyDescent="0.25">
      <c r="A185" s="18"/>
      <c r="B185" s="18"/>
    </row>
    <row r="186" spans="1:2" x14ac:dyDescent="0.25">
      <c r="A186" s="18"/>
      <c r="B186" s="18"/>
    </row>
    <row r="187" spans="1:2" x14ac:dyDescent="0.25">
      <c r="A187" s="18"/>
      <c r="B187" s="18"/>
    </row>
    <row r="188" spans="1:2" x14ac:dyDescent="0.25">
      <c r="A188" s="18"/>
      <c r="B188" s="18"/>
    </row>
    <row r="189" spans="1:2" x14ac:dyDescent="0.25">
      <c r="A189" s="18"/>
      <c r="B189" s="18"/>
    </row>
    <row r="190" spans="1:2" x14ac:dyDescent="0.25">
      <c r="A190" s="18"/>
      <c r="B190" s="18"/>
    </row>
    <row r="191" spans="1:2" x14ac:dyDescent="0.25">
      <c r="A191" s="18"/>
      <c r="B191" s="18"/>
    </row>
    <row r="192" spans="1:2" x14ac:dyDescent="0.25">
      <c r="A192" s="18"/>
      <c r="B192" s="18"/>
    </row>
    <row r="193" spans="1:2" x14ac:dyDescent="0.25">
      <c r="A193" s="18"/>
      <c r="B193" s="18"/>
    </row>
    <row r="194" spans="1:2" x14ac:dyDescent="0.25">
      <c r="A194" s="18"/>
      <c r="B194" s="18"/>
    </row>
    <row r="195" spans="1:2" x14ac:dyDescent="0.25">
      <c r="A195" s="18"/>
      <c r="B195" s="18"/>
    </row>
    <row r="196" spans="1:2" x14ac:dyDescent="0.25">
      <c r="A196" s="18"/>
      <c r="B196" s="18"/>
    </row>
    <row r="197" spans="1:2" x14ac:dyDescent="0.25">
      <c r="A197" s="18"/>
      <c r="B197" s="18"/>
    </row>
    <row r="198" spans="1:2" x14ac:dyDescent="0.25">
      <c r="A198" s="18"/>
      <c r="B198" s="18"/>
    </row>
    <row r="199" spans="1:2" x14ac:dyDescent="0.25">
      <c r="A199" s="18"/>
      <c r="B199" s="18"/>
    </row>
    <row r="200" spans="1:2" x14ac:dyDescent="0.25">
      <c r="A200" s="18"/>
      <c r="B200" s="18"/>
    </row>
    <row r="201" spans="1:2" x14ac:dyDescent="0.25">
      <c r="A201" s="18"/>
      <c r="B201" s="18"/>
    </row>
    <row r="202" spans="1:2" x14ac:dyDescent="0.25">
      <c r="A202" s="18"/>
      <c r="B202" s="18"/>
    </row>
    <row r="203" spans="1:2" x14ac:dyDescent="0.25">
      <c r="A203" s="18"/>
      <c r="B203" s="18"/>
    </row>
    <row r="204" spans="1:2" x14ac:dyDescent="0.25">
      <c r="A204" s="18"/>
      <c r="B204" s="18"/>
    </row>
    <row r="205" spans="1:2" x14ac:dyDescent="0.25">
      <c r="A205" s="18"/>
      <c r="B205" s="18"/>
    </row>
    <row r="206" spans="1:2" x14ac:dyDescent="0.25">
      <c r="A206" s="18"/>
      <c r="B206" s="18"/>
    </row>
    <row r="207" spans="1:2" x14ac:dyDescent="0.25">
      <c r="A207" s="18"/>
      <c r="B207" s="18"/>
    </row>
    <row r="208" spans="1:2" x14ac:dyDescent="0.25">
      <c r="A208" s="18"/>
      <c r="B208" s="18"/>
    </row>
    <row r="209" spans="1:2" x14ac:dyDescent="0.25">
      <c r="A209" s="18"/>
      <c r="B209" s="18"/>
    </row>
    <row r="289" spans="35:35" x14ac:dyDescent="0.25">
      <c r="AI289" t="s">
        <v>59</v>
      </c>
    </row>
  </sheetData>
  <conditionalFormatting sqref="D15">
    <cfRule type="expression" dxfId="211" priority="19">
      <formula>AND(AND(NOT(ISBLANK(C15)),NOT(C15=$O$1)),AND(NOT(ISBLANK(B15)),NOT(B15=$O$1)))</formula>
    </cfRule>
    <cfRule type="expression" dxfId="210" priority="20">
      <formula>OR(AND(NOT(ISBLANK(C15)),NOT(C15=$O$1)),AND(NOT(ISBLANK(B15)),NOT(B15=$O$1)))</formula>
    </cfRule>
  </conditionalFormatting>
  <conditionalFormatting sqref="E15">
    <cfRule type="expression" dxfId="209" priority="17">
      <formula>AND(AND(NOT(ISBLANK(F15)),NOT(F15=$O$1)),AND(NOT(ISBLANK(G15)),NOT(G15=$O$1)))</formula>
    </cfRule>
    <cfRule type="expression" dxfId="208" priority="18">
      <formula>OR(AND(NOT(ISBLANK(F15)),NOT(F15=$O$1)),AND(NOT(ISBLANK(G15)),NOT(G15=$O$1)))</formula>
    </cfRule>
  </conditionalFormatting>
  <conditionalFormatting sqref="B15">
    <cfRule type="expression" dxfId="207" priority="16" stopIfTrue="1">
      <formula>AND(NOT(ISBLANK(B15)),NOT(_xlfn.ISFORMULA(B15)))</formula>
    </cfRule>
  </conditionalFormatting>
  <conditionalFormatting sqref="C15">
    <cfRule type="expression" dxfId="206" priority="15" stopIfTrue="1">
      <formula>AND(NOT(ISBLANK(C15)),NOT(_xlfn.ISFORMULA(C15)))</formula>
    </cfRule>
  </conditionalFormatting>
  <conditionalFormatting sqref="F15">
    <cfRule type="expression" dxfId="205" priority="14" stopIfTrue="1">
      <formula>AND(NOT(ISBLANK(F15)),NOT(_xlfn.ISFORMULA(F15)))</formula>
    </cfRule>
  </conditionalFormatting>
  <conditionalFormatting sqref="G15">
    <cfRule type="expression" dxfId="204" priority="13" stopIfTrue="1">
      <formula>AND(NOT(ISBLANK(G15)),NOT(_xlfn.ISFORMULA(G15)))</formula>
    </cfRule>
  </conditionalFormatting>
  <conditionalFormatting sqref="E5">
    <cfRule type="expression" dxfId="203" priority="3">
      <formula>AND(AND(NOT(ISBLANK(D5)),NOT(D5=$O$1)),AND(NOT(ISBLANK(C5)),NOT(C5=$O$1)))</formula>
    </cfRule>
    <cfRule type="expression" dxfId="202" priority="4">
      <formula>OR(AND(NOT(ISBLANK(D5)),NOT(D5=$O$1)),AND(NOT(ISBLANK(C5)),NOT(C5=$O$1)))</formula>
    </cfRule>
  </conditionalFormatting>
  <conditionalFormatting sqref="F5">
    <cfRule type="expression" dxfId="201" priority="1">
      <formula>AND(AND(NOT(ISBLANK(G5)),NOT(G5=$O$1)),AND(NOT(ISBLANK(H5)),NOT(H5=$O$1)))</formula>
    </cfRule>
    <cfRule type="expression" dxfId="200" priority="2">
      <formula>OR(AND(NOT(ISBLANK(G5)),NOT(G5=$O$1)),AND(NOT(ISBLANK(H5)),NOT(H5=$O$1)))</formula>
    </cfRule>
  </conditionalFormatting>
  <dataValidations count="2">
    <dataValidation type="custom" allowBlank="1" showInputMessage="1" showErrorMessage="1" sqref="D15:E15 A15 H15:L15 E5:F5 I5:J5 A5:B5" xr:uid="{9D2231FA-1DA0-454C-913A-FB34B5BF4976}">
      <formula1>_xlfn.ISFORMULA(A5)</formula1>
    </dataValidation>
    <dataValidation type="custom" allowBlank="1" showInputMessage="1" showErrorMessage="1" errorTitle="Знак &quot;*&quot; недопустим" error="Знак &quot;*&quot; зарезервирован для обозначения отсутствия кромки и не может быть здесь использован" sqref="E10" xr:uid="{AA1356BE-4B79-41E1-B983-E7E751C3947B}">
      <formula1>E10&lt;&gt;"*"</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Кнопка1_Щелчок">
                <anchor moveWithCells="1" sizeWithCells="1">
                  <from>
                    <xdr:col>2</xdr:col>
                    <xdr:colOff>38100</xdr:colOff>
                    <xdr:row>52</xdr:row>
                    <xdr:rowOff>152400</xdr:rowOff>
                  </from>
                  <to>
                    <xdr:col>4</xdr:col>
                    <xdr:colOff>419100</xdr:colOff>
                    <xdr:row>54</xdr:row>
                    <xdr:rowOff>161925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E69583-29DC-4F4F-A6A9-3D2EE5A72FFC}">
  <sheetPr codeName="Лист17"/>
  <dimension ref="A1:CC427"/>
  <sheetViews>
    <sheetView tabSelected="1" view="pageBreakPreview" zoomScale="70" zoomScaleNormal="100" zoomScaleSheetLayoutView="70" workbookViewId="0">
      <selection activeCell="J54" sqref="J54"/>
    </sheetView>
  </sheetViews>
  <sheetFormatPr defaultRowHeight="15" x14ac:dyDescent="0.25"/>
  <cols>
    <col min="1" max="1" width="4.5703125" style="30" customWidth="1"/>
    <col min="2" max="2" width="29.5703125" style="30" customWidth="1"/>
    <col min="3" max="4" width="4.42578125" style="38" bestFit="1" customWidth="1"/>
    <col min="5" max="5" width="9.140625" style="30" customWidth="1"/>
    <col min="6" max="6" width="8.5703125" style="30" customWidth="1"/>
    <col min="7" max="7" width="4.42578125" style="38" bestFit="1" customWidth="1"/>
    <col min="8" max="8" width="5.28515625" style="38" bestFit="1" customWidth="1"/>
    <col min="9" max="9" width="4.42578125" style="30" customWidth="1"/>
    <col min="10" max="10" width="16" style="30" customWidth="1"/>
    <col min="11" max="11" width="11.7109375" style="30" customWidth="1"/>
    <col min="12" max="12" width="30.5703125" style="30" customWidth="1"/>
    <col min="13" max="13" width="22.140625" style="2" customWidth="1"/>
    <col min="14" max="14" width="7.28515625" style="30" customWidth="1"/>
    <col min="15" max="15" width="3.28515625" style="30" customWidth="1"/>
    <col min="16" max="16" width="25.28515625" style="30" customWidth="1"/>
    <col min="17" max="17" width="26" style="30" customWidth="1"/>
    <col min="18" max="18" width="4.7109375" style="30" customWidth="1"/>
    <col min="19" max="19" width="5.42578125" style="30" customWidth="1"/>
    <col min="20" max="20" width="8.42578125" style="2" customWidth="1"/>
    <col min="21" max="21" width="8.140625" style="2" customWidth="1"/>
    <col min="22" max="22" width="9" style="30" customWidth="1"/>
    <col min="23" max="23" width="7.5703125" style="30" customWidth="1"/>
    <col min="24" max="24" width="17.140625" style="30" customWidth="1"/>
    <col min="25" max="25" width="9.28515625" style="30" customWidth="1"/>
    <col min="26" max="26" width="9.140625" style="30"/>
    <col min="27" max="27" width="16.28515625" style="30" customWidth="1"/>
    <col min="28" max="28" width="20" style="30" customWidth="1"/>
    <col min="29" max="29" width="21.42578125" style="30" customWidth="1"/>
    <col min="30" max="34" width="9.140625" style="30" customWidth="1"/>
    <col min="35" max="35" width="22.85546875" style="30" customWidth="1"/>
    <col min="36" max="36" width="9.140625" style="30" customWidth="1"/>
    <col min="37" max="37" width="17" style="30" customWidth="1"/>
    <col min="38" max="39" width="9.140625" style="30" customWidth="1"/>
    <col min="40" max="16384" width="9.140625" style="30"/>
  </cols>
  <sheetData>
    <row r="1" spans="1:56" x14ac:dyDescent="0.25">
      <c r="A1" s="29" t="s">
        <v>196</v>
      </c>
      <c r="C1" s="38">
        <v>1</v>
      </c>
      <c r="J1" s="19"/>
      <c r="O1" s="20" t="s">
        <v>27</v>
      </c>
      <c r="P1" s="30">
        <v>10</v>
      </c>
      <c r="Q1" s="30">
        <v>20</v>
      </c>
      <c r="S1" s="30" t="s">
        <v>51</v>
      </c>
      <c r="X1" s="30" t="s">
        <v>54</v>
      </c>
      <c r="AA1"/>
      <c r="AB1"/>
      <c r="AC1"/>
      <c r="AD1"/>
      <c r="AE1"/>
      <c r="AG1" s="30" t="s">
        <v>36</v>
      </c>
    </row>
    <row r="2" spans="1:56" ht="18.75" x14ac:dyDescent="0.3">
      <c r="A2" s="1" t="str">
        <f>A1</f>
        <v>bCad</v>
      </c>
      <c r="AA2"/>
      <c r="AB2"/>
      <c r="AC2"/>
      <c r="AD2"/>
      <c r="AE2"/>
    </row>
    <row r="3" spans="1:56" x14ac:dyDescent="0.25">
      <c r="A3" s="65" t="s">
        <v>6</v>
      </c>
      <c r="B3" s="66" t="str">
        <f>"Наименование"</f>
        <v>Наименование</v>
      </c>
      <c r="C3" s="67" t="s">
        <v>9</v>
      </c>
      <c r="D3" s="68" t="s">
        <v>11</v>
      </c>
      <c r="E3" s="69" t="s">
        <v>1</v>
      </c>
      <c r="F3" s="66" t="s">
        <v>0</v>
      </c>
      <c r="G3" s="68" t="s">
        <v>10</v>
      </c>
      <c r="H3" s="70" t="s">
        <v>12</v>
      </c>
      <c r="I3" s="71" t="s">
        <v>2</v>
      </c>
      <c r="J3" s="65" t="s">
        <v>48</v>
      </c>
      <c r="K3" s="66" t="s">
        <v>49</v>
      </c>
      <c r="L3" s="66" t="s">
        <v>50</v>
      </c>
      <c r="M3" s="65" t="s">
        <v>4</v>
      </c>
      <c r="N3" s="2" t="s">
        <v>26</v>
      </c>
      <c r="O3" s="21" t="s">
        <v>7</v>
      </c>
      <c r="P3" s="21"/>
      <c r="Q3" s="21" t="s">
        <v>22</v>
      </c>
      <c r="R3" s="21" t="s">
        <v>17</v>
      </c>
      <c r="S3" s="21" t="s">
        <v>18</v>
      </c>
      <c r="T3" s="21" t="s">
        <v>19</v>
      </c>
      <c r="U3" s="21" t="s">
        <v>20</v>
      </c>
      <c r="V3" s="21" t="s">
        <v>21</v>
      </c>
      <c r="W3" s="21" t="s">
        <v>23</v>
      </c>
      <c r="X3" s="21" t="s">
        <v>24</v>
      </c>
      <c r="Y3" s="21" t="s">
        <v>25</v>
      </c>
      <c r="Z3" s="21" t="s">
        <v>2</v>
      </c>
      <c r="AA3" s="3" t="s">
        <v>34</v>
      </c>
      <c r="AB3" s="3" t="s">
        <v>52</v>
      </c>
      <c r="AC3" s="3" t="s">
        <v>53</v>
      </c>
      <c r="AD3" s="3" t="s">
        <v>97</v>
      </c>
      <c r="AE3" s="3" t="s">
        <v>103</v>
      </c>
      <c r="AK3" s="18"/>
      <c r="AL3" s="18"/>
    </row>
    <row r="4" spans="1:56" x14ac:dyDescent="0.25">
      <c r="A4" s="9" t="str">
        <f t="shared" ref="A4:A13" si="0">CONCATENATE(O4,".",LEFT(J4))</f>
        <v>.0</v>
      </c>
      <c r="B4" s="32" t="str">
        <f t="shared" ref="B4:B13" si="1">CONCATENATE(IF(OR(Y4="Не определена",Y4,ISBLANK(Y4)),"↕",),IF(Y4="Не обязательна","±",),Q4,".",P4)</f>
        <v>↕.</v>
      </c>
      <c r="C4" s="54"/>
      <c r="D4" s="54"/>
      <c r="E4" s="48">
        <f t="shared" ref="E4:E13" si="2">IF(M4="скрутка",T4+$Q$1,IF(M4="склейка",T4+$Q$1,IF(M4="запил торца",ROUND(T4+$P$1,0),IF(M4="запил торцов",ROUND(T4+$P$1*2,0),T4))))+IF(G4=$O$1,$P$1,)+IF(H4=$O$1,$P$1,)</f>
        <v>0</v>
      </c>
      <c r="F4" s="48">
        <f t="shared" ref="F4:F13" si="3">IF(M4="скрутка",U4+$Q$1,IF(M4="склейка",U4+$Q$1,IF(M4="запил торца",ROUND(U4+$P$1,0),IF(M4="запил торцов",ROUND(U4+$P$1*2,0),U4))))+IF(C4=$O$1,$P$1,)+IF(D4=$O$1,$P$1,)</f>
        <v>0</v>
      </c>
      <c r="G4" s="54"/>
      <c r="H4" s="54"/>
      <c r="I4" s="49">
        <f t="shared" ref="I4:I13" si="4">IF(OR(M4="скрутка",M4="склейка"),Z4*2,Z4)</f>
        <v>0</v>
      </c>
      <c r="J4" s="53">
        <f t="shared" ref="J4:J13" si="5">X4</f>
        <v>0</v>
      </c>
      <c r="K4" s="52" t="str">
        <f t="shared" ref="K4:K13" si="6">IF(ISBLANK(AB4),"",AB4)</f>
        <v/>
      </c>
      <c r="L4" s="52" t="str">
        <f t="shared" ref="L4:L13" si="7">IF(ISBLANK(AC4),"",AC4)</f>
        <v/>
      </c>
      <c r="M4" s="51" t="str">
        <f t="shared" ref="M4:M13" si="8">IF(AA4="","",AA4)</f>
        <v/>
      </c>
      <c r="N4" s="30" t="str">
        <f t="shared" ref="N4:N13" si="9">CONCATENATE(IF(E4&lt;&gt;T4,"НеРавны",),IF(AND(NOT(ISBLANK(R4)),R4&lt;&gt;T4),"Д",),IF(AND(NOT(ISBLANK(S4)),S4&lt;&gt;U4),"Ш",))</f>
        <v/>
      </c>
      <c r="O4" s="22"/>
      <c r="P4" s="18"/>
      <c r="Q4" s="18"/>
      <c r="R4" s="18"/>
      <c r="S4" s="18"/>
      <c r="T4" s="3"/>
      <c r="U4" s="3"/>
      <c r="V4" s="23"/>
      <c r="W4" s="23"/>
      <c r="X4" s="26"/>
      <c r="Y4" s="18"/>
      <c r="Z4" s="18"/>
      <c r="AA4" s="18"/>
      <c r="AB4" s="18"/>
      <c r="AC4" s="18"/>
      <c r="AD4" s="18"/>
      <c r="AE4" s="18"/>
      <c r="BB4" s="30" t="s">
        <v>88</v>
      </c>
      <c r="BC4" s="30">
        <v>1</v>
      </c>
      <c r="BD4" s="30">
        <v>145</v>
      </c>
    </row>
    <row r="5" spans="1:56" x14ac:dyDescent="0.25">
      <c r="A5" s="9" t="str">
        <f t="shared" si="0"/>
        <v>.0</v>
      </c>
      <c r="B5" s="32" t="str">
        <f t="shared" si="1"/>
        <v>↕.</v>
      </c>
      <c r="C5" s="54"/>
      <c r="D5" s="54"/>
      <c r="E5" s="48">
        <f t="shared" si="2"/>
        <v>0</v>
      </c>
      <c r="F5" s="48">
        <f t="shared" si="3"/>
        <v>0</v>
      </c>
      <c r="G5" s="54"/>
      <c r="H5" s="54"/>
      <c r="I5" s="49">
        <f t="shared" si="4"/>
        <v>0</v>
      </c>
      <c r="J5" s="53">
        <f t="shared" si="5"/>
        <v>0</v>
      </c>
      <c r="K5" s="52" t="str">
        <f t="shared" si="6"/>
        <v/>
      </c>
      <c r="L5" s="52" t="str">
        <f t="shared" si="7"/>
        <v/>
      </c>
      <c r="M5" s="51" t="str">
        <f t="shared" si="8"/>
        <v/>
      </c>
      <c r="N5" s="30" t="str">
        <f t="shared" si="9"/>
        <v/>
      </c>
      <c r="O5" s="22"/>
      <c r="P5" s="18"/>
      <c r="Q5" s="18"/>
      <c r="R5" s="18"/>
      <c r="S5" s="18"/>
      <c r="T5" s="3"/>
      <c r="U5" s="3"/>
      <c r="V5" s="23"/>
      <c r="W5" s="23"/>
      <c r="X5" s="26"/>
      <c r="Y5" s="18"/>
      <c r="Z5" s="18"/>
      <c r="AA5" s="18"/>
      <c r="AB5" s="18"/>
      <c r="AC5" s="18"/>
      <c r="AD5" s="18"/>
      <c r="AE5" s="18"/>
      <c r="BB5" s="30" t="s">
        <v>94</v>
      </c>
      <c r="BC5" s="30">
        <v>1</v>
      </c>
      <c r="BD5" s="30">
        <v>156</v>
      </c>
    </row>
    <row r="6" spans="1:56" x14ac:dyDescent="0.25">
      <c r="A6" s="9" t="str">
        <f t="shared" si="0"/>
        <v>.0</v>
      </c>
      <c r="B6" s="32" t="str">
        <f t="shared" si="1"/>
        <v>↕.</v>
      </c>
      <c r="C6" s="54"/>
      <c r="D6" s="54"/>
      <c r="E6" s="48">
        <f t="shared" si="2"/>
        <v>0</v>
      </c>
      <c r="F6" s="48">
        <f t="shared" si="3"/>
        <v>0</v>
      </c>
      <c r="G6" s="54"/>
      <c r="H6" s="54"/>
      <c r="I6" s="49">
        <f t="shared" si="4"/>
        <v>0</v>
      </c>
      <c r="J6" s="53">
        <f t="shared" si="5"/>
        <v>0</v>
      </c>
      <c r="K6" s="52" t="str">
        <f t="shared" si="6"/>
        <v/>
      </c>
      <c r="L6" s="52" t="str">
        <f t="shared" si="7"/>
        <v/>
      </c>
      <c r="M6" s="51" t="str">
        <f t="shared" si="8"/>
        <v/>
      </c>
      <c r="N6" s="30" t="str">
        <f t="shared" si="9"/>
        <v/>
      </c>
      <c r="O6" s="22"/>
      <c r="P6" s="18"/>
      <c r="Q6" s="18"/>
      <c r="R6" s="18"/>
      <c r="S6" s="18"/>
      <c r="T6" s="3"/>
      <c r="U6" s="3"/>
      <c r="V6" s="23"/>
      <c r="W6" s="23"/>
      <c r="X6" s="18"/>
      <c r="Y6" s="18"/>
      <c r="Z6" s="18"/>
      <c r="AA6" s="18"/>
      <c r="AB6" s="18"/>
      <c r="AC6" s="18"/>
      <c r="AD6" s="18"/>
      <c r="AE6" s="18"/>
      <c r="BB6" s="30" t="s">
        <v>89</v>
      </c>
      <c r="BC6" s="30">
        <v>1</v>
      </c>
      <c r="BD6" s="30">
        <v>121</v>
      </c>
    </row>
    <row r="7" spans="1:56" x14ac:dyDescent="0.25">
      <c r="A7" s="9" t="str">
        <f t="shared" si="0"/>
        <v>.0</v>
      </c>
      <c r="B7" s="32" t="str">
        <f t="shared" si="1"/>
        <v>↕.</v>
      </c>
      <c r="C7" s="54"/>
      <c r="D7" s="54"/>
      <c r="E7" s="48">
        <f t="shared" si="2"/>
        <v>0</v>
      </c>
      <c r="F7" s="48">
        <f t="shared" si="3"/>
        <v>0</v>
      </c>
      <c r="G7" s="54"/>
      <c r="H7" s="54"/>
      <c r="I7" s="49">
        <f t="shared" si="4"/>
        <v>0</v>
      </c>
      <c r="J7" s="53">
        <f t="shared" si="5"/>
        <v>0</v>
      </c>
      <c r="K7" s="52" t="str">
        <f t="shared" si="6"/>
        <v/>
      </c>
      <c r="L7" s="52" t="str">
        <f t="shared" si="7"/>
        <v/>
      </c>
      <c r="M7" s="51" t="str">
        <f t="shared" si="8"/>
        <v/>
      </c>
      <c r="N7" s="30" t="str">
        <f t="shared" si="9"/>
        <v/>
      </c>
      <c r="O7" s="22"/>
      <c r="P7" s="18"/>
      <c r="Q7" s="18"/>
      <c r="R7" s="18"/>
      <c r="S7" s="18"/>
      <c r="T7" s="3"/>
      <c r="U7" s="3"/>
      <c r="V7" s="23"/>
      <c r="W7" s="23"/>
      <c r="X7" s="26"/>
      <c r="Y7" s="18"/>
      <c r="Z7" s="18"/>
      <c r="AA7" s="18"/>
      <c r="AB7" s="18"/>
      <c r="AC7" s="18"/>
      <c r="AD7" s="18"/>
      <c r="AE7" s="18"/>
      <c r="BB7" s="30" t="s">
        <v>95</v>
      </c>
      <c r="BC7" s="30">
        <v>1</v>
      </c>
      <c r="BD7" s="30">
        <v>75</v>
      </c>
    </row>
    <row r="8" spans="1:56" x14ac:dyDescent="0.25">
      <c r="A8" s="9" t="str">
        <f t="shared" si="0"/>
        <v>.0</v>
      </c>
      <c r="B8" s="32" t="str">
        <f t="shared" si="1"/>
        <v>↕.</v>
      </c>
      <c r="C8" s="54"/>
      <c r="D8" s="54"/>
      <c r="E8" s="48">
        <f t="shared" si="2"/>
        <v>0</v>
      </c>
      <c r="F8" s="48">
        <f t="shared" si="3"/>
        <v>0</v>
      </c>
      <c r="G8" s="54"/>
      <c r="H8" s="54"/>
      <c r="I8" s="49">
        <f t="shared" si="4"/>
        <v>0</v>
      </c>
      <c r="J8" s="53">
        <f t="shared" si="5"/>
        <v>0</v>
      </c>
      <c r="K8" s="52" t="str">
        <f t="shared" si="6"/>
        <v/>
      </c>
      <c r="L8" s="52" t="str">
        <f t="shared" si="7"/>
        <v/>
      </c>
      <c r="M8" s="51" t="str">
        <f t="shared" si="8"/>
        <v/>
      </c>
      <c r="N8" s="30" t="str">
        <f t="shared" si="9"/>
        <v/>
      </c>
      <c r="O8" s="22"/>
      <c r="P8" s="18"/>
      <c r="Q8" s="18"/>
      <c r="R8" s="18"/>
      <c r="S8" s="18"/>
      <c r="T8" s="3"/>
      <c r="U8" s="3"/>
      <c r="V8" s="23"/>
      <c r="W8" s="23"/>
      <c r="X8" s="18"/>
      <c r="Y8" s="18"/>
      <c r="Z8" s="18"/>
      <c r="AA8" s="18"/>
      <c r="AB8" s="18"/>
      <c r="AC8" s="18"/>
      <c r="AD8" s="18"/>
      <c r="AE8" s="18"/>
      <c r="BB8" s="30" t="s">
        <v>96</v>
      </c>
      <c r="BC8" s="30">
        <v>1</v>
      </c>
      <c r="BD8" s="30">
        <v>153</v>
      </c>
    </row>
    <row r="9" spans="1:56" x14ac:dyDescent="0.25">
      <c r="A9" s="9" t="str">
        <f t="shared" si="0"/>
        <v>.0</v>
      </c>
      <c r="B9" s="32" t="str">
        <f t="shared" si="1"/>
        <v>↕.</v>
      </c>
      <c r="C9" s="54"/>
      <c r="D9" s="54"/>
      <c r="E9" s="48">
        <f t="shared" si="2"/>
        <v>0</v>
      </c>
      <c r="F9" s="48">
        <f t="shared" si="3"/>
        <v>0</v>
      </c>
      <c r="G9" s="54"/>
      <c r="H9" s="54"/>
      <c r="I9" s="49">
        <f t="shared" si="4"/>
        <v>0</v>
      </c>
      <c r="J9" s="53">
        <f t="shared" si="5"/>
        <v>0</v>
      </c>
      <c r="K9" s="52" t="str">
        <f t="shared" si="6"/>
        <v/>
      </c>
      <c r="L9" s="52" t="str">
        <f t="shared" si="7"/>
        <v/>
      </c>
      <c r="M9" s="51" t="str">
        <f t="shared" si="8"/>
        <v/>
      </c>
      <c r="N9" s="30" t="str">
        <f t="shared" si="9"/>
        <v/>
      </c>
      <c r="O9" s="22"/>
      <c r="P9" s="18"/>
      <c r="Q9" s="18"/>
      <c r="R9" s="18"/>
      <c r="S9" s="18"/>
      <c r="T9" s="3"/>
      <c r="U9" s="3"/>
      <c r="V9" s="23"/>
      <c r="W9" s="23"/>
      <c r="X9" s="26"/>
      <c r="Y9" s="18"/>
      <c r="Z9" s="18"/>
      <c r="AA9" s="18"/>
      <c r="AB9" s="18"/>
      <c r="AC9" s="18"/>
      <c r="AD9" s="18"/>
      <c r="AE9" s="18"/>
      <c r="BB9" s="30" t="s">
        <v>93</v>
      </c>
      <c r="BC9" s="30">
        <v>1</v>
      </c>
      <c r="BD9" s="30">
        <v>149</v>
      </c>
    </row>
    <row r="10" spans="1:56" x14ac:dyDescent="0.25">
      <c r="A10" s="9" t="str">
        <f t="shared" si="0"/>
        <v>.0</v>
      </c>
      <c r="B10" s="32" t="str">
        <f t="shared" si="1"/>
        <v>↕.</v>
      </c>
      <c r="C10" s="54"/>
      <c r="D10" s="54"/>
      <c r="E10" s="48">
        <f t="shared" si="2"/>
        <v>0</v>
      </c>
      <c r="F10" s="48">
        <f t="shared" si="3"/>
        <v>0</v>
      </c>
      <c r="G10" s="54"/>
      <c r="H10" s="54"/>
      <c r="I10" s="49">
        <f t="shared" si="4"/>
        <v>0</v>
      </c>
      <c r="J10" s="53">
        <f t="shared" si="5"/>
        <v>0</v>
      </c>
      <c r="K10" s="52" t="str">
        <f t="shared" si="6"/>
        <v/>
      </c>
      <c r="L10" s="52" t="str">
        <f t="shared" si="7"/>
        <v/>
      </c>
      <c r="M10" s="51" t="str">
        <f t="shared" si="8"/>
        <v/>
      </c>
      <c r="N10" s="30" t="str">
        <f t="shared" si="9"/>
        <v/>
      </c>
      <c r="O10" s="22"/>
      <c r="P10" s="18"/>
      <c r="Q10" s="18"/>
      <c r="R10" s="18"/>
      <c r="S10" s="18"/>
      <c r="T10" s="3"/>
      <c r="U10" s="3"/>
      <c r="V10" s="23"/>
      <c r="W10" s="23"/>
      <c r="X10" s="26"/>
      <c r="Y10" s="18"/>
      <c r="Z10" s="18"/>
      <c r="AA10" s="18"/>
      <c r="AB10" s="18"/>
      <c r="AC10" s="18"/>
      <c r="AD10" s="18"/>
      <c r="AE10" s="18"/>
    </row>
    <row r="11" spans="1:56" x14ac:dyDescent="0.25">
      <c r="A11" s="9" t="str">
        <f t="shared" si="0"/>
        <v>.0</v>
      </c>
      <c r="B11" s="32" t="str">
        <f t="shared" si="1"/>
        <v>↕.</v>
      </c>
      <c r="C11" s="54"/>
      <c r="D11" s="54"/>
      <c r="E11" s="48">
        <f t="shared" si="2"/>
        <v>0</v>
      </c>
      <c r="F11" s="48">
        <f t="shared" si="3"/>
        <v>0</v>
      </c>
      <c r="G11" s="54"/>
      <c r="H11" s="54"/>
      <c r="I11" s="49">
        <f t="shared" si="4"/>
        <v>0</v>
      </c>
      <c r="J11" s="53">
        <f t="shared" si="5"/>
        <v>0</v>
      </c>
      <c r="K11" s="52" t="str">
        <f t="shared" si="6"/>
        <v/>
      </c>
      <c r="L11" s="52" t="str">
        <f t="shared" si="7"/>
        <v/>
      </c>
      <c r="M11" s="51" t="str">
        <f t="shared" si="8"/>
        <v/>
      </c>
      <c r="N11" s="30" t="str">
        <f t="shared" si="9"/>
        <v/>
      </c>
      <c r="O11" s="22"/>
      <c r="P11" s="18"/>
      <c r="Q11" s="18"/>
      <c r="R11" s="18"/>
      <c r="S11" s="18"/>
      <c r="T11" s="3"/>
      <c r="U11" s="3"/>
      <c r="V11" s="23"/>
      <c r="W11" s="23"/>
      <c r="X11" s="26"/>
      <c r="Y11" s="18"/>
      <c r="Z11" s="18"/>
      <c r="AA11" s="18"/>
      <c r="AB11" s="18"/>
      <c r="AC11" s="18"/>
      <c r="AD11" s="18"/>
      <c r="AE11" s="18"/>
    </row>
    <row r="12" spans="1:56" x14ac:dyDescent="0.25">
      <c r="A12" s="9" t="str">
        <f t="shared" si="0"/>
        <v>.0</v>
      </c>
      <c r="B12" s="32" t="str">
        <f t="shared" si="1"/>
        <v>↕.</v>
      </c>
      <c r="C12" s="54"/>
      <c r="D12" s="54"/>
      <c r="E12" s="48">
        <f t="shared" si="2"/>
        <v>0</v>
      </c>
      <c r="F12" s="48">
        <f t="shared" si="3"/>
        <v>0</v>
      </c>
      <c r="G12" s="54"/>
      <c r="H12" s="54"/>
      <c r="I12" s="49">
        <f t="shared" si="4"/>
        <v>0</v>
      </c>
      <c r="J12" s="53">
        <f t="shared" si="5"/>
        <v>0</v>
      </c>
      <c r="K12" s="52" t="str">
        <f t="shared" si="6"/>
        <v/>
      </c>
      <c r="L12" s="52" t="str">
        <f t="shared" si="7"/>
        <v/>
      </c>
      <c r="M12" s="51" t="str">
        <f t="shared" si="8"/>
        <v/>
      </c>
      <c r="N12" s="30" t="str">
        <f t="shared" si="9"/>
        <v/>
      </c>
      <c r="O12" s="22"/>
      <c r="P12" s="18"/>
      <c r="Q12" s="18"/>
      <c r="R12" s="18"/>
      <c r="S12" s="18"/>
      <c r="T12" s="3"/>
      <c r="U12" s="3"/>
      <c r="V12" s="23"/>
      <c r="W12" s="23"/>
      <c r="X12" s="26"/>
      <c r="Y12" s="18"/>
      <c r="Z12" s="18"/>
      <c r="AA12" s="18"/>
      <c r="AB12" s="18"/>
      <c r="AC12" s="18"/>
      <c r="AD12" s="18"/>
      <c r="AE12" s="18"/>
    </row>
    <row r="13" spans="1:56" x14ac:dyDescent="0.25">
      <c r="A13" s="9" t="str">
        <f t="shared" si="0"/>
        <v>.0</v>
      </c>
      <c r="B13" s="32" t="str">
        <f t="shared" si="1"/>
        <v>↕.</v>
      </c>
      <c r="C13" s="54"/>
      <c r="D13" s="54"/>
      <c r="E13" s="48">
        <f t="shared" si="2"/>
        <v>0</v>
      </c>
      <c r="F13" s="48">
        <f t="shared" si="3"/>
        <v>0</v>
      </c>
      <c r="G13" s="54"/>
      <c r="H13" s="54"/>
      <c r="I13" s="49">
        <f t="shared" si="4"/>
        <v>0</v>
      </c>
      <c r="J13" s="53">
        <f t="shared" si="5"/>
        <v>0</v>
      </c>
      <c r="K13" s="52" t="str">
        <f t="shared" si="6"/>
        <v/>
      </c>
      <c r="L13" s="52" t="str">
        <f t="shared" si="7"/>
        <v/>
      </c>
      <c r="M13" s="51" t="str">
        <f t="shared" si="8"/>
        <v/>
      </c>
      <c r="N13" s="30" t="str">
        <f t="shared" si="9"/>
        <v/>
      </c>
      <c r="O13" s="22"/>
      <c r="P13" s="18"/>
      <c r="Q13" s="18"/>
      <c r="R13" s="18"/>
      <c r="S13" s="18"/>
      <c r="T13" s="3"/>
      <c r="U13" s="3"/>
      <c r="V13" s="23"/>
      <c r="W13" s="23"/>
      <c r="X13" s="26"/>
      <c r="Y13" s="18"/>
      <c r="Z13" s="18"/>
      <c r="AA13" s="18"/>
      <c r="AB13" s="18"/>
      <c r="AC13" s="18"/>
      <c r="AD13" s="18"/>
      <c r="AE13" s="18"/>
    </row>
    <row r="14" spans="1:56" x14ac:dyDescent="0.25">
      <c r="A14" s="13"/>
      <c r="B14" s="34"/>
      <c r="C14" s="42"/>
      <c r="D14" s="42"/>
      <c r="E14" s="33"/>
      <c r="F14" s="33"/>
      <c r="G14" s="42"/>
      <c r="H14" s="45" t="s">
        <v>15</v>
      </c>
      <c r="I14" s="50">
        <f>SUM(I4:I13)</f>
        <v>0</v>
      </c>
      <c r="J14" s="35"/>
      <c r="K14" s="34"/>
      <c r="L14" s="34"/>
      <c r="M14" s="36"/>
      <c r="O14" s="24"/>
      <c r="V14" s="17"/>
      <c r="W14" s="17"/>
    </row>
    <row r="15" spans="1:56" ht="15" customHeight="1" x14ac:dyDescent="0.25">
      <c r="A15" s="34"/>
      <c r="B15" s="34"/>
      <c r="C15" s="42"/>
      <c r="D15" s="42"/>
      <c r="E15" s="33"/>
      <c r="F15" s="33"/>
      <c r="G15" s="42"/>
      <c r="H15" s="42"/>
      <c r="I15" s="25"/>
      <c r="J15" s="35"/>
      <c r="K15" s="34"/>
      <c r="L15" s="34"/>
      <c r="M15" s="36"/>
      <c r="O15" s="24"/>
      <c r="V15" s="17"/>
      <c r="W15" s="17"/>
    </row>
    <row r="16" spans="1:56" x14ac:dyDescent="0.25">
      <c r="A16" s="2" t="s">
        <v>8</v>
      </c>
      <c r="B16" s="13"/>
      <c r="C16" s="42"/>
      <c r="D16" s="42"/>
      <c r="E16" s="33"/>
      <c r="F16" s="33"/>
      <c r="G16" s="42"/>
      <c r="H16" s="42"/>
      <c r="I16" s="25"/>
      <c r="J16" s="37"/>
      <c r="K16" s="13"/>
      <c r="L16" s="13"/>
      <c r="M16" s="36"/>
      <c r="O16" s="24"/>
      <c r="V16" s="17"/>
      <c r="W16" s="17"/>
    </row>
    <row r="17" spans="1:29" x14ac:dyDescent="0.25">
      <c r="A17" s="30" t="s">
        <v>32</v>
      </c>
      <c r="B17" s="13"/>
      <c r="C17" s="42"/>
      <c r="D17" s="42"/>
      <c r="E17" s="33"/>
      <c r="F17" s="33"/>
      <c r="G17" s="42"/>
      <c r="H17" s="42"/>
      <c r="I17" s="25"/>
      <c r="J17" s="37"/>
      <c r="K17" s="13"/>
      <c r="L17" s="13"/>
      <c r="M17" s="36"/>
      <c r="O17" s="24"/>
      <c r="V17" s="17"/>
      <c r="W17" s="17"/>
    </row>
    <row r="18" spans="1:29" x14ac:dyDescent="0.25">
      <c r="A18" s="13" t="s">
        <v>33</v>
      </c>
    </row>
    <row r="19" spans="1:29" x14ac:dyDescent="0.25">
      <c r="A19" s="13" t="s">
        <v>16</v>
      </c>
    </row>
    <row r="20" spans="1:29" x14ac:dyDescent="0.25">
      <c r="A20" s="13" t="s">
        <v>28</v>
      </c>
    </row>
    <row r="21" spans="1:29" x14ac:dyDescent="0.25">
      <c r="A21" s="13"/>
    </row>
    <row r="22" spans="1:29" ht="18.75" x14ac:dyDescent="0.3">
      <c r="A22" s="1" t="str">
        <f>CONCATENATE(A2, ". Соответствие кромки и ДСП")</f>
        <v>bCad. Соответствие кромки и ДСП</v>
      </c>
      <c r="N22" s="30" t="s">
        <v>35</v>
      </c>
    </row>
    <row r="23" spans="1:29" x14ac:dyDescent="0.25">
      <c r="A23" s="3" t="s">
        <v>6</v>
      </c>
      <c r="B23" s="4" t="s">
        <v>14</v>
      </c>
      <c r="C23" s="40"/>
      <c r="D23" s="60"/>
      <c r="E23" s="61"/>
      <c r="F23" s="5"/>
      <c r="G23" s="44"/>
      <c r="H23" s="57" t="s">
        <v>31</v>
      </c>
      <c r="I23" s="58" t="s">
        <v>30</v>
      </c>
      <c r="J23" s="3" t="s">
        <v>13</v>
      </c>
      <c r="K23" s="3" t="s">
        <v>52</v>
      </c>
      <c r="L23" s="55"/>
      <c r="M23" s="56"/>
    </row>
    <row r="24" spans="1:29" x14ac:dyDescent="0.25">
      <c r="A24" s="3"/>
      <c r="B24" s="4"/>
      <c r="C24" s="46"/>
      <c r="D24" s="62"/>
      <c r="E24" s="63"/>
      <c r="F24" s="5"/>
      <c r="G24" s="43"/>
      <c r="H24" s="59"/>
      <c r="I24" s="18"/>
      <c r="J24" s="3"/>
      <c r="K24" s="3"/>
      <c r="L24" s="55"/>
      <c r="M24" s="56"/>
    </row>
    <row r="25" spans="1:29" x14ac:dyDescent="0.25">
      <c r="A25" s="3"/>
      <c r="B25" s="4"/>
      <c r="C25" s="46"/>
      <c r="D25" s="62"/>
      <c r="E25" s="63"/>
      <c r="F25" s="5"/>
      <c r="G25" s="43"/>
      <c r="H25" s="59"/>
      <c r="I25" s="18"/>
      <c r="J25" s="80"/>
      <c r="K25" s="3"/>
      <c r="L25" s="55"/>
      <c r="M25" s="56"/>
    </row>
    <row r="26" spans="1:29" ht="18.75" x14ac:dyDescent="0.3">
      <c r="A26" s="1" t="str">
        <f>CONCATENATE(A2, ". Стекло")</f>
        <v>bCad. Стекло</v>
      </c>
    </row>
    <row r="27" spans="1:29" x14ac:dyDescent="0.25">
      <c r="A27" s="3" t="s">
        <v>6</v>
      </c>
      <c r="B27" s="4" t="s">
        <v>5</v>
      </c>
      <c r="C27" s="39" t="s">
        <v>9</v>
      </c>
      <c r="D27" s="40" t="s">
        <v>11</v>
      </c>
      <c r="E27" s="6" t="s">
        <v>1</v>
      </c>
      <c r="F27" s="7" t="s">
        <v>0</v>
      </c>
      <c r="G27" s="40" t="s">
        <v>10</v>
      </c>
      <c r="H27" s="44" t="s">
        <v>12</v>
      </c>
      <c r="I27" s="8" t="s">
        <v>2</v>
      </c>
      <c r="J27" s="3" t="s">
        <v>3</v>
      </c>
      <c r="K27" s="4"/>
      <c r="L27" s="4"/>
      <c r="M27" s="3" t="s">
        <v>4</v>
      </c>
    </row>
    <row r="28" spans="1:29" x14ac:dyDescent="0.25">
      <c r="A28" s="9"/>
      <c r="B28" s="32"/>
      <c r="C28" s="41"/>
      <c r="D28" s="41"/>
      <c r="E28" s="14"/>
      <c r="F28" s="14"/>
      <c r="G28" s="41"/>
      <c r="H28" s="41"/>
      <c r="I28" s="10"/>
      <c r="J28" s="11"/>
      <c r="K28" s="32"/>
      <c r="L28" s="32"/>
      <c r="M28" s="28"/>
      <c r="O28" s="22"/>
      <c r="P28" s="18"/>
      <c r="Q28" s="18"/>
      <c r="R28" s="18"/>
      <c r="S28" s="18"/>
      <c r="T28" s="3"/>
      <c r="U28" s="3"/>
      <c r="V28" s="23"/>
      <c r="W28" s="23"/>
      <c r="X28" s="18"/>
      <c r="Y28" s="18"/>
      <c r="Z28" s="18"/>
      <c r="AA28" s="18"/>
      <c r="AB28" s="18"/>
      <c r="AC28" s="18"/>
    </row>
    <row r="29" spans="1:29" x14ac:dyDescent="0.25">
      <c r="A29" s="9"/>
      <c r="B29" s="32"/>
      <c r="C29" s="41"/>
      <c r="D29" s="41"/>
      <c r="E29" s="14"/>
      <c r="F29" s="14"/>
      <c r="G29" s="41"/>
      <c r="H29" s="41"/>
      <c r="I29" s="10"/>
      <c r="J29" s="11"/>
      <c r="K29" s="32"/>
      <c r="L29" s="32"/>
      <c r="M29" s="28"/>
      <c r="O29" s="22"/>
      <c r="P29" s="18"/>
      <c r="Q29" s="18"/>
      <c r="R29" s="18"/>
      <c r="S29" s="18"/>
      <c r="T29" s="3"/>
      <c r="U29" s="3"/>
      <c r="V29" s="23"/>
      <c r="W29" s="23"/>
      <c r="X29" s="18"/>
      <c r="Y29" s="18"/>
      <c r="Z29" s="18"/>
      <c r="AA29" s="18"/>
      <c r="AB29" s="18"/>
      <c r="AC29" s="18"/>
    </row>
    <row r="30" spans="1:29" x14ac:dyDescent="0.25">
      <c r="A30" s="9"/>
      <c r="B30" s="32"/>
      <c r="C30" s="41"/>
      <c r="D30" s="41"/>
      <c r="E30" s="14"/>
      <c r="F30" s="14"/>
      <c r="G30" s="41"/>
      <c r="H30" s="41"/>
      <c r="I30" s="10"/>
      <c r="J30" s="11"/>
      <c r="K30" s="32"/>
      <c r="L30" s="32"/>
      <c r="M30" s="28"/>
      <c r="O30" s="22"/>
      <c r="P30" s="18"/>
      <c r="Q30" s="18"/>
      <c r="R30" s="18"/>
      <c r="S30" s="18"/>
      <c r="T30" s="3"/>
      <c r="U30" s="3"/>
      <c r="V30" s="23"/>
      <c r="W30" s="23"/>
      <c r="X30" s="18"/>
      <c r="Y30" s="18"/>
      <c r="Z30" s="18"/>
      <c r="AA30" s="18"/>
      <c r="AB30" s="18"/>
      <c r="AC30" s="18"/>
    </row>
    <row r="31" spans="1:29" x14ac:dyDescent="0.25">
      <c r="A31" s="9"/>
      <c r="B31" s="32"/>
      <c r="C31" s="41"/>
      <c r="D31" s="41"/>
      <c r="E31" s="14"/>
      <c r="F31" s="14"/>
      <c r="G31" s="41"/>
      <c r="H31" s="41"/>
      <c r="I31" s="10"/>
      <c r="J31" s="11"/>
      <c r="K31" s="32"/>
      <c r="L31" s="32"/>
      <c r="M31" s="28"/>
      <c r="O31" s="22"/>
      <c r="P31" s="18"/>
      <c r="Q31" s="18"/>
      <c r="R31" s="18"/>
      <c r="S31" s="18"/>
      <c r="T31" s="3"/>
      <c r="U31" s="3"/>
      <c r="V31" s="23"/>
      <c r="W31" s="23"/>
      <c r="X31" s="18"/>
      <c r="Y31" s="18"/>
      <c r="Z31" s="18"/>
      <c r="AA31" s="18"/>
      <c r="AB31" s="18"/>
      <c r="AC31" s="18"/>
    </row>
    <row r="32" spans="1:29" x14ac:dyDescent="0.25">
      <c r="A32" s="9"/>
      <c r="B32" s="32"/>
      <c r="C32" s="41"/>
      <c r="D32" s="41"/>
      <c r="E32" s="14"/>
      <c r="F32" s="14"/>
      <c r="G32" s="41"/>
      <c r="H32" s="41"/>
      <c r="I32" s="10"/>
      <c r="J32" s="11"/>
      <c r="K32" s="32"/>
      <c r="L32" s="32"/>
      <c r="M32" s="28"/>
      <c r="O32" s="22"/>
      <c r="P32" s="18"/>
      <c r="Q32" s="18"/>
      <c r="R32" s="18"/>
      <c r="S32" s="18"/>
      <c r="T32" s="3"/>
      <c r="U32" s="3"/>
      <c r="V32" s="23"/>
      <c r="W32" s="23"/>
      <c r="X32" s="18"/>
      <c r="Y32" s="18"/>
      <c r="Z32" s="18"/>
      <c r="AA32" s="18"/>
      <c r="AB32" s="18"/>
      <c r="AC32" s="18"/>
    </row>
    <row r="33" spans="1:29" x14ac:dyDescent="0.25">
      <c r="A33" s="13"/>
      <c r="B33" s="9"/>
      <c r="C33" s="41"/>
      <c r="D33" s="41"/>
      <c r="E33" s="14"/>
      <c r="F33" s="14"/>
      <c r="G33" s="41"/>
      <c r="H33" s="45" t="s">
        <v>15</v>
      </c>
      <c r="I33" s="25">
        <f>SUM(I28:I32)</f>
        <v>0</v>
      </c>
      <c r="J33" s="11"/>
      <c r="K33" s="9"/>
      <c r="L33" s="9"/>
      <c r="M33" s="12"/>
      <c r="O33" s="24"/>
      <c r="V33" s="17"/>
      <c r="W33" s="17"/>
    </row>
    <row r="34" spans="1:29" x14ac:dyDescent="0.25">
      <c r="A34" s="16" t="s">
        <v>8</v>
      </c>
      <c r="B34" s="9"/>
      <c r="C34" s="41"/>
      <c r="D34" s="41"/>
      <c r="E34" s="14"/>
      <c r="F34" s="14"/>
      <c r="G34" s="41"/>
      <c r="H34" s="41"/>
      <c r="I34" s="10"/>
      <c r="J34" s="15"/>
      <c r="K34" s="9"/>
      <c r="L34" s="9"/>
      <c r="M34" s="12"/>
    </row>
    <row r="35" spans="1:29" x14ac:dyDescent="0.25">
      <c r="A35" s="13" t="s">
        <v>40</v>
      </c>
      <c r="B35" s="9"/>
      <c r="C35" s="41"/>
      <c r="D35" s="41"/>
      <c r="E35" s="14"/>
      <c r="F35" s="14"/>
      <c r="G35" s="41"/>
      <c r="H35" s="41"/>
      <c r="I35" s="10"/>
      <c r="J35" s="15"/>
      <c r="K35" s="9"/>
      <c r="L35" s="9"/>
      <c r="M35" s="12"/>
    </row>
    <row r="37" spans="1:29" ht="18.75" x14ac:dyDescent="0.3">
      <c r="A37" s="1" t="str">
        <f>CONCATENATE(A2, ". Пластик")</f>
        <v>bCad. Пластик</v>
      </c>
    </row>
    <row r="38" spans="1:29" x14ac:dyDescent="0.25">
      <c r="A38" s="3" t="s">
        <v>6</v>
      </c>
      <c r="B38" s="4" t="s">
        <v>5</v>
      </c>
      <c r="C38" s="39" t="s">
        <v>9</v>
      </c>
      <c r="D38" s="40" t="s">
        <v>11</v>
      </c>
      <c r="E38" s="6" t="s">
        <v>1</v>
      </c>
      <c r="F38" s="7" t="s">
        <v>0</v>
      </c>
      <c r="G38" s="40" t="s">
        <v>10</v>
      </c>
      <c r="H38" s="44" t="s">
        <v>12</v>
      </c>
      <c r="I38" s="8" t="s">
        <v>2</v>
      </c>
      <c r="J38" s="3" t="s">
        <v>3</v>
      </c>
      <c r="K38" s="4"/>
      <c r="L38" s="4"/>
      <c r="M38" s="3" t="s">
        <v>4</v>
      </c>
    </row>
    <row r="39" spans="1:29" x14ac:dyDescent="0.25">
      <c r="A39" s="9"/>
      <c r="B39" s="32"/>
      <c r="C39" s="41"/>
      <c r="D39" s="41"/>
      <c r="E39" s="14"/>
      <c r="F39" s="14"/>
      <c r="G39" s="41"/>
      <c r="H39" s="41"/>
      <c r="I39" s="10"/>
      <c r="J39" s="11"/>
      <c r="K39" s="32"/>
      <c r="L39" s="32"/>
      <c r="M39" s="28"/>
      <c r="O39" s="22"/>
      <c r="P39" s="18"/>
      <c r="Q39" s="18"/>
      <c r="R39" s="18"/>
      <c r="S39" s="18"/>
      <c r="T39" s="3"/>
      <c r="U39" s="3"/>
      <c r="V39" s="23"/>
      <c r="W39" s="23"/>
      <c r="X39" s="18"/>
      <c r="Y39" s="18"/>
      <c r="Z39" s="18"/>
      <c r="AA39" s="18"/>
      <c r="AB39" s="18"/>
      <c r="AC39" s="18"/>
    </row>
    <row r="40" spans="1:29" x14ac:dyDescent="0.25">
      <c r="A40" s="9"/>
      <c r="B40" s="32"/>
      <c r="C40" s="41"/>
      <c r="D40" s="41"/>
      <c r="E40" s="14"/>
      <c r="F40" s="14"/>
      <c r="G40" s="41"/>
      <c r="H40" s="41"/>
      <c r="I40" s="10"/>
      <c r="J40" s="11"/>
      <c r="K40" s="32"/>
      <c r="L40" s="32"/>
      <c r="M40" s="28"/>
      <c r="O40" s="22"/>
      <c r="P40" s="18"/>
      <c r="Q40" s="18"/>
      <c r="R40" s="18"/>
      <c r="S40" s="18"/>
      <c r="T40" s="3"/>
      <c r="U40" s="3"/>
      <c r="V40" s="23"/>
      <c r="W40" s="23"/>
      <c r="X40" s="18"/>
      <c r="Y40" s="18"/>
      <c r="Z40" s="18"/>
      <c r="AA40" s="18"/>
      <c r="AB40" s="18"/>
      <c r="AC40" s="18"/>
    </row>
    <row r="41" spans="1:29" x14ac:dyDescent="0.25">
      <c r="A41" s="9"/>
      <c r="B41" s="32"/>
      <c r="C41" s="41"/>
      <c r="D41" s="41"/>
      <c r="E41" s="14"/>
      <c r="F41" s="14"/>
      <c r="G41" s="41"/>
      <c r="H41" s="41"/>
      <c r="I41" s="10"/>
      <c r="J41" s="11"/>
      <c r="K41" s="15"/>
      <c r="L41" s="15"/>
      <c r="M41" s="11"/>
      <c r="O41" s="22"/>
      <c r="P41" s="18"/>
      <c r="Q41" s="18"/>
      <c r="R41" s="18"/>
      <c r="S41" s="18"/>
      <c r="T41" s="3"/>
      <c r="U41" s="3"/>
      <c r="V41" s="23"/>
      <c r="W41" s="23"/>
      <c r="X41" s="18"/>
      <c r="Y41" s="18"/>
      <c r="Z41" s="18"/>
      <c r="AA41" s="18"/>
      <c r="AB41" s="18"/>
      <c r="AC41" s="18"/>
    </row>
    <row r="42" spans="1:29" x14ac:dyDescent="0.25">
      <c r="A42" s="9"/>
      <c r="B42" s="32"/>
      <c r="C42" s="41"/>
      <c r="D42" s="41"/>
      <c r="E42" s="14"/>
      <c r="F42" s="14"/>
      <c r="G42" s="41"/>
      <c r="H42" s="41"/>
      <c r="I42" s="10"/>
      <c r="J42" s="11"/>
      <c r="K42" s="15"/>
      <c r="L42" s="15"/>
      <c r="M42" s="11"/>
      <c r="O42" s="22"/>
      <c r="P42" s="18"/>
      <c r="Q42" s="18"/>
      <c r="R42" s="18"/>
      <c r="S42" s="18"/>
      <c r="T42" s="3"/>
      <c r="U42" s="3"/>
      <c r="V42" s="23"/>
      <c r="W42" s="23"/>
      <c r="X42" s="18"/>
      <c r="Y42" s="18"/>
      <c r="Z42" s="18"/>
      <c r="AA42" s="18"/>
      <c r="AB42" s="18"/>
      <c r="AC42" s="18"/>
    </row>
    <row r="43" spans="1:29" x14ac:dyDescent="0.25">
      <c r="A43" s="9"/>
      <c r="B43" s="32"/>
      <c r="C43" s="41"/>
      <c r="D43" s="41"/>
      <c r="E43" s="14"/>
      <c r="F43" s="14"/>
      <c r="G43" s="41"/>
      <c r="H43" s="41"/>
      <c r="I43" s="10"/>
      <c r="J43" s="11"/>
      <c r="K43" s="15"/>
      <c r="L43" s="15"/>
      <c r="M43" s="11"/>
      <c r="O43" s="22"/>
      <c r="P43" s="18"/>
      <c r="Q43" s="18"/>
      <c r="R43" s="18"/>
      <c r="S43" s="18"/>
      <c r="T43" s="3"/>
      <c r="U43" s="3"/>
      <c r="V43" s="23"/>
      <c r="W43" s="23"/>
      <c r="X43" s="18"/>
      <c r="Y43" s="18"/>
      <c r="Z43" s="18"/>
      <c r="AA43" s="18"/>
      <c r="AB43" s="18"/>
      <c r="AC43" s="18"/>
    </row>
    <row r="44" spans="1:29" x14ac:dyDescent="0.25">
      <c r="A44" s="9"/>
      <c r="B44" s="32"/>
      <c r="C44" s="41"/>
      <c r="D44" s="41"/>
      <c r="E44" s="14"/>
      <c r="F44" s="14"/>
      <c r="G44" s="41"/>
      <c r="H44" s="41"/>
      <c r="I44" s="10"/>
      <c r="J44" s="11"/>
      <c r="K44" s="15"/>
      <c r="L44" s="15"/>
      <c r="M44" s="11"/>
      <c r="O44" s="22"/>
      <c r="P44" s="18"/>
      <c r="Q44" s="18"/>
      <c r="R44" s="18"/>
      <c r="S44" s="18"/>
      <c r="T44" s="3"/>
      <c r="U44" s="3"/>
      <c r="V44" s="23"/>
      <c r="W44" s="23"/>
      <c r="X44" s="18"/>
      <c r="Y44" s="18"/>
      <c r="Z44" s="18"/>
      <c r="AA44" s="18"/>
      <c r="AB44" s="18"/>
      <c r="AC44" s="18"/>
    </row>
    <row r="45" spans="1:29" x14ac:dyDescent="0.25">
      <c r="A45" s="9"/>
      <c r="B45" s="32"/>
      <c r="C45" s="41"/>
      <c r="D45" s="41"/>
      <c r="E45" s="14"/>
      <c r="F45" s="14"/>
      <c r="G45" s="41"/>
      <c r="H45" s="41"/>
      <c r="I45" s="10"/>
      <c r="J45" s="11"/>
      <c r="K45" s="15"/>
      <c r="L45" s="15"/>
      <c r="M45" s="11"/>
      <c r="O45" s="22"/>
      <c r="P45" s="18"/>
      <c r="Q45" s="18"/>
      <c r="R45" s="18"/>
      <c r="S45" s="18"/>
      <c r="T45" s="3"/>
      <c r="U45" s="3"/>
      <c r="V45" s="23"/>
      <c r="W45" s="23"/>
      <c r="X45" s="18"/>
      <c r="Y45" s="18"/>
      <c r="Z45" s="18"/>
      <c r="AA45" s="18"/>
      <c r="AB45" s="18"/>
      <c r="AC45" s="18"/>
    </row>
    <row r="46" spans="1:29" x14ac:dyDescent="0.25">
      <c r="A46" s="9"/>
      <c r="B46" s="32"/>
      <c r="C46" s="41"/>
      <c r="D46" s="41"/>
      <c r="E46" s="14"/>
      <c r="F46" s="14"/>
      <c r="G46" s="41"/>
      <c r="H46" s="41"/>
      <c r="I46" s="10"/>
      <c r="J46" s="11"/>
      <c r="K46" s="15"/>
      <c r="L46" s="15"/>
      <c r="M46" s="11"/>
      <c r="O46" s="22"/>
      <c r="P46" s="18"/>
      <c r="Q46" s="18"/>
      <c r="R46" s="18"/>
      <c r="S46" s="18"/>
      <c r="T46" s="3"/>
      <c r="U46" s="3"/>
      <c r="V46" s="23"/>
      <c r="W46" s="23"/>
      <c r="X46" s="18"/>
      <c r="Y46" s="18"/>
      <c r="Z46" s="18"/>
      <c r="AA46" s="18"/>
      <c r="AB46" s="18"/>
      <c r="AC46" s="18"/>
    </row>
    <row r="47" spans="1:29" x14ac:dyDescent="0.25">
      <c r="A47" s="9"/>
      <c r="B47" s="32"/>
      <c r="C47" s="41"/>
      <c r="D47" s="41"/>
      <c r="E47" s="14"/>
      <c r="F47" s="14"/>
      <c r="G47" s="41"/>
      <c r="H47" s="41"/>
      <c r="I47" s="10"/>
      <c r="J47" s="11"/>
      <c r="K47" s="15"/>
      <c r="L47" s="15"/>
      <c r="M47" s="11"/>
      <c r="O47" s="22"/>
      <c r="P47" s="18"/>
      <c r="Q47" s="18"/>
      <c r="R47" s="18"/>
      <c r="S47" s="18"/>
      <c r="T47" s="3"/>
      <c r="U47" s="3"/>
      <c r="V47" s="23"/>
      <c r="W47" s="23"/>
      <c r="X47" s="18"/>
      <c r="Y47" s="18"/>
      <c r="Z47" s="18"/>
      <c r="AA47" s="18"/>
      <c r="AB47" s="18"/>
      <c r="AC47" s="18"/>
    </row>
    <row r="48" spans="1:29" x14ac:dyDescent="0.25">
      <c r="A48" s="9"/>
      <c r="B48" s="32"/>
      <c r="C48" s="41"/>
      <c r="D48" s="41"/>
      <c r="E48" s="14"/>
      <c r="F48" s="14"/>
      <c r="G48" s="41"/>
      <c r="H48" s="41"/>
      <c r="I48" s="10"/>
      <c r="J48" s="11"/>
      <c r="K48" s="15"/>
      <c r="L48" s="15"/>
      <c r="M48" s="11"/>
      <c r="O48" s="22"/>
      <c r="P48" s="18"/>
      <c r="Q48" s="18"/>
      <c r="R48" s="18"/>
      <c r="S48" s="18"/>
      <c r="T48" s="3"/>
      <c r="U48" s="3"/>
      <c r="V48" s="23"/>
      <c r="W48" s="23"/>
      <c r="X48" s="18"/>
      <c r="Y48" s="18"/>
      <c r="Z48" s="18"/>
      <c r="AA48" s="18"/>
      <c r="AB48" s="18"/>
      <c r="AC48" s="18"/>
    </row>
    <row r="49" spans="1:57" x14ac:dyDescent="0.25">
      <c r="A49" s="13"/>
      <c r="B49" s="9"/>
      <c r="C49" s="41"/>
      <c r="D49" s="41"/>
      <c r="E49" s="14"/>
      <c r="F49" s="14"/>
      <c r="G49" s="41"/>
      <c r="H49" s="45" t="s">
        <v>15</v>
      </c>
      <c r="I49" s="25">
        <f>SUM(I39:I48)</f>
        <v>0</v>
      </c>
      <c r="J49" s="11"/>
      <c r="K49" s="9"/>
      <c r="L49" s="9"/>
      <c r="M49" s="12"/>
    </row>
    <row r="50" spans="1:57" x14ac:dyDescent="0.25">
      <c r="A50" s="16" t="s">
        <v>8</v>
      </c>
      <c r="B50" s="9"/>
      <c r="C50" s="41"/>
      <c r="D50" s="41"/>
      <c r="E50" s="14"/>
      <c r="F50" s="14"/>
      <c r="G50" s="41"/>
      <c r="H50" s="41"/>
      <c r="I50" s="10"/>
      <c r="J50" s="15"/>
      <c r="K50" s="9"/>
      <c r="L50" s="9"/>
      <c r="M50" s="12"/>
    </row>
    <row r="51" spans="1:57" x14ac:dyDescent="0.25">
      <c r="A51" s="13" t="s">
        <v>40</v>
      </c>
      <c r="B51" s="9"/>
      <c r="C51" s="41"/>
      <c r="D51" s="41"/>
      <c r="E51" s="14"/>
      <c r="F51" s="14"/>
      <c r="G51" s="41"/>
      <c r="H51" s="41"/>
      <c r="I51" s="10"/>
      <c r="J51" s="15"/>
      <c r="K51" s="9"/>
      <c r="L51" s="9"/>
      <c r="M51" s="12"/>
    </row>
    <row r="56" spans="1:57" ht="18.75" x14ac:dyDescent="0.3">
      <c r="A56" s="1" t="s">
        <v>29</v>
      </c>
    </row>
    <row r="57" spans="1:57" x14ac:dyDescent="0.25">
      <c r="A57" s="30" t="s">
        <v>37</v>
      </c>
    </row>
    <row r="58" spans="1:57" x14ac:dyDescent="0.25">
      <c r="M58" s="30"/>
      <c r="T58" s="30"/>
      <c r="U58" s="30"/>
    </row>
    <row r="59" spans="1:57" x14ac:dyDescent="0.25">
      <c r="M59" s="30"/>
      <c r="T59" s="30"/>
      <c r="U59" s="30"/>
    </row>
    <row r="60" spans="1:57" x14ac:dyDescent="0.25">
      <c r="M60" s="30"/>
      <c r="T60" s="30"/>
      <c r="U60" s="30"/>
    </row>
    <row r="61" spans="1:57" x14ac:dyDescent="0.25">
      <c r="A6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row>
    <row r="63" spans="1:57" x14ac:dyDescent="0.25">
      <c r="A6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row>
    <row r="64" spans="1:57" x14ac:dyDescent="0.25">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row>
    <row r="65" spans="1:81" x14ac:dyDescent="0.25">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row>
    <row r="66" spans="1:81" x14ac:dyDescent="0.25">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row>
    <row r="67" spans="1:81" x14ac:dyDescent="0.25">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row>
    <row r="68" spans="1:81" x14ac:dyDescent="0.25">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row>
    <row r="69" spans="1:81" x14ac:dyDescent="0.25">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row>
    <row r="70" spans="1:81" x14ac:dyDescent="0.25">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row>
    <row r="71" spans="1:81" x14ac:dyDescent="0.25">
      <c r="A71"/>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row>
    <row r="72" spans="1:81" x14ac:dyDescent="0.25">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row>
    <row r="73" spans="1:81" x14ac:dyDescent="0.25">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row>
    <row r="74" spans="1:81" x14ac:dyDescent="0.25">
      <c r="A74"/>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row>
    <row r="75" spans="1:81" x14ac:dyDescent="0.25">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row>
    <row r="76" spans="1:81" x14ac:dyDescent="0.25">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row>
    <row r="77" spans="1:81" x14ac:dyDescent="0.25">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row>
    <row r="78" spans="1:81" x14ac:dyDescent="0.25">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row>
    <row r="79" spans="1:81" x14ac:dyDescent="0.25">
      <c r="A79"/>
      <c r="B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row>
    <row r="80" spans="1:81" x14ac:dyDescent="0.25">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row>
    <row r="81" spans="1:81" x14ac:dyDescent="0.25">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row>
    <row r="82" spans="1:81" x14ac:dyDescent="0.25">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row>
    <row r="83" spans="1:81" x14ac:dyDescent="0.25">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row>
    <row r="84" spans="1:81" x14ac:dyDescent="0.25">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row>
    <row r="85" spans="1:81" x14ac:dyDescent="0.25">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row>
    <row r="86" spans="1:81" x14ac:dyDescent="0.25">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row>
    <row r="87" spans="1:81" x14ac:dyDescent="0.25">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row>
    <row r="88" spans="1:81" x14ac:dyDescent="0.25">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row>
    <row r="89" spans="1:81" x14ac:dyDescent="0.25">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row>
    <row r="90" spans="1:81" x14ac:dyDescent="0.25">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row>
    <row r="91" spans="1:81" x14ac:dyDescent="0.25">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row>
    <row r="92" spans="1:81" x14ac:dyDescent="0.25">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row>
    <row r="93" spans="1:81" x14ac:dyDescent="0.25">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row>
    <row r="94" spans="1:81" x14ac:dyDescent="0.25">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row>
    <row r="95" spans="1:81" x14ac:dyDescent="0.25">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row>
    <row r="96" spans="1:81" x14ac:dyDescent="0.25">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row>
    <row r="97" spans="1:81" x14ac:dyDescent="0.25">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row>
    <row r="98" spans="1:81" x14ac:dyDescent="0.25">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row>
    <row r="99" spans="1:81" x14ac:dyDescent="0.25">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row>
    <row r="100" spans="1:81" x14ac:dyDescent="0.25">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row>
    <row r="101" spans="1:81" x14ac:dyDescent="0.25">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row>
    <row r="102" spans="1:81" x14ac:dyDescent="0.25">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row>
    <row r="103" spans="1:81" x14ac:dyDescent="0.25">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row>
    <row r="104" spans="1:81" x14ac:dyDescent="0.25">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row>
    <row r="105" spans="1:81" x14ac:dyDescent="0.25">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row>
    <row r="106" spans="1:81" x14ac:dyDescent="0.25">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row>
    <row r="107" spans="1:81" x14ac:dyDescent="0.25">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row>
    <row r="108" spans="1:81" x14ac:dyDescent="0.25">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row>
    <row r="109" spans="1:81" x14ac:dyDescent="0.25">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row>
    <row r="110" spans="1:81" x14ac:dyDescent="0.25">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row>
    <row r="111" spans="1:81" x14ac:dyDescent="0.25">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row>
    <row r="112" spans="1:81" x14ac:dyDescent="0.25">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row>
    <row r="113" spans="1:81" x14ac:dyDescent="0.25">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row>
    <row r="114" spans="1:81" x14ac:dyDescent="0.25">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row>
    <row r="115" spans="1:81" x14ac:dyDescent="0.25">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row>
    <row r="116" spans="1:81" x14ac:dyDescent="0.25">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row>
    <row r="117" spans="1:81" x14ac:dyDescent="0.25">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row>
    <row r="118" spans="1:81" x14ac:dyDescent="0.25">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row>
    <row r="119" spans="1:81" x14ac:dyDescent="0.25">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row>
    <row r="120" spans="1:81" x14ac:dyDescent="0.25">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row>
    <row r="121" spans="1:81" x14ac:dyDescent="0.25">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row>
    <row r="122" spans="1:81" x14ac:dyDescent="0.25">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row>
    <row r="123" spans="1:81" x14ac:dyDescent="0.25">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row>
    <row r="124" spans="1:81" x14ac:dyDescent="0.25">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row>
    <row r="125" spans="1:81" x14ac:dyDescent="0.25">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row>
    <row r="126" spans="1:81" x14ac:dyDescent="0.25">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row>
    <row r="127" spans="1:81" x14ac:dyDescent="0.25">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row>
    <row r="128" spans="1:81" x14ac:dyDescent="0.25">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row>
    <row r="129" spans="1:81" x14ac:dyDescent="0.25">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row>
    <row r="130" spans="1:81" x14ac:dyDescent="0.25">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row>
    <row r="131" spans="1:81" x14ac:dyDescent="0.25">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row>
    <row r="132" spans="1:81" x14ac:dyDescent="0.25">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row>
    <row r="133" spans="1:81" x14ac:dyDescent="0.25">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row>
    <row r="134" spans="1:81" x14ac:dyDescent="0.25">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row>
    <row r="135" spans="1:81" x14ac:dyDescent="0.25">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row>
    <row r="136" spans="1:81" x14ac:dyDescent="0.25">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row>
    <row r="137" spans="1:81" x14ac:dyDescent="0.25">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row>
    <row r="138" spans="1:81" x14ac:dyDescent="0.25">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row>
    <row r="139" spans="1:81" x14ac:dyDescent="0.25">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row>
    <row r="140" spans="1:81" x14ac:dyDescent="0.25">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row>
    <row r="141" spans="1:81" x14ac:dyDescent="0.25">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row>
    <row r="142" spans="1:81" x14ac:dyDescent="0.25">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row>
    <row r="143" spans="1:81" x14ac:dyDescent="0.25">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row>
    <row r="144" spans="1:81" x14ac:dyDescent="0.25">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row>
    <row r="145" spans="1:81" x14ac:dyDescent="0.25">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row>
    <row r="146" spans="1:81" x14ac:dyDescent="0.25">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row>
    <row r="147" spans="1:81" x14ac:dyDescent="0.25">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row>
    <row r="148" spans="1:81" x14ac:dyDescent="0.25">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row>
    <row r="149" spans="1:81" x14ac:dyDescent="0.25">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row>
    <row r="150" spans="1:81" x14ac:dyDescent="0.25">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row>
    <row r="151" spans="1:81" x14ac:dyDescent="0.25">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row>
    <row r="152" spans="1:81" x14ac:dyDescent="0.25">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row>
    <row r="153" spans="1:81" x14ac:dyDescent="0.25">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row>
    <row r="154" spans="1:81" x14ac:dyDescent="0.25">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row>
    <row r="155" spans="1:81" x14ac:dyDescent="0.25">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row>
    <row r="156" spans="1:81" x14ac:dyDescent="0.25">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row>
    <row r="157" spans="1:81" x14ac:dyDescent="0.25">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row>
    <row r="158" spans="1:81" x14ac:dyDescent="0.25">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row>
    <row r="159" spans="1:81" x14ac:dyDescent="0.25">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row>
    <row r="160" spans="1:81" x14ac:dyDescent="0.25">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row>
    <row r="161" spans="1:81" x14ac:dyDescent="0.25">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row>
    <row r="162" spans="1:81" x14ac:dyDescent="0.25">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row>
    <row r="163" spans="1:81" x14ac:dyDescent="0.25">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row>
    <row r="164" spans="1:81" x14ac:dyDescent="0.25">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row>
    <row r="165" spans="1:81" x14ac:dyDescent="0.25">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row>
    <row r="166" spans="1:81" x14ac:dyDescent="0.25">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row>
    <row r="167" spans="1:81" x14ac:dyDescent="0.25">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row>
    <row r="168" spans="1:81" x14ac:dyDescent="0.25">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row>
    <row r="169" spans="1:81" x14ac:dyDescent="0.25">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row>
    <row r="170" spans="1:81" x14ac:dyDescent="0.25">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row>
    <row r="171" spans="1:81" x14ac:dyDescent="0.25">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row>
    <row r="172" spans="1:81" x14ac:dyDescent="0.25">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row>
    <row r="173" spans="1:81" x14ac:dyDescent="0.25">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row>
    <row r="174" spans="1:81" x14ac:dyDescent="0.25">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row>
    <row r="175" spans="1:81" x14ac:dyDescent="0.25">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row>
    <row r="176" spans="1:81" x14ac:dyDescent="0.25">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row>
    <row r="177" spans="1:81" x14ac:dyDescent="0.25">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row>
    <row r="178" spans="1:81" x14ac:dyDescent="0.25">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row>
    <row r="179" spans="1:81" x14ac:dyDescent="0.25">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row>
    <row r="180" spans="1:81" x14ac:dyDescent="0.25">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row>
    <row r="181" spans="1:81" x14ac:dyDescent="0.25">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row>
    <row r="182" spans="1:81" x14ac:dyDescent="0.25">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row>
    <row r="183" spans="1:81" x14ac:dyDescent="0.25">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row>
    <row r="184" spans="1:81" x14ac:dyDescent="0.25">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row>
    <row r="185" spans="1:81" x14ac:dyDescent="0.25">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row>
    <row r="186" spans="1:81" x14ac:dyDescent="0.25">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row>
    <row r="187" spans="1:81" x14ac:dyDescent="0.25">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row>
    <row r="188" spans="1:81" x14ac:dyDescent="0.25">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row>
    <row r="189" spans="1:81" x14ac:dyDescent="0.25">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row>
    <row r="190" spans="1:81" x14ac:dyDescent="0.25">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row>
    <row r="191" spans="1:81" x14ac:dyDescent="0.25">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row>
    <row r="192" spans="1:81" x14ac:dyDescent="0.25">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row>
    <row r="193" spans="1:81" x14ac:dyDescent="0.25">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row>
    <row r="194" spans="1:81" x14ac:dyDescent="0.25">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row>
    <row r="195" spans="1:81" x14ac:dyDescent="0.25">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row>
    <row r="196" spans="1:81" x14ac:dyDescent="0.25">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row>
    <row r="197" spans="1:81" x14ac:dyDescent="0.25">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row>
    <row r="198" spans="1:81" x14ac:dyDescent="0.25">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row>
    <row r="199" spans="1:81" x14ac:dyDescent="0.25">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row>
    <row r="200" spans="1:81" x14ac:dyDescent="0.25">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row>
    <row r="201" spans="1:81" x14ac:dyDescent="0.25">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row>
    <row r="202" spans="1:81" x14ac:dyDescent="0.25">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row>
    <row r="203" spans="1:81" x14ac:dyDescent="0.25">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row>
    <row r="204" spans="1:81" x14ac:dyDescent="0.25">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row>
    <row r="205" spans="1:81" x14ac:dyDescent="0.25">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row>
    <row r="206" spans="1:81" x14ac:dyDescent="0.25">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row>
    <row r="207" spans="1:81" x14ac:dyDescent="0.25">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row>
    <row r="208" spans="1:81" x14ac:dyDescent="0.25">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row>
    <row r="209" spans="1:81" x14ac:dyDescent="0.25">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row>
    <row r="210" spans="1:81" x14ac:dyDescent="0.25">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row>
    <row r="211" spans="1:81" x14ac:dyDescent="0.25">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row>
    <row r="212" spans="1:81" x14ac:dyDescent="0.25">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row>
    <row r="213" spans="1:81" x14ac:dyDescent="0.25">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row>
    <row r="214" spans="1:81" x14ac:dyDescent="0.25">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row>
    <row r="215" spans="1:81" x14ac:dyDescent="0.25">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row>
    <row r="216" spans="1:81" x14ac:dyDescent="0.25">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row>
    <row r="217" spans="1:81" x14ac:dyDescent="0.25">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row>
    <row r="218" spans="1:81" x14ac:dyDescent="0.25">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row>
    <row r="219" spans="1:81" x14ac:dyDescent="0.25">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row>
    <row r="220" spans="1:81" x14ac:dyDescent="0.25">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row>
    <row r="221" spans="1:81" x14ac:dyDescent="0.25">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row>
    <row r="222" spans="1:81" x14ac:dyDescent="0.25">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row>
    <row r="223" spans="1:81" x14ac:dyDescent="0.25">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row>
    <row r="224" spans="1:81" x14ac:dyDescent="0.25">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row>
    <row r="225" spans="1:81" x14ac:dyDescent="0.25">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row>
    <row r="226" spans="1:81" x14ac:dyDescent="0.25">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row>
    <row r="227" spans="1:81" x14ac:dyDescent="0.25">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row>
    <row r="228" spans="1:81" x14ac:dyDescent="0.25">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row>
    <row r="229" spans="1:81" x14ac:dyDescent="0.25">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row>
    <row r="230" spans="1:81" x14ac:dyDescent="0.25">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row>
    <row r="231" spans="1:81" x14ac:dyDescent="0.25">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row>
    <row r="232" spans="1:81" x14ac:dyDescent="0.25">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row>
    <row r="233" spans="1:81" x14ac:dyDescent="0.25">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row>
    <row r="234" spans="1:81" x14ac:dyDescent="0.25">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row>
    <row r="235" spans="1:81" x14ac:dyDescent="0.25">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row>
    <row r="236" spans="1:81" x14ac:dyDescent="0.25">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row>
    <row r="237" spans="1:81" x14ac:dyDescent="0.25">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row>
    <row r="238" spans="1:81" x14ac:dyDescent="0.25">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row>
    <row r="239" spans="1:81" x14ac:dyDescent="0.25">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row>
    <row r="240" spans="1:81" x14ac:dyDescent="0.25">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row>
    <row r="241" spans="1:81" x14ac:dyDescent="0.25">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row>
    <row r="242" spans="1:81" x14ac:dyDescent="0.25">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row>
    <row r="243" spans="1:81" x14ac:dyDescent="0.25">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row>
    <row r="244" spans="1:81" x14ac:dyDescent="0.25">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row>
    <row r="245" spans="1:81" x14ac:dyDescent="0.25">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row>
    <row r="246" spans="1:81" x14ac:dyDescent="0.25">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row>
    <row r="247" spans="1:81" x14ac:dyDescent="0.25">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row>
    <row r="248" spans="1:81" x14ac:dyDescent="0.25">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row>
    <row r="249" spans="1:81" x14ac:dyDescent="0.25">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row>
    <row r="250" spans="1:81" x14ac:dyDescent="0.25">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row>
    <row r="251" spans="1:81" x14ac:dyDescent="0.25">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row>
    <row r="252" spans="1:81" x14ac:dyDescent="0.25">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row>
    <row r="253" spans="1:81" x14ac:dyDescent="0.25">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row>
    <row r="254" spans="1:81" x14ac:dyDescent="0.25">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row>
    <row r="255" spans="1:81" x14ac:dyDescent="0.25">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row>
    <row r="256" spans="1:81" x14ac:dyDescent="0.25">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row>
    <row r="257" spans="1:81" x14ac:dyDescent="0.25">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row>
    <row r="258" spans="1:81" x14ac:dyDescent="0.25">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row>
    <row r="259" spans="1:81" x14ac:dyDescent="0.25">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row>
    <row r="260" spans="1:81" x14ac:dyDescent="0.25">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row>
    <row r="261" spans="1:81" x14ac:dyDescent="0.25">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row>
    <row r="262" spans="1:81" x14ac:dyDescent="0.25">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row>
    <row r="263" spans="1:81" x14ac:dyDescent="0.25">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row>
    <row r="264" spans="1:81" x14ac:dyDescent="0.25">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row>
    <row r="265" spans="1:81" x14ac:dyDescent="0.25">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row>
    <row r="266" spans="1:81" x14ac:dyDescent="0.25">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row>
    <row r="267" spans="1:81" x14ac:dyDescent="0.25">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row>
    <row r="268" spans="1:81" x14ac:dyDescent="0.25">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row>
    <row r="269" spans="1:81" x14ac:dyDescent="0.25">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row>
    <row r="270" spans="1:81" x14ac:dyDescent="0.25">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row>
    <row r="271" spans="1:81" x14ac:dyDescent="0.25">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row>
    <row r="272" spans="1:81" x14ac:dyDescent="0.25">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row>
    <row r="273" spans="1:81" x14ac:dyDescent="0.25">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row>
    <row r="274" spans="1:81" x14ac:dyDescent="0.25">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row>
    <row r="275" spans="1:81" x14ac:dyDescent="0.25">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row>
    <row r="276" spans="1:81" x14ac:dyDescent="0.25">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row>
    <row r="277" spans="1:81" x14ac:dyDescent="0.25">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row>
    <row r="278" spans="1:81" x14ac:dyDescent="0.25">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row>
    <row r="279" spans="1:81" x14ac:dyDescent="0.25">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row>
    <row r="280" spans="1:81" x14ac:dyDescent="0.25">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row>
    <row r="281" spans="1:81" x14ac:dyDescent="0.25">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row>
    <row r="282" spans="1:81" x14ac:dyDescent="0.25">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row>
    <row r="283" spans="1:81" x14ac:dyDescent="0.25">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row>
    <row r="284" spans="1:81" x14ac:dyDescent="0.25">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row>
    <row r="285" spans="1:81" x14ac:dyDescent="0.25">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row>
    <row r="286" spans="1:81" x14ac:dyDescent="0.25">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row>
    <row r="287" spans="1:81" x14ac:dyDescent="0.25">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row>
    <row r="288" spans="1:81" x14ac:dyDescent="0.25">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row>
    <row r="289" spans="1:81" x14ac:dyDescent="0.25">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row>
    <row r="290" spans="1:81" x14ac:dyDescent="0.25">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row>
    <row r="291" spans="1:81" x14ac:dyDescent="0.25">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row>
    <row r="292" spans="1:81" x14ac:dyDescent="0.25">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row>
    <row r="293" spans="1:81" x14ac:dyDescent="0.25">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row>
    <row r="294" spans="1:81" x14ac:dyDescent="0.25">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row>
    <row r="295" spans="1:81" x14ac:dyDescent="0.25">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row>
    <row r="296" spans="1:81" x14ac:dyDescent="0.25">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row>
    <row r="297" spans="1:81" x14ac:dyDescent="0.25">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row>
    <row r="298" spans="1:81" x14ac:dyDescent="0.25">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row>
    <row r="299" spans="1:81" x14ac:dyDescent="0.25">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row>
    <row r="300" spans="1:81" x14ac:dyDescent="0.25">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row>
    <row r="301" spans="1:81" x14ac:dyDescent="0.25">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row>
    <row r="302" spans="1:81" x14ac:dyDescent="0.25">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row>
    <row r="303" spans="1:81" x14ac:dyDescent="0.25">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row>
    <row r="304" spans="1:81" x14ac:dyDescent="0.25">
      <c r="A304"/>
      <c r="B304"/>
      <c r="C304"/>
      <c r="D304"/>
      <c r="E304"/>
      <c r="F304"/>
      <c r="G304"/>
      <c r="H304"/>
      <c r="I304"/>
      <c r="J304"/>
      <c r="K304"/>
      <c r="L304"/>
      <c r="M304"/>
      <c r="N304"/>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row>
    <row r="305" spans="1:81" x14ac:dyDescent="0.25">
      <c r="A305"/>
      <c r="B305"/>
      <c r="C305"/>
      <c r="D305"/>
      <c r="E305"/>
      <c r="F305"/>
      <c r="G305"/>
      <c r="H305"/>
      <c r="I305"/>
      <c r="J305"/>
      <c r="K305"/>
      <c r="L305"/>
      <c r="M305"/>
      <c r="N305"/>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row>
    <row r="306" spans="1:81" x14ac:dyDescent="0.25">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row>
    <row r="307" spans="1:81" x14ac:dyDescent="0.25">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row>
    <row r="308" spans="1:81" x14ac:dyDescent="0.25">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row>
    <row r="309" spans="1:81" x14ac:dyDescent="0.25">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row>
    <row r="310" spans="1:81" x14ac:dyDescent="0.25">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row>
    <row r="311" spans="1:81" x14ac:dyDescent="0.25">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row>
    <row r="312" spans="1:81" x14ac:dyDescent="0.25">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row>
    <row r="313" spans="1:81" x14ac:dyDescent="0.25">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row>
    <row r="314" spans="1:81" x14ac:dyDescent="0.25">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row>
    <row r="315" spans="1:81" x14ac:dyDescent="0.25">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row>
    <row r="316" spans="1:81" x14ac:dyDescent="0.25">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row>
    <row r="317" spans="1:81" x14ac:dyDescent="0.25">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row>
    <row r="318" spans="1:81" x14ac:dyDescent="0.25">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row>
    <row r="319" spans="1:81" x14ac:dyDescent="0.25">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c r="BA319"/>
      <c r="BB319"/>
      <c r="BC319"/>
      <c r="BD319"/>
      <c r="BE319"/>
      <c r="BF319"/>
      <c r="BG319"/>
      <c r="BH319"/>
      <c r="BI319"/>
      <c r="BJ319"/>
      <c r="BK319"/>
      <c r="BL319"/>
      <c r="BM319"/>
      <c r="BN319"/>
      <c r="BO319"/>
      <c r="BP319"/>
      <c r="BQ319"/>
      <c r="BR319"/>
      <c r="BS319"/>
      <c r="BT319"/>
      <c r="BU319"/>
      <c r="BV319"/>
      <c r="BW319"/>
      <c r="BX319"/>
      <c r="BY319"/>
      <c r="BZ319"/>
      <c r="CA319"/>
      <c r="CB319"/>
      <c r="CC319"/>
    </row>
    <row r="320" spans="1:81" x14ac:dyDescent="0.25">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c r="BA320"/>
      <c r="BB320"/>
      <c r="BC320"/>
      <c r="BD320"/>
      <c r="BE320"/>
      <c r="BF320"/>
      <c r="BG320"/>
      <c r="BH320"/>
      <c r="BI320"/>
      <c r="BJ320"/>
      <c r="BK320"/>
      <c r="BL320"/>
      <c r="BM320"/>
      <c r="BN320"/>
      <c r="BO320"/>
      <c r="BP320"/>
      <c r="BQ320"/>
      <c r="BR320"/>
      <c r="BS320"/>
      <c r="BT320"/>
      <c r="BU320"/>
      <c r="BV320"/>
      <c r="BW320"/>
      <c r="BX320"/>
      <c r="BY320"/>
      <c r="BZ320"/>
      <c r="CA320"/>
      <c r="CB320"/>
      <c r="CC320"/>
    </row>
    <row r="321" spans="1:81" x14ac:dyDescent="0.25">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c r="BA321"/>
      <c r="BB321"/>
      <c r="BC321"/>
      <c r="BD321"/>
      <c r="BE321"/>
      <c r="BF321"/>
      <c r="BG321"/>
      <c r="BH321"/>
      <c r="BI321"/>
      <c r="BJ321"/>
      <c r="BK321"/>
      <c r="BL321"/>
      <c r="BM321"/>
      <c r="BN321"/>
      <c r="BO321"/>
      <c r="BP321"/>
      <c r="BQ321"/>
      <c r="BR321"/>
      <c r="BS321"/>
      <c r="BT321"/>
      <c r="BU321"/>
      <c r="BV321"/>
      <c r="BW321"/>
      <c r="BX321"/>
      <c r="BY321"/>
      <c r="BZ321"/>
      <c r="CA321"/>
      <c r="CB321"/>
      <c r="CC321"/>
    </row>
    <row r="322" spans="1:81" x14ac:dyDescent="0.25">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c r="BA322"/>
      <c r="BB322"/>
      <c r="BC322"/>
      <c r="BD322"/>
      <c r="BE322"/>
      <c r="BF322"/>
      <c r="BG322"/>
      <c r="BH322"/>
      <c r="BI322"/>
      <c r="BJ322"/>
      <c r="BK322"/>
      <c r="BL322"/>
      <c r="BM322"/>
      <c r="BN322"/>
      <c r="BO322"/>
      <c r="BP322"/>
      <c r="BQ322"/>
      <c r="BR322"/>
      <c r="BS322"/>
      <c r="BT322"/>
      <c r="BU322"/>
      <c r="BV322"/>
      <c r="BW322"/>
      <c r="BX322"/>
      <c r="BY322"/>
      <c r="BZ322"/>
      <c r="CA322"/>
      <c r="CB322"/>
      <c r="CC322"/>
    </row>
    <row r="323" spans="1:81" x14ac:dyDescent="0.25">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c r="BA323"/>
      <c r="BB323"/>
      <c r="BC323"/>
      <c r="BD323"/>
      <c r="BE323"/>
      <c r="BF323"/>
      <c r="BG323"/>
      <c r="BH323"/>
      <c r="BI323"/>
      <c r="BJ323"/>
      <c r="BK323"/>
      <c r="BL323"/>
      <c r="BM323"/>
      <c r="BN323"/>
      <c r="BO323"/>
      <c r="BP323"/>
      <c r="BQ323"/>
      <c r="BR323"/>
      <c r="BS323"/>
      <c r="BT323"/>
      <c r="BU323"/>
      <c r="BV323"/>
      <c r="BW323"/>
      <c r="BX323"/>
      <c r="BY323"/>
      <c r="BZ323"/>
      <c r="CA323"/>
      <c r="CB323"/>
      <c r="CC323"/>
    </row>
    <row r="324" spans="1:81" x14ac:dyDescent="0.25">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c r="BA324"/>
      <c r="BB324"/>
      <c r="BC324"/>
      <c r="BD324"/>
      <c r="BE324"/>
      <c r="BF324"/>
      <c r="BG324"/>
      <c r="BH324"/>
      <c r="BI324"/>
      <c r="BJ324"/>
      <c r="BK324"/>
      <c r="BL324"/>
      <c r="BM324"/>
      <c r="BN324"/>
      <c r="BO324"/>
      <c r="BP324"/>
      <c r="BQ324"/>
      <c r="BR324"/>
      <c r="BS324"/>
      <c r="BT324"/>
      <c r="BU324"/>
      <c r="BV324"/>
      <c r="BW324"/>
      <c r="BX324"/>
      <c r="BY324"/>
      <c r="BZ324"/>
      <c r="CA324"/>
      <c r="CB324"/>
      <c r="CC324"/>
    </row>
    <row r="325" spans="1:81" x14ac:dyDescent="0.25">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c r="BA325"/>
      <c r="BB325"/>
      <c r="BC325"/>
      <c r="BD325"/>
      <c r="BE325"/>
      <c r="BF325"/>
      <c r="BG325"/>
      <c r="BH325"/>
      <c r="BI325"/>
      <c r="BJ325"/>
      <c r="BK325"/>
      <c r="BL325"/>
      <c r="BM325"/>
      <c r="BN325"/>
      <c r="BO325"/>
      <c r="BP325"/>
      <c r="BQ325"/>
      <c r="BR325"/>
      <c r="BS325"/>
      <c r="BT325"/>
      <c r="BU325"/>
      <c r="BV325"/>
      <c r="BW325"/>
      <c r="BX325"/>
      <c r="BY325"/>
      <c r="BZ325"/>
      <c r="CA325"/>
      <c r="CB325"/>
      <c r="CC325"/>
    </row>
    <row r="326" spans="1:81" x14ac:dyDescent="0.25">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row>
    <row r="327" spans="1:81" x14ac:dyDescent="0.25">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row>
    <row r="328" spans="1:81" x14ac:dyDescent="0.25">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row>
    <row r="329" spans="1:81" x14ac:dyDescent="0.25">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row>
    <row r="330" spans="1:81" x14ac:dyDescent="0.25">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row>
    <row r="331" spans="1:81" x14ac:dyDescent="0.25">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c r="BA331"/>
      <c r="BB331"/>
      <c r="BC331"/>
      <c r="BD331"/>
      <c r="BE331"/>
      <c r="BF331"/>
      <c r="BG331"/>
      <c r="BH331"/>
      <c r="BI331"/>
      <c r="BJ331"/>
      <c r="BK331"/>
      <c r="BL331"/>
      <c r="BM331"/>
      <c r="BN331"/>
      <c r="BO331"/>
      <c r="BP331"/>
      <c r="BQ331"/>
      <c r="BR331"/>
      <c r="BS331"/>
      <c r="BT331"/>
      <c r="BU331"/>
      <c r="BV331"/>
      <c r="BW331"/>
      <c r="BX331"/>
      <c r="BY331"/>
      <c r="BZ331"/>
      <c r="CA331"/>
      <c r="CB331"/>
      <c r="CC331"/>
    </row>
    <row r="332" spans="1:81" x14ac:dyDescent="0.25">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c r="BA332"/>
      <c r="BB332"/>
      <c r="BC332"/>
      <c r="BD332"/>
      <c r="BE332"/>
      <c r="BF332"/>
      <c r="BG332"/>
      <c r="BH332"/>
      <c r="BI332"/>
      <c r="BJ332"/>
      <c r="BK332"/>
      <c r="BL332"/>
      <c r="BM332"/>
      <c r="BN332"/>
      <c r="BO332"/>
      <c r="BP332"/>
      <c r="BQ332"/>
      <c r="BR332"/>
      <c r="BS332"/>
      <c r="BT332"/>
      <c r="BU332"/>
      <c r="BV332"/>
      <c r="BW332"/>
      <c r="BX332"/>
      <c r="BY332"/>
      <c r="BZ332"/>
      <c r="CA332"/>
      <c r="CB332"/>
      <c r="CC332"/>
    </row>
    <row r="333" spans="1:81" x14ac:dyDescent="0.25">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c r="AY333"/>
      <c r="AZ333"/>
      <c r="BA333"/>
      <c r="BB333"/>
      <c r="BC333"/>
      <c r="BD333"/>
      <c r="BE333"/>
      <c r="BF333"/>
      <c r="BG333"/>
      <c r="BH333"/>
      <c r="BI333"/>
      <c r="BJ333"/>
      <c r="BK333"/>
      <c r="BL333"/>
      <c r="BM333"/>
      <c r="BN333"/>
      <c r="BO333"/>
      <c r="BP333"/>
      <c r="BQ333"/>
      <c r="BR333"/>
      <c r="BS333"/>
      <c r="BT333"/>
      <c r="BU333"/>
      <c r="BV333"/>
      <c r="BW333"/>
      <c r="BX333"/>
      <c r="BY333"/>
      <c r="BZ333"/>
      <c r="CA333"/>
      <c r="CB333"/>
      <c r="CC333"/>
    </row>
    <row r="334" spans="1:81" x14ac:dyDescent="0.25">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c r="AX334"/>
      <c r="AY334"/>
      <c r="AZ334"/>
      <c r="BA334"/>
      <c r="BB334"/>
      <c r="BC334"/>
      <c r="BD334"/>
      <c r="BE334"/>
      <c r="BF334"/>
      <c r="BG334"/>
      <c r="BH334"/>
      <c r="BI334"/>
      <c r="BJ334"/>
      <c r="BK334"/>
      <c r="BL334"/>
      <c r="BM334"/>
      <c r="BN334"/>
      <c r="BO334"/>
      <c r="BP334"/>
      <c r="BQ334"/>
      <c r="BR334"/>
      <c r="BS334"/>
      <c r="BT334"/>
      <c r="BU334"/>
      <c r="BV334"/>
      <c r="BW334"/>
      <c r="BX334"/>
      <c r="BY334"/>
      <c r="BZ334"/>
      <c r="CA334"/>
      <c r="CB334"/>
      <c r="CC334"/>
    </row>
    <row r="335" spans="1:81" x14ac:dyDescent="0.25">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c r="BA335"/>
      <c r="BB335"/>
      <c r="BC335"/>
      <c r="BD335"/>
      <c r="BE335"/>
      <c r="BF335"/>
      <c r="BG335"/>
      <c r="BH335"/>
      <c r="BI335"/>
      <c r="BJ335"/>
      <c r="BK335"/>
      <c r="BL335"/>
      <c r="BM335"/>
      <c r="BN335"/>
      <c r="BO335"/>
      <c r="BP335"/>
      <c r="BQ335"/>
      <c r="BR335"/>
      <c r="BS335"/>
      <c r="BT335"/>
      <c r="BU335"/>
      <c r="BV335"/>
      <c r="BW335"/>
      <c r="BX335"/>
      <c r="BY335"/>
      <c r="BZ335"/>
      <c r="CA335"/>
      <c r="CB335"/>
      <c r="CC335"/>
    </row>
    <row r="336" spans="1:81" x14ac:dyDescent="0.25">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c r="BA336"/>
      <c r="BB336"/>
      <c r="BC336"/>
      <c r="BD336"/>
      <c r="BE336"/>
      <c r="BF336"/>
      <c r="BG336"/>
      <c r="BH336"/>
      <c r="BI336"/>
      <c r="BJ336"/>
      <c r="BK336"/>
      <c r="BL336"/>
      <c r="BM336"/>
      <c r="BN336"/>
      <c r="BO336"/>
      <c r="BP336"/>
      <c r="BQ336"/>
      <c r="BR336"/>
      <c r="BS336"/>
      <c r="BT336"/>
      <c r="BU336"/>
      <c r="BV336"/>
      <c r="BW336"/>
      <c r="BX336"/>
      <c r="BY336"/>
      <c r="BZ336"/>
      <c r="CA336"/>
      <c r="CB336"/>
      <c r="CC336"/>
    </row>
    <row r="337" spans="1:81" x14ac:dyDescent="0.25">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c r="BA337"/>
      <c r="BB337"/>
      <c r="BC337"/>
      <c r="BD337"/>
      <c r="BE337"/>
      <c r="BF337"/>
      <c r="BG337"/>
      <c r="BH337"/>
      <c r="BI337"/>
      <c r="BJ337"/>
      <c r="BK337"/>
      <c r="BL337"/>
      <c r="BM337"/>
      <c r="BN337"/>
      <c r="BO337"/>
      <c r="BP337"/>
      <c r="BQ337"/>
      <c r="BR337"/>
      <c r="BS337"/>
      <c r="BT337"/>
      <c r="BU337"/>
      <c r="BV337"/>
      <c r="BW337"/>
      <c r="BX337"/>
      <c r="BY337"/>
      <c r="BZ337"/>
      <c r="CA337"/>
      <c r="CB337"/>
      <c r="CC337"/>
    </row>
    <row r="338" spans="1:81" x14ac:dyDescent="0.25">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c r="BA338"/>
      <c r="BB338"/>
      <c r="BC338"/>
      <c r="BD338"/>
      <c r="BE338"/>
      <c r="BF338"/>
      <c r="BG338"/>
      <c r="BH338"/>
      <c r="BI338"/>
      <c r="BJ338"/>
      <c r="BK338"/>
      <c r="BL338"/>
      <c r="BM338"/>
      <c r="BN338"/>
      <c r="BO338"/>
      <c r="BP338"/>
      <c r="BQ338"/>
      <c r="BR338"/>
      <c r="BS338"/>
      <c r="BT338"/>
      <c r="BU338"/>
      <c r="BV338"/>
      <c r="BW338"/>
      <c r="BX338"/>
      <c r="BY338"/>
      <c r="BZ338"/>
      <c r="CA338"/>
      <c r="CB338"/>
      <c r="CC338"/>
    </row>
    <row r="339" spans="1:81" x14ac:dyDescent="0.25">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c r="BA339"/>
      <c r="BB339"/>
      <c r="BC339"/>
      <c r="BD339"/>
      <c r="BE339"/>
      <c r="BF339"/>
      <c r="BG339"/>
      <c r="BH339"/>
      <c r="BI339"/>
      <c r="BJ339"/>
      <c r="BK339"/>
      <c r="BL339"/>
      <c r="BM339"/>
      <c r="BN339"/>
      <c r="BO339"/>
      <c r="BP339"/>
      <c r="BQ339"/>
      <c r="BR339"/>
      <c r="BS339"/>
      <c r="BT339"/>
      <c r="BU339"/>
      <c r="BV339"/>
      <c r="BW339"/>
      <c r="BX339"/>
      <c r="BY339"/>
      <c r="BZ339"/>
      <c r="CA339"/>
      <c r="CB339"/>
      <c r="CC339"/>
    </row>
    <row r="340" spans="1:81" x14ac:dyDescent="0.25">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c r="BA340"/>
      <c r="BB340"/>
      <c r="BC340"/>
      <c r="BD340"/>
      <c r="BE340"/>
      <c r="BF340"/>
      <c r="BG340"/>
      <c r="BH340"/>
      <c r="BI340"/>
      <c r="BJ340"/>
      <c r="BK340"/>
      <c r="BL340"/>
      <c r="BM340"/>
      <c r="BN340"/>
      <c r="BO340"/>
      <c r="BP340"/>
      <c r="BQ340"/>
      <c r="BR340"/>
      <c r="BS340"/>
      <c r="BT340"/>
      <c r="BU340"/>
      <c r="BV340"/>
      <c r="BW340"/>
      <c r="BX340"/>
      <c r="BY340"/>
      <c r="BZ340"/>
      <c r="CA340"/>
      <c r="CB340"/>
      <c r="CC340"/>
    </row>
    <row r="341" spans="1:81" x14ac:dyDescent="0.25">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c r="BA341"/>
      <c r="BB341"/>
      <c r="BC341"/>
      <c r="BD341"/>
      <c r="BE341"/>
      <c r="BF341"/>
      <c r="BG341"/>
      <c r="BH341"/>
      <c r="BI341"/>
      <c r="BJ341"/>
      <c r="BK341"/>
      <c r="BL341"/>
      <c r="BM341"/>
      <c r="BN341"/>
      <c r="BO341"/>
      <c r="BP341"/>
      <c r="BQ341"/>
      <c r="BR341"/>
      <c r="BS341"/>
      <c r="BT341"/>
      <c r="BU341"/>
      <c r="BV341"/>
      <c r="BW341"/>
      <c r="BX341"/>
      <c r="BY341"/>
      <c r="BZ341"/>
      <c r="CA341"/>
      <c r="CB341"/>
      <c r="CC341"/>
    </row>
    <row r="342" spans="1:81" x14ac:dyDescent="0.25">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c r="BA342"/>
      <c r="BB342"/>
      <c r="BC342"/>
      <c r="BD342"/>
      <c r="BE342"/>
      <c r="BF342"/>
      <c r="BG342"/>
      <c r="BH342"/>
      <c r="BI342"/>
      <c r="BJ342"/>
      <c r="BK342"/>
      <c r="BL342"/>
      <c r="BM342"/>
      <c r="BN342"/>
      <c r="BO342"/>
      <c r="BP342"/>
      <c r="BQ342"/>
      <c r="BR342"/>
      <c r="BS342"/>
      <c r="BT342"/>
      <c r="BU342"/>
      <c r="BV342"/>
      <c r="BW342"/>
      <c r="BX342"/>
      <c r="BY342"/>
      <c r="BZ342"/>
      <c r="CA342"/>
      <c r="CB342"/>
      <c r="CC342"/>
    </row>
    <row r="343" spans="1:81" x14ac:dyDescent="0.25">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c r="BA343"/>
      <c r="BB343"/>
      <c r="BC343"/>
      <c r="BD343"/>
      <c r="BE343"/>
      <c r="BF343"/>
      <c r="BG343"/>
      <c r="BH343"/>
      <c r="BI343"/>
      <c r="BJ343"/>
      <c r="BK343"/>
      <c r="BL343"/>
      <c r="BM343"/>
      <c r="BN343"/>
      <c r="BO343"/>
      <c r="BP343"/>
      <c r="BQ343"/>
      <c r="BR343"/>
      <c r="BS343"/>
      <c r="BT343"/>
      <c r="BU343"/>
      <c r="BV343"/>
      <c r="BW343"/>
      <c r="BX343"/>
      <c r="BY343"/>
      <c r="BZ343"/>
      <c r="CA343"/>
      <c r="CB343"/>
      <c r="CC343"/>
    </row>
    <row r="344" spans="1:81" x14ac:dyDescent="0.25">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c r="BA344"/>
      <c r="BB344"/>
      <c r="BC344"/>
      <c r="BD344"/>
      <c r="BE344"/>
      <c r="BF344"/>
      <c r="BG344"/>
      <c r="BH344"/>
      <c r="BI344"/>
      <c r="BJ344"/>
      <c r="BK344"/>
      <c r="BL344"/>
      <c r="BM344"/>
      <c r="BN344"/>
      <c r="BO344"/>
      <c r="BP344"/>
      <c r="BQ344"/>
      <c r="BR344"/>
      <c r="BS344"/>
      <c r="BT344"/>
      <c r="BU344"/>
      <c r="BV344"/>
      <c r="BW344"/>
      <c r="BX344"/>
      <c r="BY344"/>
      <c r="BZ344"/>
      <c r="CA344"/>
      <c r="CB344"/>
      <c r="CC344"/>
    </row>
    <row r="345" spans="1:81" x14ac:dyDescent="0.25">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c r="BA345"/>
      <c r="BB345"/>
      <c r="BC345"/>
      <c r="BD345"/>
      <c r="BE345"/>
      <c r="BF345"/>
      <c r="BG345"/>
      <c r="BH345"/>
      <c r="BI345"/>
      <c r="BJ345"/>
      <c r="BK345"/>
      <c r="BL345"/>
      <c r="BM345"/>
      <c r="BN345"/>
      <c r="BO345"/>
      <c r="BP345"/>
      <c r="BQ345"/>
      <c r="BR345"/>
      <c r="BS345"/>
      <c r="BT345"/>
      <c r="BU345"/>
      <c r="BV345"/>
      <c r="BW345"/>
      <c r="BX345"/>
      <c r="BY345"/>
      <c r="BZ345"/>
      <c r="CA345"/>
      <c r="CB345"/>
      <c r="CC345"/>
    </row>
    <row r="346" spans="1:81" x14ac:dyDescent="0.25">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c r="BA346"/>
      <c r="BB346"/>
      <c r="BC346"/>
      <c r="BD346"/>
      <c r="BE346"/>
      <c r="BF346"/>
      <c r="BG346"/>
      <c r="BH346"/>
      <c r="BI346"/>
      <c r="BJ346"/>
      <c r="BK346"/>
      <c r="BL346"/>
      <c r="BM346"/>
      <c r="BN346"/>
      <c r="BO346"/>
      <c r="BP346"/>
      <c r="BQ346"/>
      <c r="BR346"/>
      <c r="BS346"/>
      <c r="BT346"/>
      <c r="BU346"/>
      <c r="BV346"/>
      <c r="BW346"/>
      <c r="BX346"/>
      <c r="BY346"/>
      <c r="BZ346"/>
      <c r="CA346"/>
      <c r="CB346"/>
      <c r="CC346"/>
    </row>
    <row r="347" spans="1:81" x14ac:dyDescent="0.25">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c r="BA347"/>
      <c r="BB347"/>
      <c r="BC347"/>
      <c r="BD347"/>
      <c r="BE347"/>
      <c r="BF347"/>
      <c r="BG347"/>
      <c r="BH347"/>
      <c r="BI347"/>
      <c r="BJ347"/>
      <c r="BK347"/>
      <c r="BL347"/>
      <c r="BM347"/>
      <c r="BN347"/>
      <c r="BO347"/>
      <c r="BP347"/>
      <c r="BQ347"/>
      <c r="BR347"/>
      <c r="BS347"/>
      <c r="BT347"/>
      <c r="BU347"/>
      <c r="BV347"/>
      <c r="BW347"/>
      <c r="BX347"/>
      <c r="BY347"/>
      <c r="BZ347"/>
      <c r="CA347"/>
      <c r="CB347"/>
      <c r="CC347"/>
    </row>
    <row r="348" spans="1:81" x14ac:dyDescent="0.25">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c r="BA348"/>
      <c r="BB348"/>
      <c r="BC348"/>
      <c r="BD348"/>
      <c r="BE348"/>
      <c r="BF348"/>
      <c r="BG348"/>
      <c r="BH348"/>
      <c r="BI348"/>
      <c r="BJ348"/>
      <c r="BK348"/>
      <c r="BL348"/>
      <c r="BM348"/>
      <c r="BN348"/>
      <c r="BO348"/>
      <c r="BP348"/>
      <c r="BQ348"/>
      <c r="BR348"/>
      <c r="BS348"/>
      <c r="BT348"/>
      <c r="BU348"/>
      <c r="BV348"/>
      <c r="BW348"/>
      <c r="BX348"/>
      <c r="BY348"/>
      <c r="BZ348"/>
      <c r="CA348"/>
      <c r="CB348"/>
      <c r="CC348"/>
    </row>
    <row r="349" spans="1:81" x14ac:dyDescent="0.25">
      <c r="A349"/>
      <c r="B349"/>
      <c r="C349"/>
      <c r="D349"/>
      <c r="E349"/>
      <c r="F349"/>
      <c r="G349"/>
      <c r="H349"/>
      <c r="I349"/>
      <c r="J349"/>
      <c r="K349"/>
      <c r="L349"/>
      <c r="M349"/>
      <c r="N349"/>
      <c r="O349"/>
      <c r="P349"/>
      <c r="Q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c r="BA349"/>
      <c r="BB349"/>
      <c r="BC349"/>
      <c r="BD349"/>
      <c r="BE349"/>
      <c r="BF349"/>
      <c r="BG349"/>
      <c r="BH349"/>
      <c r="BI349"/>
      <c r="BJ349"/>
      <c r="BK349"/>
      <c r="BL349"/>
      <c r="BM349"/>
      <c r="BN349"/>
      <c r="BO349"/>
      <c r="BP349"/>
      <c r="BQ349"/>
      <c r="BR349"/>
      <c r="BS349"/>
      <c r="BT349"/>
      <c r="BU349"/>
      <c r="BV349"/>
      <c r="BW349"/>
      <c r="BX349"/>
      <c r="BY349"/>
      <c r="BZ349"/>
      <c r="CA349"/>
      <c r="CB349"/>
      <c r="CC349"/>
    </row>
    <row r="350" spans="1:81" x14ac:dyDescent="0.25">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c r="BA350"/>
      <c r="BB350"/>
      <c r="BC350"/>
      <c r="BD350"/>
      <c r="BE350"/>
      <c r="BF350"/>
      <c r="BG350"/>
      <c r="BH350"/>
      <c r="BI350"/>
      <c r="BJ350"/>
      <c r="BK350"/>
      <c r="BL350"/>
      <c r="BM350"/>
      <c r="BN350"/>
      <c r="BO350"/>
      <c r="BP350"/>
      <c r="BQ350"/>
      <c r="BR350"/>
      <c r="BS350"/>
      <c r="BT350"/>
      <c r="BU350"/>
      <c r="BV350"/>
      <c r="BW350"/>
      <c r="BX350"/>
      <c r="BY350"/>
      <c r="BZ350"/>
      <c r="CA350"/>
      <c r="CB350"/>
      <c r="CC350"/>
    </row>
    <row r="351" spans="1:81" x14ac:dyDescent="0.25">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c r="BA351"/>
      <c r="BB351"/>
      <c r="BC351"/>
      <c r="BD351"/>
      <c r="BE351"/>
      <c r="BF351"/>
      <c r="BG351"/>
      <c r="BH351"/>
      <c r="BI351"/>
      <c r="BJ351"/>
      <c r="BK351"/>
      <c r="BL351"/>
      <c r="BM351"/>
      <c r="BN351"/>
      <c r="BO351"/>
      <c r="BP351"/>
      <c r="BQ351"/>
      <c r="BR351"/>
      <c r="BS351"/>
      <c r="BT351"/>
      <c r="BU351"/>
      <c r="BV351"/>
      <c r="BW351"/>
      <c r="BX351"/>
      <c r="BY351"/>
      <c r="BZ351"/>
      <c r="CA351"/>
      <c r="CB351"/>
      <c r="CC351"/>
    </row>
    <row r="352" spans="1:81" x14ac:dyDescent="0.25">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c r="BA352"/>
      <c r="BB352"/>
      <c r="BC352"/>
      <c r="BD352"/>
      <c r="BE352"/>
      <c r="BF352"/>
      <c r="BG352"/>
      <c r="BH352"/>
      <c r="BI352"/>
      <c r="BJ352"/>
      <c r="BK352"/>
      <c r="BL352"/>
      <c r="BM352"/>
      <c r="BN352"/>
      <c r="BO352"/>
      <c r="BP352"/>
      <c r="BQ352"/>
      <c r="BR352"/>
      <c r="BS352"/>
      <c r="BT352"/>
      <c r="BU352"/>
      <c r="BV352"/>
      <c r="BW352"/>
      <c r="BX352"/>
      <c r="BY352"/>
      <c r="BZ352"/>
      <c r="CA352"/>
      <c r="CB352"/>
      <c r="CC352"/>
    </row>
    <row r="353" spans="1:81" x14ac:dyDescent="0.25">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c r="BA353"/>
      <c r="BB353"/>
      <c r="BC353"/>
      <c r="BD353"/>
      <c r="BE353"/>
      <c r="BF353"/>
      <c r="BG353"/>
      <c r="BH353"/>
      <c r="BI353"/>
      <c r="BJ353"/>
      <c r="BK353"/>
      <c r="BL353"/>
      <c r="BM353"/>
      <c r="BN353"/>
      <c r="BO353"/>
      <c r="BP353"/>
      <c r="BQ353"/>
      <c r="BR353"/>
      <c r="BS353"/>
      <c r="BT353"/>
      <c r="BU353"/>
      <c r="BV353"/>
      <c r="BW353"/>
      <c r="BX353"/>
      <c r="BY353"/>
      <c r="BZ353"/>
      <c r="CA353"/>
      <c r="CB353"/>
      <c r="CC353"/>
    </row>
    <row r="354" spans="1:81" x14ac:dyDescent="0.25">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c r="AX354"/>
      <c r="AY354"/>
      <c r="AZ354"/>
      <c r="BA354"/>
      <c r="BB354"/>
      <c r="BC354"/>
      <c r="BD354"/>
      <c r="BE354"/>
      <c r="BF354"/>
      <c r="BG354"/>
      <c r="BH354"/>
      <c r="BI354"/>
      <c r="BJ354"/>
      <c r="BK354"/>
      <c r="BL354"/>
      <c r="BM354"/>
      <c r="BN354"/>
      <c r="BO354"/>
      <c r="BP354"/>
      <c r="BQ354"/>
      <c r="BR354"/>
      <c r="BS354"/>
      <c r="BT354"/>
      <c r="BU354"/>
      <c r="BV354"/>
      <c r="BW354"/>
      <c r="BX354"/>
      <c r="BY354"/>
      <c r="BZ354"/>
      <c r="CA354"/>
      <c r="CB354"/>
      <c r="CC354"/>
    </row>
    <row r="355" spans="1:81" x14ac:dyDescent="0.25">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c r="AX355"/>
      <c r="AY355"/>
      <c r="AZ355"/>
      <c r="BA355"/>
      <c r="BB355"/>
      <c r="BC355"/>
      <c r="BD355"/>
      <c r="BE355"/>
      <c r="BF355"/>
      <c r="BG355"/>
      <c r="BH355"/>
      <c r="BI355"/>
      <c r="BJ355"/>
      <c r="BK355"/>
      <c r="BL355"/>
      <c r="BM355"/>
      <c r="BN355"/>
      <c r="BO355"/>
      <c r="BP355"/>
      <c r="BQ355"/>
      <c r="BR355"/>
      <c r="BS355"/>
      <c r="BT355"/>
      <c r="BU355"/>
      <c r="BV355"/>
      <c r="BW355"/>
      <c r="BX355"/>
      <c r="BY355"/>
      <c r="BZ355"/>
      <c r="CA355"/>
      <c r="CB355"/>
      <c r="CC355"/>
    </row>
    <row r="356" spans="1:81" x14ac:dyDescent="0.25">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c r="AI356"/>
      <c r="AJ356"/>
      <c r="AK356"/>
      <c r="AL356"/>
      <c r="AM356"/>
      <c r="AN356"/>
      <c r="AO356"/>
      <c r="AP356"/>
      <c r="AQ356"/>
      <c r="AR356"/>
      <c r="AS356"/>
      <c r="AT356"/>
      <c r="AU356"/>
      <c r="AV356"/>
      <c r="AW356"/>
      <c r="AX356"/>
      <c r="AY356"/>
      <c r="AZ356"/>
      <c r="BA356"/>
      <c r="BB356"/>
      <c r="BC356"/>
      <c r="BD356"/>
      <c r="BE356"/>
      <c r="BF356"/>
      <c r="BG356"/>
      <c r="BH356"/>
      <c r="BI356"/>
      <c r="BJ356"/>
      <c r="BK356"/>
      <c r="BL356"/>
      <c r="BM356"/>
      <c r="BN356"/>
      <c r="BO356"/>
      <c r="BP356"/>
      <c r="BQ356"/>
      <c r="BR356"/>
      <c r="BS356"/>
      <c r="BT356"/>
      <c r="BU356"/>
      <c r="BV356"/>
      <c r="BW356"/>
      <c r="BX356"/>
      <c r="BY356"/>
      <c r="BZ356"/>
      <c r="CA356"/>
      <c r="CB356"/>
      <c r="CC356"/>
    </row>
    <row r="357" spans="1:81" x14ac:dyDescent="0.25">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row>
    <row r="358" spans="1:81" x14ac:dyDescent="0.25">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row>
    <row r="359" spans="1:81" x14ac:dyDescent="0.25">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c r="CB359"/>
      <c r="CC359"/>
    </row>
    <row r="360" spans="1:81" x14ac:dyDescent="0.25">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row>
    <row r="361" spans="1:81" x14ac:dyDescent="0.25">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row>
    <row r="362" spans="1:81" x14ac:dyDescent="0.25">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row>
    <row r="363" spans="1:81" x14ac:dyDescent="0.25">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row>
    <row r="364" spans="1:81" x14ac:dyDescent="0.25">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c r="CA364"/>
      <c r="CB364"/>
      <c r="CC364"/>
    </row>
    <row r="365" spans="1:81" x14ac:dyDescent="0.25">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c r="CA365"/>
      <c r="CB365"/>
      <c r="CC365"/>
    </row>
    <row r="366" spans="1:81" x14ac:dyDescent="0.25">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c r="CB366"/>
      <c r="CC366"/>
    </row>
    <row r="367" spans="1:81" x14ac:dyDescent="0.25">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c r="CA367"/>
      <c r="CB367"/>
      <c r="CC367"/>
    </row>
    <row r="368" spans="1:81" x14ac:dyDescent="0.25">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c r="AI368"/>
      <c r="AJ368"/>
      <c r="AK368"/>
      <c r="AL368"/>
      <c r="AM368"/>
      <c r="AN368"/>
      <c r="AO368"/>
      <c r="AP368"/>
      <c r="AQ368"/>
      <c r="AR368"/>
      <c r="AS368"/>
      <c r="AT368"/>
      <c r="AU368"/>
      <c r="AV368"/>
      <c r="AW368"/>
      <c r="AX368"/>
      <c r="AY368"/>
      <c r="AZ368"/>
      <c r="BA368"/>
      <c r="BB368"/>
      <c r="BC368"/>
      <c r="BD368"/>
      <c r="BE368"/>
      <c r="BF368"/>
      <c r="BG368"/>
      <c r="BH368"/>
      <c r="BI368"/>
      <c r="BJ368"/>
      <c r="BK368"/>
      <c r="BL368"/>
      <c r="BM368"/>
      <c r="BN368"/>
      <c r="BO368"/>
      <c r="BP368"/>
      <c r="BQ368"/>
      <c r="BR368"/>
      <c r="BS368"/>
      <c r="BT368"/>
      <c r="BU368"/>
      <c r="BV368"/>
      <c r="BW368"/>
      <c r="BX368"/>
      <c r="BY368"/>
      <c r="BZ368"/>
      <c r="CA368"/>
      <c r="CB368"/>
      <c r="CC368"/>
    </row>
    <row r="369" spans="1:81" x14ac:dyDescent="0.25">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c r="BA369"/>
      <c r="BB369"/>
      <c r="BC369"/>
      <c r="BD369"/>
      <c r="BE369"/>
      <c r="BF369"/>
      <c r="BG369"/>
      <c r="BH369"/>
      <c r="BI369"/>
      <c r="BJ369"/>
      <c r="BK369"/>
      <c r="BL369"/>
      <c r="BM369"/>
      <c r="BN369"/>
      <c r="BO369"/>
      <c r="BP369"/>
      <c r="BQ369"/>
      <c r="BR369"/>
      <c r="BS369"/>
      <c r="BT369"/>
      <c r="BU369"/>
      <c r="BV369"/>
      <c r="BW369"/>
      <c r="BX369"/>
      <c r="BY369"/>
      <c r="BZ369"/>
      <c r="CA369"/>
      <c r="CB369"/>
      <c r="CC369"/>
    </row>
    <row r="370" spans="1:81" x14ac:dyDescent="0.25">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c r="BA370"/>
      <c r="BB370"/>
      <c r="BC370"/>
      <c r="BD370"/>
      <c r="BE370"/>
      <c r="BF370"/>
      <c r="BG370"/>
      <c r="BH370"/>
      <c r="BI370"/>
      <c r="BJ370"/>
      <c r="BK370"/>
      <c r="BL370"/>
      <c r="BM370"/>
      <c r="BN370"/>
      <c r="BO370"/>
      <c r="BP370"/>
      <c r="BQ370"/>
      <c r="BR370"/>
      <c r="BS370"/>
      <c r="BT370"/>
      <c r="BU370"/>
      <c r="BV370"/>
      <c r="BW370"/>
      <c r="BX370"/>
      <c r="BY370"/>
      <c r="BZ370"/>
      <c r="CA370"/>
      <c r="CB370"/>
      <c r="CC370"/>
    </row>
    <row r="371" spans="1:81" x14ac:dyDescent="0.25">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c r="BA371"/>
      <c r="BB371"/>
      <c r="BC371"/>
      <c r="BD371"/>
      <c r="BE371"/>
      <c r="BF371"/>
      <c r="BG371"/>
      <c r="BH371"/>
      <c r="BI371"/>
      <c r="BJ371"/>
      <c r="BK371"/>
      <c r="BL371"/>
      <c r="BM371"/>
      <c r="BN371"/>
      <c r="BO371"/>
      <c r="BP371"/>
      <c r="BQ371"/>
      <c r="BR371"/>
      <c r="BS371"/>
      <c r="BT371"/>
      <c r="BU371"/>
      <c r="BV371"/>
      <c r="BW371"/>
      <c r="BX371"/>
      <c r="BY371"/>
      <c r="BZ371"/>
      <c r="CA371"/>
      <c r="CB371"/>
      <c r="CC371"/>
    </row>
    <row r="372" spans="1:81" x14ac:dyDescent="0.25">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c r="BA372"/>
      <c r="BB372"/>
      <c r="BC372"/>
      <c r="BD372"/>
      <c r="BE372"/>
      <c r="BF372"/>
      <c r="BG372"/>
      <c r="BH372"/>
      <c r="BI372"/>
      <c r="BJ372"/>
      <c r="BK372"/>
      <c r="BL372"/>
      <c r="BM372"/>
      <c r="BN372"/>
      <c r="BO372"/>
      <c r="BP372"/>
      <c r="BQ372"/>
      <c r="BR372"/>
      <c r="BS372"/>
      <c r="BT372"/>
      <c r="BU372"/>
      <c r="BV372"/>
      <c r="BW372"/>
      <c r="BX372"/>
      <c r="BY372"/>
      <c r="BZ372"/>
      <c r="CA372"/>
      <c r="CB372"/>
      <c r="CC372"/>
    </row>
    <row r="373" spans="1:81" x14ac:dyDescent="0.25">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c r="BA373"/>
      <c r="BB373"/>
      <c r="BC373"/>
      <c r="BD373"/>
      <c r="BE373"/>
      <c r="BF373"/>
      <c r="BG373"/>
      <c r="BH373"/>
      <c r="BI373"/>
      <c r="BJ373"/>
      <c r="BK373"/>
      <c r="BL373"/>
      <c r="BM373"/>
      <c r="BN373"/>
      <c r="BO373"/>
      <c r="BP373"/>
      <c r="BQ373"/>
      <c r="BR373"/>
      <c r="BS373"/>
      <c r="BT373"/>
      <c r="BU373"/>
      <c r="BV373"/>
      <c r="BW373"/>
      <c r="BX373"/>
      <c r="BY373"/>
      <c r="BZ373"/>
      <c r="CA373"/>
      <c r="CB373"/>
      <c r="CC373"/>
    </row>
    <row r="374" spans="1:81" x14ac:dyDescent="0.25">
      <c r="A374"/>
      <c r="B374"/>
      <c r="C374"/>
      <c r="D374"/>
      <c r="E374"/>
      <c r="F374"/>
      <c r="G374"/>
      <c r="H374"/>
      <c r="I374"/>
      <c r="J374"/>
      <c r="K374"/>
      <c r="L374"/>
      <c r="M374"/>
      <c r="N374"/>
      <c r="O374"/>
      <c r="P374"/>
      <c r="Q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c r="BA374"/>
      <c r="BB374"/>
      <c r="BC374"/>
      <c r="BD374"/>
      <c r="BE374"/>
      <c r="BF374"/>
      <c r="BG374"/>
      <c r="BH374"/>
      <c r="BI374"/>
      <c r="BJ374"/>
      <c r="BK374"/>
      <c r="BL374"/>
      <c r="BM374"/>
      <c r="BN374"/>
      <c r="BO374"/>
      <c r="BP374"/>
      <c r="BQ374"/>
      <c r="BR374"/>
      <c r="BS374"/>
      <c r="BT374"/>
      <c r="BU374"/>
      <c r="BV374"/>
      <c r="BW374"/>
      <c r="BX374"/>
      <c r="BY374"/>
      <c r="BZ374"/>
      <c r="CA374"/>
      <c r="CB374"/>
      <c r="CC374"/>
    </row>
    <row r="375" spans="1:81" x14ac:dyDescent="0.25">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c r="BA375"/>
      <c r="BB375"/>
      <c r="BC375"/>
      <c r="BD375"/>
      <c r="BE375"/>
      <c r="BF375"/>
      <c r="BG375"/>
      <c r="BH375"/>
      <c r="BI375"/>
      <c r="BJ375"/>
      <c r="BK375"/>
      <c r="BL375"/>
      <c r="BM375"/>
      <c r="BN375"/>
      <c r="BO375"/>
      <c r="BP375"/>
      <c r="BQ375"/>
      <c r="BR375"/>
      <c r="BS375"/>
      <c r="BT375"/>
      <c r="BU375"/>
      <c r="BV375"/>
      <c r="BW375"/>
      <c r="BX375"/>
      <c r="BY375"/>
      <c r="BZ375"/>
      <c r="CA375"/>
      <c r="CB375"/>
      <c r="CC375"/>
    </row>
    <row r="376" spans="1:81" x14ac:dyDescent="0.25">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c r="BA376"/>
      <c r="BB376"/>
      <c r="BC376"/>
      <c r="BD376"/>
      <c r="BE376"/>
      <c r="BF376"/>
      <c r="BG376"/>
      <c r="BH376"/>
      <c r="BI376"/>
      <c r="BJ376"/>
      <c r="BK376"/>
      <c r="BL376"/>
      <c r="BM376"/>
      <c r="BN376"/>
      <c r="BO376"/>
      <c r="BP376"/>
      <c r="BQ376"/>
      <c r="BR376"/>
      <c r="BS376"/>
      <c r="BT376"/>
      <c r="BU376"/>
      <c r="BV376"/>
      <c r="BW376"/>
      <c r="BX376"/>
      <c r="BY376"/>
      <c r="BZ376"/>
      <c r="CA376"/>
      <c r="CB376"/>
      <c r="CC376"/>
    </row>
    <row r="377" spans="1:81" x14ac:dyDescent="0.25">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c r="BA377"/>
      <c r="BB377"/>
      <c r="BC377"/>
      <c r="BD377"/>
      <c r="BE377"/>
      <c r="BF377"/>
      <c r="BG377"/>
      <c r="BH377"/>
      <c r="BI377"/>
      <c r="BJ377"/>
      <c r="BK377"/>
      <c r="BL377"/>
      <c r="BM377"/>
      <c r="BN377"/>
      <c r="BO377"/>
      <c r="BP377"/>
      <c r="BQ377"/>
      <c r="BR377"/>
      <c r="BS377"/>
      <c r="BT377"/>
      <c r="BU377"/>
      <c r="BV377"/>
      <c r="BW377"/>
      <c r="BX377"/>
      <c r="BY377"/>
      <c r="BZ377"/>
      <c r="CA377"/>
      <c r="CB377"/>
      <c r="CC377"/>
    </row>
    <row r="378" spans="1:81" x14ac:dyDescent="0.25">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c r="BA378"/>
      <c r="BB378"/>
      <c r="BC378"/>
      <c r="BD378"/>
      <c r="BE378"/>
      <c r="BF378"/>
      <c r="BG378"/>
      <c r="BH378"/>
      <c r="BI378"/>
      <c r="BJ378"/>
      <c r="BK378"/>
      <c r="BL378"/>
      <c r="BM378"/>
      <c r="BN378"/>
      <c r="BO378"/>
      <c r="BP378"/>
      <c r="BQ378"/>
      <c r="BR378"/>
      <c r="BS378"/>
      <c r="BT378"/>
      <c r="BU378"/>
      <c r="BV378"/>
      <c r="BW378"/>
      <c r="BX378"/>
      <c r="BY378"/>
      <c r="BZ378"/>
      <c r="CA378"/>
      <c r="CB378"/>
      <c r="CC378"/>
    </row>
    <row r="379" spans="1:81" x14ac:dyDescent="0.25">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c r="BA379"/>
      <c r="BB379"/>
      <c r="BC379"/>
      <c r="BD379"/>
      <c r="BE379"/>
      <c r="BF379"/>
      <c r="BG379"/>
      <c r="BH379"/>
      <c r="BI379"/>
      <c r="BJ379"/>
      <c r="BK379"/>
      <c r="BL379"/>
      <c r="BM379"/>
      <c r="BN379"/>
      <c r="BO379"/>
      <c r="BP379"/>
      <c r="BQ379"/>
      <c r="BR379"/>
      <c r="BS379"/>
      <c r="BT379"/>
      <c r="BU379"/>
      <c r="BV379"/>
      <c r="BW379"/>
      <c r="BX379"/>
      <c r="BY379"/>
      <c r="BZ379"/>
      <c r="CA379"/>
      <c r="CB379"/>
      <c r="CC379"/>
    </row>
    <row r="380" spans="1:81" x14ac:dyDescent="0.25">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c r="BA380"/>
      <c r="BB380"/>
      <c r="BC380"/>
      <c r="BD380"/>
      <c r="BE380"/>
      <c r="BF380"/>
      <c r="BG380"/>
      <c r="BH380"/>
      <c r="BI380"/>
      <c r="BJ380"/>
      <c r="BK380"/>
      <c r="BL380"/>
      <c r="BM380"/>
      <c r="BN380"/>
      <c r="BO380"/>
      <c r="BP380"/>
      <c r="BQ380"/>
      <c r="BR380"/>
      <c r="BS380"/>
      <c r="BT380"/>
      <c r="BU380"/>
      <c r="BV380"/>
      <c r="BW380"/>
      <c r="BX380"/>
      <c r="BY380"/>
      <c r="BZ380"/>
      <c r="CA380"/>
      <c r="CB380"/>
      <c r="CC380"/>
    </row>
    <row r="381" spans="1:81" x14ac:dyDescent="0.25">
      <c r="A381"/>
      <c r="B381"/>
      <c r="C381"/>
      <c r="D381"/>
      <c r="E381"/>
      <c r="F381"/>
      <c r="G381"/>
      <c r="H381"/>
      <c r="I381"/>
      <c r="J381"/>
      <c r="K381"/>
      <c r="L381"/>
      <c r="M381"/>
      <c r="N381"/>
      <c r="O381"/>
      <c r="P381"/>
      <c r="Q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c r="BA381"/>
      <c r="BB381"/>
      <c r="BC381"/>
      <c r="BD381"/>
      <c r="BE381"/>
      <c r="BF381"/>
      <c r="BG381"/>
      <c r="BH381"/>
      <c r="BI381"/>
      <c r="BJ381"/>
      <c r="BK381"/>
      <c r="BL381"/>
      <c r="BM381"/>
      <c r="BN381"/>
      <c r="BO381"/>
      <c r="BP381"/>
      <c r="BQ381"/>
      <c r="BR381"/>
      <c r="BS381"/>
      <c r="BT381"/>
      <c r="BU381"/>
      <c r="BV381"/>
      <c r="BW381"/>
      <c r="BX381"/>
      <c r="BY381"/>
      <c r="BZ381"/>
      <c r="CA381"/>
      <c r="CB381"/>
      <c r="CC381"/>
    </row>
    <row r="382" spans="1:81" x14ac:dyDescent="0.25">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c r="BA382"/>
      <c r="BB382"/>
      <c r="BC382"/>
      <c r="BD382"/>
      <c r="BE382"/>
      <c r="BF382"/>
      <c r="BG382"/>
      <c r="BH382"/>
      <c r="BI382"/>
      <c r="BJ382"/>
      <c r="BK382"/>
      <c r="BL382"/>
      <c r="BM382"/>
      <c r="BN382"/>
      <c r="BO382"/>
      <c r="BP382"/>
      <c r="BQ382"/>
      <c r="BR382"/>
      <c r="BS382"/>
      <c r="BT382"/>
      <c r="BU382"/>
      <c r="BV382"/>
      <c r="BW382"/>
      <c r="BX382"/>
      <c r="BY382"/>
      <c r="BZ382"/>
      <c r="CA382"/>
      <c r="CB382"/>
      <c r="CC382"/>
    </row>
    <row r="383" spans="1:81" x14ac:dyDescent="0.25">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c r="BA383"/>
      <c r="BB383"/>
      <c r="BC383"/>
      <c r="BD383"/>
      <c r="BE383"/>
      <c r="BF383"/>
      <c r="BG383"/>
      <c r="BH383"/>
      <c r="BI383"/>
      <c r="BJ383"/>
      <c r="BK383"/>
      <c r="BL383"/>
      <c r="BM383"/>
      <c r="BN383"/>
      <c r="BO383"/>
      <c r="BP383"/>
      <c r="BQ383"/>
      <c r="BR383"/>
      <c r="BS383"/>
      <c r="BT383"/>
      <c r="BU383"/>
      <c r="BV383"/>
      <c r="BW383"/>
      <c r="BX383"/>
      <c r="BY383"/>
      <c r="BZ383"/>
      <c r="CA383"/>
      <c r="CB383"/>
      <c r="CC383"/>
    </row>
    <row r="384" spans="1:81" x14ac:dyDescent="0.25">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c r="AI384"/>
      <c r="AJ384"/>
      <c r="AK384"/>
      <c r="AL384"/>
      <c r="AM384"/>
      <c r="AN384"/>
      <c r="AO384"/>
      <c r="AP384"/>
      <c r="AQ384"/>
      <c r="AR384"/>
      <c r="AS384"/>
      <c r="AT384"/>
      <c r="AU384"/>
      <c r="AV384"/>
      <c r="AW384"/>
      <c r="AX384"/>
      <c r="AY384"/>
      <c r="AZ384"/>
      <c r="BA384"/>
      <c r="BB384"/>
      <c r="BC384"/>
      <c r="BD384"/>
      <c r="BE384"/>
      <c r="BF384"/>
      <c r="BG384"/>
      <c r="BH384"/>
      <c r="BI384"/>
      <c r="BJ384"/>
      <c r="BK384"/>
      <c r="BL384"/>
      <c r="BM384"/>
      <c r="BN384"/>
      <c r="BO384"/>
      <c r="BP384"/>
      <c r="BQ384"/>
      <c r="BR384"/>
      <c r="BS384"/>
      <c r="BT384"/>
      <c r="BU384"/>
      <c r="BV384"/>
      <c r="BW384"/>
      <c r="BX384"/>
      <c r="BY384"/>
      <c r="BZ384"/>
      <c r="CA384"/>
      <c r="CB384"/>
      <c r="CC384"/>
    </row>
    <row r="385" spans="1:81" x14ac:dyDescent="0.25">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c r="AI385"/>
      <c r="AJ385"/>
      <c r="AK385"/>
      <c r="AL385"/>
      <c r="AM385"/>
      <c r="AN385"/>
      <c r="AO385"/>
      <c r="AP385"/>
      <c r="AQ385"/>
      <c r="AR385"/>
      <c r="AS385"/>
      <c r="AT385"/>
      <c r="AU385"/>
      <c r="AV385"/>
      <c r="AW385"/>
      <c r="AX385"/>
      <c r="AY385"/>
      <c r="AZ385"/>
      <c r="BA385"/>
      <c r="BB385"/>
      <c r="BC385"/>
      <c r="BD385"/>
      <c r="BE385"/>
      <c r="BF385"/>
      <c r="BG385"/>
      <c r="BH385"/>
      <c r="BI385"/>
      <c r="BJ385"/>
      <c r="BK385"/>
      <c r="BL385"/>
      <c r="BM385"/>
      <c r="BN385"/>
      <c r="BO385"/>
      <c r="BP385"/>
      <c r="BQ385"/>
      <c r="BR385"/>
      <c r="BS385"/>
      <c r="BT385"/>
      <c r="BU385"/>
      <c r="BV385"/>
      <c r="BW385"/>
      <c r="BX385"/>
      <c r="BY385"/>
      <c r="BZ385"/>
      <c r="CA385"/>
      <c r="CB385"/>
      <c r="CC385"/>
    </row>
    <row r="386" spans="1:81" x14ac:dyDescent="0.25">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c r="AI386"/>
      <c r="AJ386"/>
      <c r="AK386"/>
      <c r="AL386"/>
      <c r="AM386"/>
      <c r="AN386"/>
      <c r="AO386"/>
      <c r="AP386"/>
      <c r="AQ386"/>
      <c r="AR386"/>
      <c r="AS386"/>
      <c r="AT386"/>
      <c r="AU386"/>
      <c r="AV386"/>
      <c r="AW386"/>
      <c r="AX386"/>
      <c r="AY386"/>
      <c r="AZ386"/>
      <c r="BA386"/>
      <c r="BB386"/>
      <c r="BC386"/>
      <c r="BD386"/>
      <c r="BE386"/>
      <c r="BF386"/>
      <c r="BG386"/>
      <c r="BH386"/>
      <c r="BI386"/>
      <c r="BJ386"/>
      <c r="BK386"/>
      <c r="BL386"/>
      <c r="BM386"/>
      <c r="BN386"/>
      <c r="BO386"/>
      <c r="BP386"/>
      <c r="BQ386"/>
      <c r="BR386"/>
      <c r="BS386"/>
      <c r="BT386"/>
      <c r="BU386"/>
      <c r="BV386"/>
      <c r="BW386"/>
      <c r="BX386"/>
      <c r="BY386"/>
      <c r="BZ386"/>
      <c r="CA386"/>
      <c r="CB386"/>
      <c r="CC386"/>
    </row>
    <row r="387" spans="1:81" x14ac:dyDescent="0.25">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c r="BA387"/>
      <c r="BB387"/>
      <c r="BC387"/>
      <c r="BD387"/>
      <c r="BE387"/>
      <c r="BF387"/>
      <c r="BG387"/>
      <c r="BH387"/>
      <c r="BI387"/>
      <c r="BJ387"/>
      <c r="BK387"/>
      <c r="BL387"/>
      <c r="BM387"/>
      <c r="BN387"/>
      <c r="BO387"/>
      <c r="BP387"/>
      <c r="BQ387"/>
      <c r="BR387"/>
      <c r="BS387"/>
      <c r="BT387"/>
      <c r="BU387"/>
      <c r="BV387"/>
      <c r="BW387"/>
      <c r="BX387"/>
      <c r="BY387"/>
      <c r="BZ387"/>
      <c r="CA387"/>
      <c r="CB387"/>
      <c r="CC387"/>
    </row>
    <row r="388" spans="1:81" x14ac:dyDescent="0.25">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c r="AI388"/>
      <c r="AJ388"/>
      <c r="AK388"/>
      <c r="AL388"/>
      <c r="AM388"/>
      <c r="AN388"/>
      <c r="AO388"/>
      <c r="AP388"/>
      <c r="AQ388"/>
      <c r="AR388"/>
      <c r="AS388"/>
      <c r="AT388"/>
      <c r="AU388"/>
      <c r="AV388"/>
      <c r="AW388"/>
      <c r="AX388"/>
      <c r="AY388"/>
      <c r="AZ388"/>
      <c r="BA388"/>
      <c r="BB388"/>
      <c r="BC388"/>
      <c r="BD388"/>
      <c r="BE388"/>
      <c r="BF388"/>
      <c r="BG388"/>
      <c r="BH388"/>
      <c r="BI388"/>
      <c r="BJ388"/>
      <c r="BK388"/>
      <c r="BL388"/>
      <c r="BM388"/>
      <c r="BN388"/>
      <c r="BO388"/>
      <c r="BP388"/>
      <c r="BQ388"/>
      <c r="BR388"/>
      <c r="BS388"/>
      <c r="BT388"/>
      <c r="BU388"/>
      <c r="BV388"/>
      <c r="BW388"/>
      <c r="BX388"/>
      <c r="BY388"/>
      <c r="BZ388"/>
      <c r="CA388"/>
      <c r="CB388"/>
      <c r="CC388"/>
    </row>
    <row r="389" spans="1:81" x14ac:dyDescent="0.25">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c r="AY389"/>
      <c r="AZ389"/>
      <c r="BA389"/>
      <c r="BB389"/>
      <c r="BC389"/>
      <c r="BD389"/>
      <c r="BE389"/>
      <c r="BF389"/>
      <c r="BG389"/>
      <c r="BH389"/>
      <c r="BI389"/>
      <c r="BJ389"/>
      <c r="BK389"/>
      <c r="BL389"/>
      <c r="BM389"/>
      <c r="BN389"/>
      <c r="BO389"/>
      <c r="BP389"/>
      <c r="BQ389"/>
      <c r="BR389"/>
      <c r="BS389"/>
      <c r="BT389"/>
      <c r="BU389"/>
      <c r="BV389"/>
      <c r="BW389"/>
      <c r="BX389"/>
      <c r="BY389"/>
      <c r="BZ389"/>
      <c r="CA389"/>
      <c r="CB389"/>
      <c r="CC389"/>
    </row>
    <row r="390" spans="1:81" x14ac:dyDescent="0.25">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c r="AI390"/>
      <c r="AJ390"/>
      <c r="AK390"/>
      <c r="AL390"/>
      <c r="AM390"/>
      <c r="AN390"/>
      <c r="AO390"/>
      <c r="AP390"/>
      <c r="AQ390"/>
      <c r="AR390"/>
      <c r="AS390"/>
      <c r="AT390"/>
      <c r="AU390"/>
      <c r="AV390"/>
      <c r="AW390"/>
      <c r="AX390"/>
      <c r="AY390"/>
      <c r="AZ390"/>
      <c r="BA390"/>
      <c r="BB390"/>
      <c r="BC390"/>
      <c r="BD390"/>
      <c r="BE390"/>
      <c r="BF390"/>
      <c r="BG390"/>
      <c r="BH390"/>
      <c r="BI390"/>
      <c r="BJ390"/>
      <c r="BK390"/>
      <c r="BL390"/>
      <c r="BM390"/>
      <c r="BN390"/>
      <c r="BO390"/>
      <c r="BP390"/>
      <c r="BQ390"/>
      <c r="BR390"/>
      <c r="BS390"/>
      <c r="BT390"/>
      <c r="BU390"/>
      <c r="BV390"/>
      <c r="BW390"/>
      <c r="BX390"/>
      <c r="BY390"/>
      <c r="BZ390"/>
      <c r="CA390"/>
      <c r="CB390"/>
      <c r="CC390"/>
    </row>
    <row r="391" spans="1:81" x14ac:dyDescent="0.25">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c r="BA391"/>
      <c r="BB391"/>
      <c r="BC391"/>
      <c r="BD391"/>
      <c r="BE391"/>
      <c r="BF391"/>
      <c r="BG391"/>
      <c r="BH391"/>
      <c r="BI391"/>
      <c r="BJ391"/>
      <c r="BK391"/>
      <c r="BL391"/>
      <c r="BM391"/>
      <c r="BN391"/>
      <c r="BO391"/>
      <c r="BP391"/>
      <c r="BQ391"/>
      <c r="BR391"/>
      <c r="BS391"/>
      <c r="BT391"/>
      <c r="BU391"/>
      <c r="BV391"/>
      <c r="BW391"/>
      <c r="BX391"/>
      <c r="BY391"/>
      <c r="BZ391"/>
      <c r="CA391"/>
      <c r="CB391"/>
      <c r="CC391"/>
    </row>
    <row r="392" spans="1:81" x14ac:dyDescent="0.25">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c r="BA392"/>
      <c r="BB392"/>
      <c r="BC392"/>
      <c r="BD392"/>
      <c r="BE392"/>
      <c r="BF392"/>
      <c r="BG392"/>
      <c r="BH392"/>
      <c r="BI392"/>
      <c r="BJ392"/>
      <c r="BK392"/>
      <c r="BL392"/>
      <c r="BM392"/>
      <c r="BN392"/>
      <c r="BO392"/>
      <c r="BP392"/>
      <c r="BQ392"/>
      <c r="BR392"/>
      <c r="BS392"/>
      <c r="BT392"/>
      <c r="BU392"/>
      <c r="BV392"/>
      <c r="BW392"/>
      <c r="BX392"/>
      <c r="BY392"/>
      <c r="BZ392"/>
      <c r="CA392"/>
      <c r="CB392"/>
      <c r="CC392"/>
    </row>
    <row r="393" spans="1:81" x14ac:dyDescent="0.25">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c r="AY393"/>
      <c r="AZ393"/>
      <c r="BA393"/>
      <c r="BB393"/>
      <c r="BC393"/>
      <c r="BD393"/>
      <c r="BE393"/>
      <c r="BF393"/>
      <c r="BG393"/>
      <c r="BH393"/>
      <c r="BI393"/>
      <c r="BJ393"/>
      <c r="BK393"/>
      <c r="BL393"/>
      <c r="BM393"/>
      <c r="BN393"/>
      <c r="BO393"/>
      <c r="BP393"/>
      <c r="BQ393"/>
      <c r="BR393"/>
      <c r="BS393"/>
      <c r="BT393"/>
      <c r="BU393"/>
      <c r="BV393"/>
      <c r="BW393"/>
      <c r="BX393"/>
      <c r="BY393"/>
      <c r="BZ393"/>
      <c r="CA393"/>
      <c r="CB393"/>
      <c r="CC393"/>
    </row>
    <row r="394" spans="1:81" x14ac:dyDescent="0.25">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c r="BA394"/>
      <c r="BB394"/>
      <c r="BC394"/>
      <c r="BD394"/>
      <c r="BE394"/>
      <c r="BF394"/>
      <c r="BG394"/>
      <c r="BH394"/>
      <c r="BI394"/>
      <c r="BJ394"/>
      <c r="BK394"/>
      <c r="BL394"/>
      <c r="BM394"/>
      <c r="BN394"/>
      <c r="BO394"/>
      <c r="BP394"/>
      <c r="BQ394"/>
      <c r="BR394"/>
      <c r="BS394"/>
      <c r="BT394"/>
      <c r="BU394"/>
      <c r="BV394"/>
      <c r="BW394"/>
      <c r="BX394"/>
      <c r="BY394"/>
      <c r="BZ394"/>
      <c r="CA394"/>
      <c r="CB394"/>
      <c r="CC394"/>
    </row>
    <row r="395" spans="1:81" x14ac:dyDescent="0.25">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c r="BA395"/>
      <c r="BB395"/>
      <c r="BC395"/>
      <c r="BD395"/>
      <c r="BE395"/>
      <c r="BF395"/>
      <c r="BG395"/>
      <c r="BH395"/>
      <c r="BI395"/>
      <c r="BJ395"/>
      <c r="BK395"/>
      <c r="BL395"/>
      <c r="BM395"/>
      <c r="BN395"/>
      <c r="BO395"/>
      <c r="BP395"/>
      <c r="BQ395"/>
      <c r="BR395"/>
      <c r="BS395"/>
      <c r="BT395"/>
      <c r="BU395"/>
      <c r="BV395"/>
      <c r="BW395"/>
      <c r="BX395"/>
      <c r="BY395"/>
      <c r="BZ395"/>
      <c r="CA395"/>
      <c r="CB395"/>
      <c r="CC395"/>
    </row>
    <row r="396" spans="1:81" x14ac:dyDescent="0.25">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c r="BA396"/>
      <c r="BB396"/>
      <c r="BC396"/>
      <c r="BD396"/>
      <c r="BE396"/>
      <c r="BF396"/>
      <c r="BG396"/>
      <c r="BH396"/>
      <c r="BI396"/>
      <c r="BJ396"/>
      <c r="BK396"/>
      <c r="BL396"/>
      <c r="BM396"/>
      <c r="BN396"/>
      <c r="BO396"/>
      <c r="BP396"/>
      <c r="BQ396"/>
      <c r="BR396"/>
      <c r="BS396"/>
      <c r="BT396"/>
      <c r="BU396"/>
      <c r="BV396"/>
      <c r="BW396"/>
      <c r="BX396"/>
      <c r="BY396"/>
      <c r="BZ396"/>
      <c r="CA396"/>
      <c r="CB396"/>
      <c r="CC396"/>
    </row>
    <row r="397" spans="1:81" x14ac:dyDescent="0.25">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c r="BA397"/>
      <c r="BB397"/>
      <c r="BC397"/>
      <c r="BD397"/>
      <c r="BE397"/>
      <c r="BF397"/>
      <c r="BG397"/>
      <c r="BH397"/>
      <c r="BI397"/>
      <c r="BJ397"/>
      <c r="BK397"/>
      <c r="BL397"/>
      <c r="BM397"/>
      <c r="BN397"/>
      <c r="BO397"/>
      <c r="BP397"/>
      <c r="BQ397"/>
      <c r="BR397"/>
      <c r="BS397"/>
      <c r="BT397"/>
      <c r="BU397"/>
      <c r="BV397"/>
      <c r="BW397"/>
      <c r="BX397"/>
      <c r="BY397"/>
      <c r="BZ397"/>
      <c r="CA397"/>
      <c r="CB397"/>
      <c r="CC397"/>
    </row>
    <row r="398" spans="1:81" x14ac:dyDescent="0.25">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c r="BA398"/>
      <c r="BB398"/>
      <c r="BC398"/>
      <c r="BD398"/>
      <c r="BE398"/>
      <c r="BF398"/>
      <c r="BG398"/>
      <c r="BH398"/>
      <c r="BI398"/>
      <c r="BJ398"/>
      <c r="BK398"/>
      <c r="BL398"/>
      <c r="BM398"/>
      <c r="BN398"/>
      <c r="BO398"/>
      <c r="BP398"/>
      <c r="BQ398"/>
      <c r="BR398"/>
      <c r="BS398"/>
      <c r="BT398"/>
      <c r="BU398"/>
      <c r="BV398"/>
      <c r="BW398"/>
      <c r="BX398"/>
      <c r="BY398"/>
      <c r="BZ398"/>
      <c r="CA398"/>
      <c r="CB398"/>
      <c r="CC398"/>
    </row>
    <row r="399" spans="1:81" x14ac:dyDescent="0.25">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c r="BA399"/>
      <c r="BB399"/>
      <c r="BC399"/>
      <c r="BD399"/>
      <c r="BE399"/>
      <c r="BF399"/>
      <c r="BG399"/>
      <c r="BH399"/>
      <c r="BI399"/>
      <c r="BJ399"/>
      <c r="BK399"/>
      <c r="BL399"/>
      <c r="BM399"/>
      <c r="BN399"/>
      <c r="BO399"/>
      <c r="BP399"/>
      <c r="BQ399"/>
      <c r="BR399"/>
      <c r="BS399"/>
      <c r="BT399"/>
      <c r="BU399"/>
      <c r="BV399"/>
      <c r="BW399"/>
      <c r="BX399"/>
      <c r="BY399"/>
      <c r="BZ399"/>
      <c r="CA399"/>
      <c r="CB399"/>
      <c r="CC399"/>
    </row>
    <row r="400" spans="1:81" x14ac:dyDescent="0.25">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c r="BA400"/>
      <c r="BB400"/>
      <c r="BC400"/>
      <c r="BD400"/>
      <c r="BE400"/>
      <c r="BF400"/>
      <c r="BG400"/>
      <c r="BH400"/>
      <c r="BI400"/>
      <c r="BJ400"/>
      <c r="BK400"/>
      <c r="BL400"/>
      <c r="BM400"/>
      <c r="BN400"/>
      <c r="BO400"/>
      <c r="BP400"/>
      <c r="BQ400"/>
      <c r="BR400"/>
      <c r="BS400"/>
      <c r="BT400"/>
      <c r="BU400"/>
      <c r="BV400"/>
      <c r="BW400"/>
      <c r="BX400"/>
      <c r="BY400"/>
      <c r="BZ400"/>
      <c r="CA400"/>
      <c r="CB400"/>
      <c r="CC400"/>
    </row>
    <row r="401" spans="1:81" x14ac:dyDescent="0.25">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c r="BA401"/>
      <c r="BB401"/>
      <c r="BC401"/>
      <c r="BD401"/>
      <c r="BE401"/>
      <c r="BF401"/>
      <c r="BG401"/>
      <c r="BH401"/>
      <c r="BI401"/>
      <c r="BJ401"/>
      <c r="BK401"/>
      <c r="BL401"/>
      <c r="BM401"/>
      <c r="BN401"/>
      <c r="BO401"/>
      <c r="BP401"/>
      <c r="BQ401"/>
      <c r="BR401"/>
      <c r="BS401"/>
      <c r="BT401"/>
      <c r="BU401"/>
      <c r="BV401"/>
      <c r="BW401"/>
      <c r="BX401"/>
      <c r="BY401"/>
      <c r="BZ401"/>
      <c r="CA401"/>
      <c r="CB401"/>
      <c r="CC401"/>
    </row>
    <row r="402" spans="1:81" x14ac:dyDescent="0.25">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c r="BA402"/>
      <c r="BB402"/>
      <c r="BC402"/>
      <c r="BD402"/>
      <c r="BE402"/>
      <c r="BF402"/>
      <c r="BG402"/>
      <c r="BH402"/>
      <c r="BI402"/>
      <c r="BJ402"/>
      <c r="BK402"/>
      <c r="BL402"/>
      <c r="BM402"/>
      <c r="BN402"/>
      <c r="BO402"/>
      <c r="BP402"/>
      <c r="BQ402"/>
      <c r="BR402"/>
      <c r="BS402"/>
      <c r="BT402"/>
      <c r="BU402"/>
      <c r="BV402"/>
      <c r="BW402"/>
      <c r="BX402"/>
      <c r="BY402"/>
      <c r="BZ402"/>
      <c r="CA402"/>
      <c r="CB402"/>
      <c r="CC402"/>
    </row>
    <row r="403" spans="1:81" x14ac:dyDescent="0.25">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c r="BA403"/>
      <c r="BB403"/>
      <c r="BC403"/>
      <c r="BD403"/>
      <c r="BE403"/>
      <c r="BF403"/>
      <c r="BG403"/>
      <c r="BH403"/>
      <c r="BI403"/>
      <c r="BJ403"/>
      <c r="BK403"/>
      <c r="BL403"/>
      <c r="BM403"/>
      <c r="BN403"/>
      <c r="BO403"/>
      <c r="BP403"/>
      <c r="BQ403"/>
      <c r="BR403"/>
      <c r="BS403"/>
      <c r="BT403"/>
      <c r="BU403"/>
      <c r="BV403"/>
      <c r="BW403"/>
      <c r="BX403"/>
      <c r="BY403"/>
      <c r="BZ403"/>
      <c r="CA403"/>
      <c r="CB403"/>
      <c r="CC403"/>
    </row>
    <row r="404" spans="1:81" x14ac:dyDescent="0.25">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c r="AY404"/>
      <c r="AZ404"/>
      <c r="BA404"/>
      <c r="BB404"/>
      <c r="BC404"/>
      <c r="BD404"/>
      <c r="BE404"/>
      <c r="BF404"/>
      <c r="BG404"/>
      <c r="BH404"/>
      <c r="BI404"/>
      <c r="BJ404"/>
      <c r="BK404"/>
      <c r="BL404"/>
      <c r="BM404"/>
      <c r="BN404"/>
      <c r="BO404"/>
      <c r="BP404"/>
      <c r="BQ404"/>
      <c r="BR404"/>
      <c r="BS404"/>
      <c r="BT404"/>
      <c r="BU404"/>
      <c r="BV404"/>
      <c r="BW404"/>
      <c r="BX404"/>
      <c r="BY404"/>
      <c r="BZ404"/>
      <c r="CA404"/>
      <c r="CB404"/>
      <c r="CC404"/>
    </row>
    <row r="405" spans="1:81" x14ac:dyDescent="0.25">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c r="AI405"/>
      <c r="AJ405"/>
      <c r="AK405"/>
      <c r="AL405"/>
      <c r="AM405"/>
      <c r="AN405"/>
      <c r="AO405"/>
      <c r="AP405"/>
      <c r="AQ405"/>
      <c r="AR405"/>
      <c r="AS405"/>
      <c r="AT405"/>
      <c r="AU405"/>
      <c r="AV405"/>
      <c r="AW405"/>
      <c r="AX405"/>
      <c r="AY405"/>
      <c r="AZ405"/>
      <c r="BA405"/>
      <c r="BB405"/>
      <c r="BC405"/>
      <c r="BD405"/>
      <c r="BE405"/>
      <c r="BF405"/>
      <c r="BG405"/>
      <c r="BH405"/>
      <c r="BI405"/>
      <c r="BJ405"/>
      <c r="BK405"/>
      <c r="BL405"/>
      <c r="BM405"/>
      <c r="BN405"/>
      <c r="BO405"/>
      <c r="BP405"/>
      <c r="BQ405"/>
      <c r="BR405"/>
      <c r="BS405"/>
      <c r="BT405"/>
      <c r="BU405"/>
      <c r="BV405"/>
      <c r="BW405"/>
      <c r="BX405"/>
      <c r="BY405"/>
      <c r="BZ405"/>
      <c r="CA405"/>
      <c r="CB405"/>
      <c r="CC405"/>
    </row>
    <row r="406" spans="1:81" x14ac:dyDescent="0.25">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c r="AI406"/>
      <c r="AJ406"/>
      <c r="AK406"/>
      <c r="AL406"/>
      <c r="AM406"/>
      <c r="AN406"/>
      <c r="AO406"/>
      <c r="AP406"/>
      <c r="AQ406"/>
      <c r="AR406"/>
      <c r="AS406"/>
      <c r="AT406"/>
      <c r="AU406"/>
      <c r="AV406"/>
      <c r="AW406"/>
      <c r="AX406"/>
      <c r="AY406"/>
      <c r="AZ406"/>
      <c r="BA406"/>
      <c r="BB406"/>
      <c r="BC406"/>
      <c r="BD406"/>
      <c r="BE406"/>
      <c r="BF406"/>
      <c r="BG406"/>
      <c r="BH406"/>
      <c r="BI406"/>
      <c r="BJ406"/>
      <c r="BK406"/>
      <c r="BL406"/>
      <c r="BM406"/>
      <c r="BN406"/>
      <c r="BO406"/>
      <c r="BP406"/>
      <c r="BQ406"/>
      <c r="BR406"/>
      <c r="BS406"/>
      <c r="BT406"/>
      <c r="BU406"/>
      <c r="BV406"/>
      <c r="BW406"/>
      <c r="BX406"/>
      <c r="BY406"/>
      <c r="BZ406"/>
      <c r="CA406"/>
      <c r="CB406"/>
      <c r="CC406"/>
    </row>
    <row r="407" spans="1:81" x14ac:dyDescent="0.25">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c r="AI407"/>
      <c r="AJ407"/>
      <c r="AK407"/>
      <c r="AL407"/>
      <c r="AM407"/>
      <c r="AN407"/>
      <c r="AO407"/>
      <c r="AP407"/>
      <c r="AQ407"/>
      <c r="AR407"/>
      <c r="AS407"/>
      <c r="AT407"/>
      <c r="AU407"/>
      <c r="AV407"/>
      <c r="AW407"/>
      <c r="AX407"/>
      <c r="AY407"/>
      <c r="AZ407"/>
      <c r="BA407"/>
      <c r="BB407"/>
      <c r="BC407"/>
      <c r="BD407"/>
      <c r="BE407"/>
      <c r="BF407"/>
      <c r="BG407"/>
      <c r="BH407"/>
      <c r="BI407"/>
      <c r="BJ407"/>
      <c r="BK407"/>
      <c r="BL407"/>
      <c r="BM407"/>
      <c r="BN407"/>
      <c r="BO407"/>
      <c r="BP407"/>
      <c r="BQ407"/>
      <c r="BR407"/>
      <c r="BS407"/>
      <c r="BT407"/>
      <c r="BU407"/>
      <c r="BV407"/>
      <c r="BW407"/>
      <c r="BX407"/>
      <c r="BY407"/>
      <c r="BZ407"/>
      <c r="CA407"/>
      <c r="CB407"/>
      <c r="CC407"/>
    </row>
    <row r="408" spans="1:81" x14ac:dyDescent="0.25">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c r="AI408"/>
      <c r="AJ408"/>
      <c r="AK408"/>
      <c r="AL408"/>
      <c r="AM408"/>
      <c r="AN408"/>
      <c r="AO408"/>
      <c r="AP408"/>
      <c r="AQ408"/>
      <c r="AR408"/>
      <c r="AS408"/>
      <c r="AT408"/>
      <c r="AU408"/>
      <c r="AV408"/>
      <c r="AW408"/>
      <c r="AX408"/>
      <c r="AY408"/>
      <c r="AZ408"/>
      <c r="BA408"/>
      <c r="BB408"/>
      <c r="BC408"/>
      <c r="BD408"/>
      <c r="BE408"/>
      <c r="BF408"/>
      <c r="BG408"/>
      <c r="BH408"/>
      <c r="BI408"/>
      <c r="BJ408"/>
      <c r="BK408"/>
      <c r="BL408"/>
      <c r="BM408"/>
      <c r="BN408"/>
      <c r="BO408"/>
      <c r="BP408"/>
      <c r="BQ408"/>
      <c r="BR408"/>
      <c r="BS408"/>
      <c r="BT408"/>
      <c r="BU408"/>
      <c r="BV408"/>
      <c r="BW408"/>
      <c r="BX408"/>
      <c r="BY408"/>
      <c r="BZ408"/>
      <c r="CA408"/>
      <c r="CB408"/>
      <c r="CC408"/>
    </row>
    <row r="409" spans="1:81" x14ac:dyDescent="0.25">
      <c r="A409"/>
      <c r="B409"/>
      <c r="C409"/>
      <c r="D409"/>
      <c r="E409"/>
      <c r="F409"/>
      <c r="G409"/>
      <c r="H409"/>
      <c r="I409"/>
      <c r="J409"/>
      <c r="K409"/>
      <c r="L409"/>
      <c r="M409"/>
      <c r="N409"/>
      <c r="O409"/>
      <c r="P409"/>
      <c r="Q409"/>
      <c r="R409"/>
      <c r="S409"/>
      <c r="T409"/>
      <c r="U409"/>
      <c r="V409"/>
      <c r="W409"/>
      <c r="X409"/>
      <c r="Y409"/>
      <c r="Z409"/>
      <c r="AA409"/>
      <c r="AB409"/>
      <c r="AC409"/>
      <c r="AD409"/>
      <c r="AE409"/>
      <c r="AF409"/>
      <c r="AG409"/>
      <c r="AH409"/>
      <c r="AI409"/>
      <c r="AJ409"/>
      <c r="AK409"/>
      <c r="AL409"/>
      <c r="AM409"/>
      <c r="AN409"/>
      <c r="AO409"/>
      <c r="AP409"/>
      <c r="AQ409"/>
      <c r="AR409"/>
      <c r="AS409"/>
      <c r="AT409"/>
      <c r="AU409"/>
      <c r="AV409"/>
      <c r="AW409"/>
      <c r="AX409"/>
      <c r="AY409"/>
      <c r="AZ409"/>
      <c r="BA409"/>
      <c r="BB409"/>
      <c r="BC409"/>
      <c r="BD409"/>
      <c r="BE409"/>
      <c r="BF409"/>
      <c r="BG409"/>
      <c r="BH409"/>
      <c r="BI409"/>
      <c r="BJ409"/>
      <c r="BK409"/>
      <c r="BL409"/>
      <c r="BM409"/>
      <c r="BN409"/>
      <c r="BO409"/>
      <c r="BP409"/>
      <c r="BQ409"/>
      <c r="BR409"/>
      <c r="BS409"/>
      <c r="BT409"/>
      <c r="BU409"/>
      <c r="BV409"/>
      <c r="BW409"/>
      <c r="BX409"/>
      <c r="BY409"/>
      <c r="BZ409"/>
      <c r="CA409"/>
      <c r="CB409"/>
      <c r="CC409"/>
    </row>
    <row r="410" spans="1:81" x14ac:dyDescent="0.25">
      <c r="A410"/>
      <c r="B410"/>
      <c r="C410"/>
      <c r="D410"/>
      <c r="E410"/>
      <c r="F410"/>
      <c r="G410"/>
      <c r="H410"/>
      <c r="I410"/>
      <c r="J410"/>
      <c r="K410"/>
      <c r="L410"/>
      <c r="M410"/>
      <c r="N410"/>
      <c r="O410"/>
      <c r="P410"/>
      <c r="Q410"/>
      <c r="R410"/>
      <c r="S410"/>
      <c r="T410"/>
      <c r="U410"/>
      <c r="V410"/>
      <c r="W410"/>
      <c r="X410"/>
      <c r="Y410"/>
      <c r="Z410"/>
      <c r="AA410"/>
      <c r="AB410"/>
      <c r="AC410"/>
      <c r="AD410"/>
      <c r="AE410"/>
      <c r="AF410"/>
      <c r="AG410"/>
      <c r="AH410"/>
      <c r="AI410"/>
      <c r="AJ410"/>
      <c r="AK410"/>
      <c r="AL410"/>
      <c r="AM410"/>
      <c r="AN410"/>
      <c r="AO410"/>
      <c r="AP410"/>
      <c r="AQ410"/>
      <c r="AR410"/>
      <c r="AS410"/>
      <c r="AT410"/>
      <c r="AU410"/>
      <c r="AV410"/>
      <c r="AW410"/>
      <c r="AX410"/>
      <c r="AY410"/>
      <c r="AZ410"/>
      <c r="BA410"/>
      <c r="BB410"/>
      <c r="BC410"/>
      <c r="BD410"/>
      <c r="BE410"/>
      <c r="BF410"/>
      <c r="BG410"/>
      <c r="BH410"/>
      <c r="BI410"/>
      <c r="BJ410"/>
      <c r="BK410"/>
      <c r="BL410"/>
      <c r="BM410"/>
      <c r="BN410"/>
      <c r="BO410"/>
      <c r="BP410"/>
      <c r="BQ410"/>
      <c r="BR410"/>
      <c r="BS410"/>
      <c r="BT410"/>
      <c r="BU410"/>
      <c r="BV410"/>
      <c r="BW410"/>
      <c r="BX410"/>
      <c r="BY410"/>
      <c r="BZ410"/>
      <c r="CA410"/>
      <c r="CB410"/>
      <c r="CC410"/>
    </row>
    <row r="411" spans="1:81" x14ac:dyDescent="0.25">
      <c r="A411"/>
      <c r="B411"/>
      <c r="C411"/>
      <c r="D411"/>
      <c r="E411"/>
      <c r="F411"/>
      <c r="G411"/>
      <c r="H411"/>
      <c r="I411"/>
      <c r="J411"/>
      <c r="K411"/>
      <c r="L411"/>
      <c r="M411"/>
      <c r="N411"/>
      <c r="O411"/>
      <c r="P411"/>
      <c r="Q411"/>
      <c r="R411"/>
      <c r="S411"/>
      <c r="T411"/>
      <c r="U411"/>
      <c r="V411"/>
      <c r="W411"/>
      <c r="X411"/>
      <c r="Y411"/>
      <c r="Z411"/>
      <c r="AA411"/>
      <c r="AB411"/>
      <c r="AC411"/>
      <c r="AD411"/>
      <c r="AE411"/>
      <c r="AF411"/>
      <c r="AG411"/>
      <c r="AH411"/>
      <c r="AI411"/>
      <c r="AJ411"/>
      <c r="AK411"/>
      <c r="AL411"/>
      <c r="AM411"/>
      <c r="AN411"/>
      <c r="AO411"/>
      <c r="AP411"/>
      <c r="AQ411"/>
      <c r="AR411"/>
      <c r="AS411"/>
      <c r="AT411"/>
      <c r="AU411"/>
      <c r="AV411"/>
      <c r="AW411"/>
      <c r="AX411"/>
      <c r="AY411"/>
      <c r="AZ411"/>
      <c r="BA411"/>
      <c r="BB411"/>
      <c r="BC411"/>
      <c r="BD411"/>
      <c r="BE411"/>
      <c r="BF411"/>
      <c r="BG411"/>
      <c r="BH411"/>
      <c r="BI411"/>
      <c r="BJ411"/>
      <c r="BK411"/>
      <c r="BL411"/>
      <c r="BM411"/>
      <c r="BN411"/>
      <c r="BO411"/>
      <c r="BP411"/>
      <c r="BQ411"/>
      <c r="BR411"/>
      <c r="BS411"/>
      <c r="BT411"/>
      <c r="BU411"/>
      <c r="BV411"/>
      <c r="BW411"/>
      <c r="BX411"/>
      <c r="BY411"/>
      <c r="BZ411"/>
      <c r="CA411"/>
      <c r="CB411"/>
      <c r="CC411"/>
    </row>
    <row r="412" spans="1:81" x14ac:dyDescent="0.25">
      <c r="A412"/>
      <c r="B412"/>
      <c r="C412"/>
      <c r="D412"/>
      <c r="E412"/>
      <c r="F412"/>
      <c r="G412"/>
      <c r="H412"/>
      <c r="I412"/>
      <c r="J412"/>
      <c r="K412"/>
      <c r="L412"/>
      <c r="M412"/>
      <c r="N412"/>
      <c r="O412"/>
      <c r="P412"/>
      <c r="Q412"/>
      <c r="R412"/>
      <c r="S412"/>
      <c r="T412"/>
      <c r="U412"/>
      <c r="V412"/>
      <c r="W412"/>
      <c r="X412"/>
      <c r="Y412"/>
      <c r="Z412"/>
      <c r="AA412"/>
      <c r="AB412"/>
      <c r="AC412"/>
      <c r="AD412"/>
      <c r="AE412"/>
      <c r="AF412"/>
      <c r="AG412"/>
      <c r="AH412"/>
      <c r="AI412"/>
      <c r="AJ412"/>
      <c r="AK412"/>
      <c r="AL412"/>
      <c r="AM412"/>
      <c r="AN412"/>
      <c r="AO412"/>
      <c r="AP412"/>
      <c r="AQ412"/>
      <c r="AR412"/>
      <c r="AS412"/>
      <c r="AT412"/>
      <c r="AU412"/>
      <c r="AV412"/>
      <c r="AW412"/>
      <c r="AX412"/>
      <c r="AY412"/>
      <c r="AZ412"/>
      <c r="BA412"/>
      <c r="BB412"/>
      <c r="BC412"/>
      <c r="BD412"/>
      <c r="BE412"/>
      <c r="BF412"/>
      <c r="BG412"/>
      <c r="BH412"/>
      <c r="BI412"/>
      <c r="BJ412"/>
      <c r="BK412"/>
      <c r="BL412"/>
      <c r="BM412"/>
      <c r="BN412"/>
      <c r="BO412"/>
      <c r="BP412"/>
      <c r="BQ412"/>
      <c r="BR412"/>
      <c r="BS412"/>
      <c r="BT412"/>
      <c r="BU412"/>
      <c r="BV412"/>
      <c r="BW412"/>
      <c r="BX412"/>
      <c r="BY412"/>
      <c r="BZ412"/>
      <c r="CA412"/>
      <c r="CB412"/>
      <c r="CC412"/>
    </row>
    <row r="413" spans="1:81" x14ac:dyDescent="0.25">
      <c r="A413"/>
      <c r="B413"/>
      <c r="C413"/>
      <c r="D413"/>
      <c r="E413"/>
      <c r="F413"/>
      <c r="G413"/>
      <c r="H413"/>
      <c r="I413"/>
      <c r="J413"/>
      <c r="K413"/>
      <c r="L413"/>
      <c r="M413"/>
      <c r="N413"/>
      <c r="O413"/>
      <c r="P413"/>
      <c r="Q413"/>
      <c r="R413"/>
      <c r="S413"/>
      <c r="T413"/>
      <c r="U413"/>
      <c r="V413"/>
      <c r="W413"/>
      <c r="X413"/>
      <c r="Y413"/>
      <c r="Z413"/>
      <c r="AA413"/>
      <c r="AB413"/>
      <c r="AC413"/>
      <c r="AD413"/>
      <c r="AE413"/>
      <c r="AF413"/>
      <c r="AG413"/>
      <c r="AH413"/>
      <c r="AI413"/>
      <c r="AJ413"/>
      <c r="AK413"/>
      <c r="AL413"/>
      <c r="AM413"/>
      <c r="AN413"/>
      <c r="AO413"/>
      <c r="AP413"/>
      <c r="AQ413"/>
      <c r="AR413"/>
      <c r="AS413"/>
      <c r="AT413"/>
      <c r="AU413"/>
      <c r="AV413"/>
      <c r="AW413"/>
      <c r="AX413"/>
      <c r="AY413"/>
      <c r="AZ413"/>
      <c r="BA413"/>
      <c r="BB413"/>
      <c r="BC413"/>
      <c r="BD413"/>
      <c r="BE413"/>
      <c r="BF413"/>
      <c r="BG413"/>
      <c r="BH413"/>
      <c r="BI413"/>
      <c r="BJ413"/>
      <c r="BK413"/>
      <c r="BL413"/>
      <c r="BM413"/>
      <c r="BN413"/>
      <c r="BO413"/>
      <c r="BP413"/>
      <c r="BQ413"/>
      <c r="BR413"/>
      <c r="BS413"/>
      <c r="BT413"/>
      <c r="BU413"/>
      <c r="BV413"/>
      <c r="BW413"/>
      <c r="BX413"/>
      <c r="BY413"/>
      <c r="BZ413"/>
      <c r="CA413"/>
      <c r="CB413"/>
      <c r="CC413"/>
    </row>
    <row r="414" spans="1:81" x14ac:dyDescent="0.25">
      <c r="A414"/>
      <c r="B414"/>
      <c r="C414"/>
      <c r="D414"/>
      <c r="E414"/>
      <c r="F414"/>
      <c r="G414"/>
      <c r="H414"/>
      <c r="I414"/>
      <c r="J414"/>
      <c r="K414"/>
      <c r="L414"/>
      <c r="M414"/>
      <c r="N414"/>
      <c r="O414"/>
      <c r="P414"/>
      <c r="Q414"/>
      <c r="R414"/>
      <c r="S414"/>
      <c r="T414"/>
      <c r="U414"/>
      <c r="V414"/>
      <c r="W414"/>
      <c r="X414"/>
      <c r="Y414"/>
      <c r="Z414"/>
      <c r="AA414"/>
      <c r="AB414"/>
      <c r="AC414"/>
      <c r="AD414"/>
      <c r="AE414"/>
      <c r="AF414"/>
      <c r="AG414"/>
      <c r="AH414"/>
      <c r="AI414"/>
      <c r="AJ414"/>
      <c r="AK414"/>
      <c r="AL414"/>
      <c r="AM414"/>
      <c r="AN414"/>
      <c r="AO414"/>
      <c r="AP414"/>
      <c r="AQ414"/>
      <c r="AR414"/>
      <c r="AS414"/>
      <c r="AT414"/>
      <c r="AU414"/>
      <c r="AV414"/>
      <c r="AW414"/>
      <c r="AX414"/>
      <c r="AY414"/>
      <c r="AZ414"/>
      <c r="BA414"/>
      <c r="BB414"/>
      <c r="BC414"/>
      <c r="BD414"/>
      <c r="BE414"/>
      <c r="BF414"/>
      <c r="BG414"/>
      <c r="BH414"/>
      <c r="BI414"/>
      <c r="BJ414"/>
      <c r="BK414"/>
      <c r="BL414"/>
      <c r="BM414"/>
      <c r="BN414"/>
      <c r="BO414"/>
      <c r="BP414"/>
      <c r="BQ414"/>
      <c r="BR414"/>
      <c r="BS414"/>
      <c r="BT414"/>
      <c r="BU414"/>
      <c r="BV414"/>
      <c r="BW414"/>
      <c r="BX414"/>
      <c r="BY414"/>
      <c r="BZ414"/>
      <c r="CA414"/>
      <c r="CB414"/>
      <c r="CC414"/>
    </row>
    <row r="415" spans="1:81" x14ac:dyDescent="0.25">
      <c r="A415"/>
      <c r="B415"/>
      <c r="C415"/>
      <c r="D415"/>
      <c r="E415"/>
      <c r="F415"/>
      <c r="G415"/>
      <c r="H415"/>
      <c r="I415"/>
      <c r="J415"/>
      <c r="K415"/>
      <c r="L415"/>
      <c r="M415"/>
      <c r="N415"/>
      <c r="O415"/>
      <c r="P415"/>
      <c r="Q415"/>
      <c r="R415"/>
      <c r="S415"/>
      <c r="T415"/>
      <c r="U415"/>
      <c r="V415"/>
      <c r="W415"/>
      <c r="X415"/>
      <c r="Y415"/>
      <c r="Z415"/>
      <c r="AA415"/>
      <c r="AB415"/>
      <c r="AC415"/>
      <c r="AD415"/>
      <c r="AE415"/>
      <c r="AF415"/>
      <c r="AG415"/>
      <c r="AH415"/>
      <c r="AI415"/>
      <c r="AJ415"/>
      <c r="AK415"/>
      <c r="AL415"/>
      <c r="AM415"/>
      <c r="AN415"/>
      <c r="AO415"/>
      <c r="AP415"/>
      <c r="AQ415"/>
      <c r="AR415"/>
      <c r="AS415"/>
      <c r="AT415"/>
      <c r="AU415"/>
      <c r="AV415"/>
      <c r="AW415"/>
      <c r="AX415"/>
      <c r="AY415"/>
      <c r="AZ415"/>
      <c r="BA415"/>
      <c r="BB415"/>
      <c r="BC415"/>
      <c r="BD415"/>
      <c r="BE415"/>
      <c r="BF415"/>
      <c r="BG415"/>
      <c r="BH415"/>
      <c r="BI415"/>
      <c r="BJ415"/>
      <c r="BK415"/>
      <c r="BL415"/>
      <c r="BM415"/>
      <c r="BN415"/>
      <c r="BO415"/>
      <c r="BP415"/>
      <c r="BQ415"/>
      <c r="BR415"/>
      <c r="BS415"/>
      <c r="BT415"/>
      <c r="BU415"/>
      <c r="BV415"/>
      <c r="BW415"/>
      <c r="BX415"/>
      <c r="BY415"/>
      <c r="BZ415"/>
      <c r="CA415"/>
      <c r="CB415"/>
      <c r="CC415"/>
    </row>
    <row r="416" spans="1:81" x14ac:dyDescent="0.25">
      <c r="A416"/>
      <c r="B416"/>
      <c r="C416"/>
      <c r="D416"/>
      <c r="E416"/>
      <c r="F416"/>
      <c r="G416"/>
      <c r="H416"/>
      <c r="I416"/>
      <c r="J416"/>
      <c r="K416"/>
      <c r="L416"/>
      <c r="M416"/>
      <c r="N416"/>
      <c r="O416"/>
      <c r="P416"/>
      <c r="Q416"/>
      <c r="R416"/>
      <c r="S416"/>
      <c r="T416"/>
      <c r="U416"/>
      <c r="V416"/>
      <c r="W416"/>
      <c r="X416"/>
      <c r="Y416"/>
      <c r="Z416"/>
      <c r="AA416"/>
      <c r="AB416"/>
      <c r="AC416"/>
      <c r="AD416"/>
      <c r="AE416"/>
      <c r="AF416"/>
      <c r="AG416"/>
      <c r="AH416"/>
      <c r="AI416"/>
      <c r="AJ416"/>
      <c r="AK416"/>
      <c r="AL416"/>
      <c r="AM416"/>
      <c r="AN416"/>
      <c r="AO416"/>
      <c r="AP416"/>
      <c r="AQ416"/>
      <c r="AR416"/>
      <c r="AS416"/>
      <c r="AT416"/>
      <c r="AU416"/>
      <c r="AV416"/>
      <c r="AW416"/>
      <c r="AX416"/>
      <c r="AY416"/>
      <c r="AZ416"/>
      <c r="BA416"/>
      <c r="BB416"/>
      <c r="BC416"/>
      <c r="BD416"/>
      <c r="BE416"/>
      <c r="BF416"/>
      <c r="BG416"/>
      <c r="BH416"/>
      <c r="BI416"/>
      <c r="BJ416"/>
      <c r="BK416"/>
      <c r="BL416"/>
      <c r="BM416"/>
      <c r="BN416"/>
      <c r="BO416"/>
      <c r="BP416"/>
      <c r="BQ416"/>
      <c r="BR416"/>
      <c r="BS416"/>
      <c r="BT416"/>
      <c r="BU416"/>
      <c r="BV416"/>
      <c r="BW416"/>
      <c r="BX416"/>
      <c r="BY416"/>
      <c r="BZ416"/>
      <c r="CA416"/>
      <c r="CB416"/>
      <c r="CC416"/>
    </row>
    <row r="417" spans="1:81" x14ac:dyDescent="0.25">
      <c r="A417"/>
      <c r="B417"/>
      <c r="C417"/>
      <c r="D417"/>
      <c r="E417"/>
      <c r="F417"/>
      <c r="G417"/>
      <c r="H417"/>
      <c r="I417"/>
      <c r="J417"/>
      <c r="K417"/>
      <c r="L417"/>
      <c r="M417"/>
      <c r="N417"/>
      <c r="O417"/>
      <c r="P417"/>
      <c r="Q417"/>
      <c r="R417"/>
      <c r="S417"/>
      <c r="T417"/>
      <c r="U417"/>
      <c r="V417"/>
      <c r="W417"/>
      <c r="X417"/>
      <c r="Y417"/>
      <c r="Z417"/>
      <c r="AA417"/>
      <c r="AB417"/>
      <c r="AC417"/>
      <c r="AD417"/>
      <c r="AE417"/>
      <c r="AF417"/>
      <c r="AG417"/>
      <c r="AH417"/>
      <c r="AI417"/>
      <c r="AJ417"/>
      <c r="AK417"/>
      <c r="AL417"/>
      <c r="AM417"/>
      <c r="AN417"/>
      <c r="AO417"/>
      <c r="AP417"/>
      <c r="AQ417"/>
      <c r="AR417"/>
      <c r="AS417"/>
      <c r="AT417"/>
      <c r="AU417"/>
      <c r="AV417"/>
      <c r="AW417"/>
      <c r="AX417"/>
      <c r="AY417"/>
      <c r="AZ417"/>
      <c r="BA417"/>
      <c r="BB417"/>
      <c r="BC417"/>
      <c r="BD417"/>
      <c r="BE417"/>
      <c r="BF417"/>
      <c r="BG417"/>
      <c r="BH417"/>
      <c r="BI417"/>
      <c r="BJ417"/>
      <c r="BK417"/>
      <c r="BL417"/>
      <c r="BM417"/>
      <c r="BN417"/>
      <c r="BO417"/>
      <c r="BP417"/>
      <c r="BQ417"/>
      <c r="BR417"/>
      <c r="BS417"/>
      <c r="BT417"/>
      <c r="BU417"/>
      <c r="BV417"/>
      <c r="BW417"/>
      <c r="BX417"/>
      <c r="BY417"/>
      <c r="BZ417"/>
      <c r="CA417"/>
      <c r="CB417"/>
      <c r="CC417"/>
    </row>
    <row r="418" spans="1:81" x14ac:dyDescent="0.25">
      <c r="A418"/>
      <c r="B418"/>
      <c r="C418"/>
      <c r="D418"/>
      <c r="E418"/>
      <c r="F418"/>
      <c r="G418"/>
      <c r="H418"/>
      <c r="I418"/>
      <c r="J418"/>
      <c r="K418"/>
      <c r="L418"/>
      <c r="M418"/>
      <c r="N418"/>
      <c r="O418"/>
      <c r="P418"/>
      <c r="Q418"/>
      <c r="R418"/>
      <c r="S418"/>
      <c r="T418"/>
      <c r="U418"/>
      <c r="V418"/>
      <c r="W418"/>
      <c r="X418"/>
      <c r="Y418"/>
      <c r="Z418"/>
      <c r="AA418"/>
      <c r="AB418"/>
      <c r="AC418"/>
      <c r="AD418"/>
      <c r="AE418"/>
      <c r="AF418"/>
      <c r="AG418"/>
      <c r="AH418"/>
      <c r="AI418"/>
      <c r="AJ418"/>
      <c r="AK418"/>
      <c r="AL418"/>
      <c r="AM418"/>
      <c r="AN418"/>
      <c r="AO418"/>
      <c r="AP418"/>
      <c r="AQ418"/>
      <c r="AR418"/>
      <c r="AS418"/>
      <c r="AT418"/>
      <c r="AU418"/>
      <c r="AV418"/>
      <c r="AW418"/>
      <c r="AX418"/>
      <c r="AY418"/>
      <c r="AZ418"/>
      <c r="BA418"/>
      <c r="BB418"/>
      <c r="BC418"/>
      <c r="BD418"/>
      <c r="BE418"/>
      <c r="BF418"/>
      <c r="BG418"/>
      <c r="BH418"/>
      <c r="BI418"/>
      <c r="BJ418"/>
      <c r="BK418"/>
      <c r="BL418"/>
      <c r="BM418"/>
      <c r="BN418"/>
      <c r="BO418"/>
      <c r="BP418"/>
      <c r="BQ418"/>
      <c r="BR418"/>
      <c r="BS418"/>
      <c r="BT418"/>
      <c r="BU418"/>
      <c r="BV418"/>
      <c r="BW418"/>
      <c r="BX418"/>
      <c r="BY418"/>
      <c r="BZ418"/>
      <c r="CA418"/>
      <c r="CB418"/>
      <c r="CC418"/>
    </row>
    <row r="419" spans="1:81" x14ac:dyDescent="0.25">
      <c r="A419"/>
      <c r="B419"/>
      <c r="C419"/>
      <c r="D419"/>
      <c r="E419"/>
      <c r="F419"/>
      <c r="G419"/>
      <c r="H419"/>
      <c r="I419"/>
      <c r="J419"/>
      <c r="K419"/>
      <c r="L419"/>
      <c r="M419"/>
      <c r="N419"/>
      <c r="O419"/>
      <c r="P419"/>
      <c r="Q419"/>
      <c r="R419"/>
      <c r="S419"/>
      <c r="T419"/>
      <c r="U419"/>
      <c r="V419"/>
      <c r="W419"/>
      <c r="X419"/>
      <c r="Y419"/>
      <c r="Z419"/>
      <c r="AA419"/>
      <c r="AB419"/>
      <c r="AC419"/>
      <c r="AD419"/>
      <c r="AE419"/>
      <c r="AF419"/>
      <c r="AG419"/>
      <c r="AH419"/>
      <c r="AI419"/>
      <c r="AJ419"/>
      <c r="AK419"/>
      <c r="AL419"/>
      <c r="AM419"/>
      <c r="AN419"/>
      <c r="AO419"/>
      <c r="AP419"/>
      <c r="AQ419"/>
      <c r="AR419"/>
      <c r="AS419"/>
      <c r="AT419"/>
      <c r="AU419"/>
      <c r="AV419"/>
      <c r="AW419"/>
      <c r="AX419"/>
      <c r="AY419"/>
      <c r="AZ419"/>
      <c r="BA419"/>
      <c r="BB419"/>
      <c r="BC419"/>
      <c r="BD419"/>
      <c r="BE419"/>
      <c r="BF419"/>
      <c r="BG419"/>
      <c r="BH419"/>
      <c r="BI419"/>
      <c r="BJ419"/>
      <c r="BK419"/>
      <c r="BL419"/>
      <c r="BM419"/>
      <c r="BN419"/>
      <c r="BO419"/>
      <c r="BP419"/>
      <c r="BQ419"/>
      <c r="BR419"/>
      <c r="BS419"/>
      <c r="BT419"/>
      <c r="BU419"/>
      <c r="BV419"/>
      <c r="BW419"/>
      <c r="BX419"/>
      <c r="BY419"/>
      <c r="BZ419"/>
      <c r="CA419"/>
      <c r="CB419"/>
      <c r="CC419"/>
    </row>
    <row r="420" spans="1:81" x14ac:dyDescent="0.25">
      <c r="A420"/>
      <c r="B420"/>
      <c r="C420"/>
      <c r="D420"/>
      <c r="E420"/>
      <c r="F420"/>
      <c r="G420"/>
      <c r="H420"/>
      <c r="I420"/>
      <c r="J420"/>
      <c r="K420"/>
      <c r="L420"/>
      <c r="M420"/>
      <c r="N420"/>
      <c r="O420"/>
      <c r="P420"/>
      <c r="Q420"/>
      <c r="R420"/>
      <c r="S420"/>
      <c r="T420"/>
      <c r="U420"/>
      <c r="V420"/>
      <c r="W420"/>
      <c r="X420"/>
      <c r="Y420"/>
      <c r="Z420"/>
      <c r="AA420"/>
      <c r="AB420"/>
      <c r="AC420"/>
      <c r="AD420"/>
      <c r="AE420"/>
      <c r="AF420"/>
      <c r="AG420"/>
      <c r="AH420"/>
      <c r="AI420"/>
      <c r="AJ420"/>
      <c r="AK420"/>
      <c r="AL420"/>
      <c r="AM420"/>
      <c r="AN420"/>
      <c r="AO420"/>
      <c r="AP420"/>
      <c r="AQ420"/>
      <c r="AR420"/>
      <c r="AS420"/>
      <c r="AT420"/>
      <c r="AU420"/>
      <c r="AV420"/>
      <c r="AW420"/>
      <c r="AX420"/>
      <c r="AY420"/>
      <c r="AZ420"/>
      <c r="BA420"/>
      <c r="BB420"/>
      <c r="BC420"/>
      <c r="BD420"/>
      <c r="BE420"/>
      <c r="BF420"/>
      <c r="BG420"/>
      <c r="BH420"/>
      <c r="BI420"/>
      <c r="BJ420"/>
      <c r="BK420"/>
      <c r="BL420"/>
      <c r="BM420"/>
      <c r="BN420"/>
      <c r="BO420"/>
      <c r="BP420"/>
      <c r="BQ420"/>
      <c r="BR420"/>
      <c r="BS420"/>
      <c r="BT420"/>
      <c r="BU420"/>
      <c r="BV420"/>
      <c r="BW420"/>
      <c r="BX420"/>
      <c r="BY420"/>
      <c r="BZ420"/>
      <c r="CA420"/>
      <c r="CB420"/>
      <c r="CC420"/>
    </row>
    <row r="421" spans="1:81" x14ac:dyDescent="0.25">
      <c r="A421"/>
      <c r="B421"/>
      <c r="C421"/>
      <c r="D421"/>
      <c r="E421"/>
      <c r="F421"/>
      <c r="G421"/>
      <c r="H421"/>
      <c r="I421"/>
      <c r="J421"/>
      <c r="K421"/>
      <c r="L421"/>
      <c r="M421"/>
      <c r="N421"/>
      <c r="O421"/>
      <c r="P421"/>
      <c r="Q421"/>
      <c r="R42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c r="BA421"/>
      <c r="BB421"/>
      <c r="BC421"/>
      <c r="BD421"/>
      <c r="BE421"/>
      <c r="BF421"/>
      <c r="BG421"/>
      <c r="BH421"/>
      <c r="BI421"/>
      <c r="BJ421"/>
      <c r="BK421"/>
      <c r="BL421"/>
      <c r="BM421"/>
      <c r="BN421"/>
      <c r="BO421"/>
      <c r="BP421"/>
      <c r="BQ421"/>
      <c r="BR421"/>
      <c r="BS421"/>
      <c r="BT421"/>
      <c r="BU421"/>
      <c r="BV421"/>
      <c r="BW421"/>
      <c r="BX421"/>
      <c r="BY421"/>
      <c r="BZ421"/>
      <c r="CA421"/>
      <c r="CB421"/>
      <c r="CC421"/>
    </row>
    <row r="422" spans="1:81" x14ac:dyDescent="0.25">
      <c r="A422"/>
      <c r="B422"/>
      <c r="C422"/>
      <c r="D422"/>
      <c r="E422"/>
      <c r="F422"/>
      <c r="G422"/>
      <c r="H422"/>
      <c r="I422"/>
      <c r="J422"/>
      <c r="K422"/>
      <c r="L422"/>
      <c r="M422"/>
      <c r="N422"/>
      <c r="O422"/>
      <c r="P422"/>
      <c r="Q422"/>
      <c r="R422"/>
      <c r="S422"/>
      <c r="T422"/>
      <c r="U422"/>
      <c r="V422"/>
      <c r="W422"/>
      <c r="X422"/>
      <c r="Y422"/>
      <c r="Z422"/>
      <c r="AA422"/>
      <c r="AB422"/>
      <c r="AC422"/>
      <c r="AD422"/>
      <c r="AE422"/>
      <c r="AF422"/>
      <c r="AG422"/>
      <c r="AH422"/>
      <c r="AI422"/>
      <c r="AJ422"/>
      <c r="AK422"/>
      <c r="AL422"/>
      <c r="AM422"/>
      <c r="AN422"/>
      <c r="AO422"/>
      <c r="AP422"/>
      <c r="AQ422"/>
      <c r="AR422"/>
      <c r="AS422"/>
      <c r="AT422"/>
      <c r="AU422"/>
      <c r="AV422"/>
      <c r="AW422"/>
      <c r="AX422"/>
      <c r="AY422"/>
      <c r="AZ422"/>
      <c r="BA422"/>
      <c r="BB422"/>
      <c r="BC422"/>
      <c r="BD422"/>
      <c r="BE422"/>
      <c r="BF422"/>
      <c r="BG422"/>
      <c r="BH422"/>
      <c r="BI422"/>
      <c r="BJ422"/>
      <c r="BK422"/>
      <c r="BL422"/>
      <c r="BM422"/>
      <c r="BN422"/>
      <c r="BO422"/>
      <c r="BP422"/>
      <c r="BQ422"/>
      <c r="BR422"/>
      <c r="BS422"/>
      <c r="BT422"/>
      <c r="BU422"/>
      <c r="BV422"/>
      <c r="BW422"/>
      <c r="BX422"/>
      <c r="BY422"/>
      <c r="BZ422"/>
      <c r="CA422"/>
      <c r="CB422"/>
      <c r="CC422"/>
    </row>
    <row r="423" spans="1:81" x14ac:dyDescent="0.25">
      <c r="A423"/>
      <c r="B423"/>
      <c r="C423"/>
      <c r="D423"/>
      <c r="E423"/>
      <c r="F423"/>
      <c r="G423"/>
      <c r="H423"/>
      <c r="I423"/>
      <c r="J423"/>
      <c r="K423"/>
      <c r="L423"/>
      <c r="M423"/>
      <c r="N423"/>
      <c r="O423"/>
      <c r="P423"/>
      <c r="Q423"/>
      <c r="R423"/>
      <c r="S423"/>
      <c r="T423"/>
      <c r="U423"/>
      <c r="V423"/>
      <c r="W423"/>
      <c r="X423"/>
      <c r="Y423"/>
      <c r="Z423"/>
      <c r="AA423"/>
      <c r="AB423"/>
      <c r="AC423"/>
      <c r="AD423"/>
      <c r="AE423"/>
      <c r="AF423"/>
      <c r="AG423"/>
      <c r="AH423"/>
      <c r="AI423"/>
      <c r="AJ423"/>
      <c r="AK423"/>
      <c r="AL423"/>
      <c r="AM423"/>
      <c r="AN423"/>
      <c r="AO423"/>
      <c r="AP423"/>
      <c r="AQ423"/>
      <c r="AR423"/>
      <c r="AS423"/>
      <c r="AT423"/>
      <c r="AU423"/>
      <c r="AV423"/>
      <c r="AW423"/>
      <c r="AX423"/>
      <c r="AY423"/>
      <c r="AZ423"/>
      <c r="BA423"/>
      <c r="BB423"/>
      <c r="BC423"/>
      <c r="BD423"/>
      <c r="BE423"/>
      <c r="BF423"/>
      <c r="BG423"/>
      <c r="BH423"/>
      <c r="BI423"/>
      <c r="BJ423"/>
      <c r="BK423"/>
      <c r="BL423"/>
      <c r="BM423"/>
      <c r="BN423"/>
      <c r="BO423"/>
      <c r="BP423"/>
      <c r="BQ423"/>
      <c r="BR423"/>
      <c r="BS423"/>
      <c r="BT423"/>
      <c r="BU423"/>
      <c r="BV423"/>
      <c r="BW423"/>
      <c r="BX423"/>
      <c r="BY423"/>
      <c r="BZ423"/>
      <c r="CA423"/>
      <c r="CB423"/>
      <c r="CC423"/>
    </row>
    <row r="424" spans="1:81" x14ac:dyDescent="0.25">
      <c r="A424"/>
      <c r="B424"/>
      <c r="C424"/>
      <c r="D424"/>
      <c r="E424"/>
      <c r="F424"/>
      <c r="G424"/>
      <c r="H424"/>
      <c r="I424"/>
      <c r="J424"/>
      <c r="K424"/>
      <c r="L424"/>
      <c r="M424"/>
      <c r="N424"/>
      <c r="O424"/>
      <c r="P424"/>
      <c r="Q424"/>
      <c r="R424"/>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c r="AY424"/>
      <c r="AZ424"/>
      <c r="BA424"/>
      <c r="BB424"/>
      <c r="BC424"/>
      <c r="BD424"/>
      <c r="BE424"/>
      <c r="BF424"/>
      <c r="BG424"/>
      <c r="BH424"/>
      <c r="BI424"/>
      <c r="BJ424"/>
      <c r="BK424"/>
      <c r="BL424"/>
      <c r="BM424"/>
      <c r="BN424"/>
      <c r="BO424"/>
      <c r="BP424"/>
      <c r="BQ424"/>
      <c r="BR424"/>
      <c r="BS424"/>
      <c r="BT424"/>
      <c r="BU424"/>
      <c r="BV424"/>
      <c r="BW424"/>
      <c r="BX424"/>
      <c r="BY424"/>
      <c r="BZ424"/>
      <c r="CA424"/>
      <c r="CB424"/>
      <c r="CC424"/>
    </row>
    <row r="425" spans="1:81" x14ac:dyDescent="0.25">
      <c r="A425"/>
      <c r="B425"/>
      <c r="C425"/>
      <c r="D425"/>
      <c r="E425"/>
      <c r="F425"/>
      <c r="G425"/>
      <c r="H425"/>
      <c r="I425"/>
      <c r="J425"/>
      <c r="K425"/>
      <c r="L425"/>
      <c r="M425"/>
      <c r="N425"/>
      <c r="O425"/>
      <c r="P425"/>
      <c r="Q425"/>
      <c r="R425"/>
      <c r="S425"/>
      <c r="T425"/>
      <c r="U425"/>
      <c r="V425"/>
      <c r="W425"/>
      <c r="X425"/>
      <c r="Y425"/>
      <c r="Z425"/>
      <c r="AA425"/>
      <c r="AB425"/>
      <c r="AC425"/>
      <c r="AD425"/>
      <c r="AE425"/>
      <c r="AF425"/>
      <c r="AG425"/>
      <c r="AH425"/>
      <c r="AI425"/>
      <c r="AJ425"/>
      <c r="AK425"/>
      <c r="AL425"/>
      <c r="AM425"/>
      <c r="AN425"/>
      <c r="AO425"/>
      <c r="AP425"/>
      <c r="AQ425"/>
      <c r="AR425"/>
      <c r="AS425"/>
      <c r="AT425"/>
      <c r="AU425"/>
      <c r="AV425"/>
      <c r="AW425"/>
      <c r="AX425"/>
      <c r="AY425"/>
      <c r="AZ425"/>
      <c r="BA425"/>
      <c r="BB425"/>
      <c r="BC425"/>
      <c r="BD425"/>
      <c r="BE425"/>
      <c r="BF425"/>
      <c r="BG425"/>
      <c r="BH425"/>
      <c r="BI425"/>
      <c r="BJ425"/>
      <c r="BK425"/>
      <c r="BL425"/>
      <c r="BM425"/>
      <c r="BN425"/>
      <c r="BO425"/>
      <c r="BP425"/>
      <c r="BQ425"/>
      <c r="BR425"/>
      <c r="BS425"/>
      <c r="BT425"/>
      <c r="BU425"/>
      <c r="BV425"/>
      <c r="BW425"/>
      <c r="BX425"/>
      <c r="BY425"/>
      <c r="BZ425"/>
      <c r="CA425"/>
      <c r="CB425"/>
      <c r="CC425"/>
    </row>
    <row r="426" spans="1:81" x14ac:dyDescent="0.25">
      <c r="A426"/>
      <c r="B426"/>
      <c r="C426"/>
      <c r="D426"/>
      <c r="E426"/>
      <c r="F426"/>
      <c r="G426"/>
      <c r="H426"/>
      <c r="I426"/>
      <c r="J426"/>
      <c r="K426"/>
      <c r="L426"/>
      <c r="M426"/>
      <c r="N426"/>
      <c r="O426"/>
      <c r="P426"/>
      <c r="Q426"/>
      <c r="R426"/>
      <c r="S426"/>
      <c r="T426"/>
      <c r="U426"/>
      <c r="V426"/>
      <c r="W426"/>
      <c r="X426"/>
      <c r="Y426"/>
      <c r="Z426"/>
      <c r="AA426"/>
      <c r="AB426"/>
      <c r="AC426"/>
      <c r="AD426"/>
      <c r="AE426"/>
      <c r="AF426"/>
      <c r="AG426"/>
      <c r="AH426"/>
      <c r="AI426"/>
      <c r="AJ426"/>
      <c r="AK426"/>
      <c r="AL426"/>
      <c r="AM426"/>
      <c r="AN426"/>
      <c r="AO426"/>
      <c r="AP426"/>
      <c r="AQ426"/>
      <c r="AR426"/>
      <c r="AS426"/>
      <c r="AT426"/>
      <c r="AU426"/>
      <c r="AV426"/>
      <c r="AW426"/>
      <c r="AX426"/>
      <c r="AY426"/>
      <c r="AZ426"/>
      <c r="BA426"/>
      <c r="BB426"/>
      <c r="BC426"/>
      <c r="BD426"/>
      <c r="BE426"/>
      <c r="BF426"/>
      <c r="BG426"/>
      <c r="BH426"/>
      <c r="BI426"/>
      <c r="BJ426"/>
      <c r="BK426"/>
      <c r="BL426"/>
      <c r="BM426"/>
      <c r="BN426"/>
      <c r="BO426"/>
      <c r="BP426"/>
      <c r="BQ426"/>
      <c r="BR426"/>
      <c r="BS426"/>
      <c r="BT426"/>
      <c r="BU426"/>
      <c r="BV426"/>
      <c r="BW426"/>
      <c r="BX426"/>
      <c r="BY426"/>
      <c r="BZ426"/>
      <c r="CA426"/>
      <c r="CB426"/>
      <c r="CC426"/>
    </row>
    <row r="427" spans="1:81" x14ac:dyDescent="0.25">
      <c r="A427"/>
      <c r="B427"/>
      <c r="C427"/>
      <c r="D427"/>
      <c r="E427"/>
      <c r="F427"/>
      <c r="G427"/>
      <c r="H427"/>
      <c r="I427"/>
      <c r="J427"/>
      <c r="K427"/>
      <c r="L427"/>
      <c r="M427"/>
      <c r="N427"/>
      <c r="O427"/>
      <c r="P427"/>
      <c r="Q427"/>
      <c r="R427"/>
      <c r="S427"/>
      <c r="T427"/>
      <c r="U427"/>
      <c r="V427"/>
      <c r="W427"/>
      <c r="X427"/>
      <c r="Y427"/>
      <c r="Z427"/>
      <c r="AA427"/>
      <c r="AB427"/>
      <c r="AC427"/>
      <c r="AD427"/>
      <c r="AE427"/>
      <c r="AF427"/>
      <c r="AG427"/>
      <c r="AH427"/>
      <c r="AI427"/>
      <c r="AJ427"/>
      <c r="AK427"/>
      <c r="AL427"/>
      <c r="AM427"/>
      <c r="AN427"/>
      <c r="AO427"/>
      <c r="AP427"/>
      <c r="AQ427"/>
      <c r="AR427"/>
      <c r="AS427"/>
      <c r="AT427"/>
      <c r="AU427"/>
      <c r="AV427"/>
      <c r="AW427"/>
      <c r="AX427"/>
      <c r="AY427"/>
      <c r="AZ427"/>
      <c r="BA427"/>
      <c r="BB427"/>
      <c r="BC427"/>
      <c r="BD427"/>
      <c r="BE427"/>
      <c r="BF427"/>
      <c r="BG427"/>
      <c r="BH427"/>
      <c r="BI427"/>
      <c r="BJ427"/>
      <c r="BK427"/>
      <c r="BL427"/>
      <c r="BM427"/>
      <c r="BN427"/>
      <c r="BO427"/>
      <c r="BP427"/>
      <c r="BQ427"/>
      <c r="BR427"/>
      <c r="BS427"/>
      <c r="BT427"/>
      <c r="BU427"/>
      <c r="BV427"/>
      <c r="BW427"/>
      <c r="BX427"/>
      <c r="BY427"/>
      <c r="BZ427"/>
      <c r="CA427"/>
      <c r="CB427"/>
      <c r="CC427"/>
    </row>
  </sheetData>
  <sortState xmlns:xlrd2="http://schemas.microsoft.com/office/spreadsheetml/2017/richdata2" ref="A4:AC13">
    <sortCondition ref="Q4:Q13"/>
    <sortCondition ref="X4:X13"/>
    <sortCondition ref="P4:P13"/>
  </sortState>
  <phoneticPr fontId="10" type="noConversion"/>
  <conditionalFormatting sqref="C48">
    <cfRule type="expression" dxfId="199" priority="20594" stopIfTrue="1">
      <formula>AND(NOT(ISBLANK(C48)),NOT(_xlfn.ISFORMULA(C48)))</formula>
    </cfRule>
  </conditionalFormatting>
  <conditionalFormatting sqref="D48">
    <cfRule type="expression" dxfId="198" priority="20593" stopIfTrue="1">
      <formula>AND(NOT(ISBLANK(D48)),NOT(_xlfn.ISFORMULA(D48)))</formula>
    </cfRule>
  </conditionalFormatting>
  <conditionalFormatting sqref="G48">
    <cfRule type="expression" dxfId="197" priority="20592" stopIfTrue="1">
      <formula>AND(NOT(ISBLANK(G48)),NOT(_xlfn.ISFORMULA(G48)))</formula>
    </cfRule>
  </conditionalFormatting>
  <conditionalFormatting sqref="H48">
    <cfRule type="expression" dxfId="196" priority="20591" stopIfTrue="1">
      <formula>AND(NOT(ISBLANK(H48)),NOT(_xlfn.ISFORMULA(H48)))</formula>
    </cfRule>
  </conditionalFormatting>
  <conditionalFormatting sqref="D39">
    <cfRule type="expression" dxfId="195" priority="20709" stopIfTrue="1">
      <formula>AND(NOT(ISBLANK(D39)),NOT(_xlfn.ISFORMULA(D39)))</formula>
    </cfRule>
  </conditionalFormatting>
  <conditionalFormatting sqref="G39">
    <cfRule type="expression" dxfId="194" priority="20708" stopIfTrue="1">
      <formula>AND(NOT(ISBLANK(G39)),NOT(_xlfn.ISFORMULA(G39)))</formula>
    </cfRule>
  </conditionalFormatting>
  <conditionalFormatting sqref="H39">
    <cfRule type="expression" dxfId="193" priority="20707" stopIfTrue="1">
      <formula>AND(NOT(ISBLANK(H39)),NOT(_xlfn.ISFORMULA(H39)))</formula>
    </cfRule>
  </conditionalFormatting>
  <conditionalFormatting sqref="E28">
    <cfRule type="expression" dxfId="192" priority="20705">
      <formula>AND(AND(NOT(ISBLANK(D28)),NOT(D28=$O$1)),AND(NOT(ISBLANK(C28)),NOT(C28=$O$1)))</formula>
    </cfRule>
    <cfRule type="expression" dxfId="191" priority="20706">
      <formula>OR(AND(NOT(ISBLANK(D28)),NOT(D28=$O$1)),AND(NOT(ISBLANK(C28)),NOT(C28=$O$1)))</formula>
    </cfRule>
  </conditionalFormatting>
  <conditionalFormatting sqref="F28">
    <cfRule type="expression" dxfId="190" priority="20703">
      <formula>AND(AND(NOT(ISBLANK(G28)),NOT(G28=$O$1)),AND(NOT(ISBLANK(H28)),NOT(H28=$O$1)))</formula>
    </cfRule>
    <cfRule type="expression" dxfId="189" priority="20704">
      <formula>OR(AND(NOT(ISBLANK(G28)),NOT(G28=$O$1)),AND(NOT(ISBLANK(H28)),NOT(H28=$O$1)))</formula>
    </cfRule>
  </conditionalFormatting>
  <conditionalFormatting sqref="C28">
    <cfRule type="expression" dxfId="188" priority="20702" stopIfTrue="1">
      <formula>AND(NOT(ISBLANK(C28)),NOT(_xlfn.ISFORMULA(C28)))</formula>
    </cfRule>
  </conditionalFormatting>
  <conditionalFormatting sqref="D28">
    <cfRule type="expression" dxfId="187" priority="20701" stopIfTrue="1">
      <formula>AND(NOT(ISBLANK(D28)),NOT(_xlfn.ISFORMULA(D28)))</formula>
    </cfRule>
  </conditionalFormatting>
  <conditionalFormatting sqref="G28">
    <cfRule type="expression" dxfId="186" priority="20700" stopIfTrue="1">
      <formula>AND(NOT(ISBLANK(G28)),NOT(_xlfn.ISFORMULA(G28)))</formula>
    </cfRule>
  </conditionalFormatting>
  <conditionalFormatting sqref="H28">
    <cfRule type="expression" dxfId="185" priority="20699" stopIfTrue="1">
      <formula>AND(NOT(ISBLANK(H28)),NOT(_xlfn.ISFORMULA(H28)))</formula>
    </cfRule>
  </conditionalFormatting>
  <conditionalFormatting sqref="E39">
    <cfRule type="expression" dxfId="184" priority="20713">
      <formula>AND(AND(NOT(ISBLANK(D39)),NOT(D39=$O$1)),AND(NOT(ISBLANK(C39)),NOT(C39=$O$1)))</formula>
    </cfRule>
    <cfRule type="expression" dxfId="183" priority="20714">
      <formula>OR(AND(NOT(ISBLANK(D39)),NOT(D39=$O$1)),AND(NOT(ISBLANK(C39)),NOT(C39=$O$1)))</formula>
    </cfRule>
  </conditionalFormatting>
  <conditionalFormatting sqref="F39">
    <cfRule type="expression" dxfId="182" priority="20711">
      <formula>AND(AND(NOT(ISBLANK(G39)),NOT(G39=$O$1)),AND(NOT(ISBLANK(H39)),NOT(H39=$O$1)))</formula>
    </cfRule>
    <cfRule type="expression" dxfId="181" priority="20712">
      <formula>OR(AND(NOT(ISBLANK(G39)),NOT(G39=$O$1)),AND(NOT(ISBLANK(H39)),NOT(H39=$O$1)))</formula>
    </cfRule>
  </conditionalFormatting>
  <conditionalFormatting sqref="C39">
    <cfRule type="expression" dxfId="180" priority="20710" stopIfTrue="1">
      <formula>AND(NOT(ISBLANK(C39)),NOT(_xlfn.ISFORMULA(C39)))</formula>
    </cfRule>
  </conditionalFormatting>
  <conditionalFormatting sqref="E40">
    <cfRule type="expression" dxfId="179" priority="20697">
      <formula>AND(AND(NOT(ISBLANK(D40)),NOT(D40=$O$1)),AND(NOT(ISBLANK(C40)),NOT(C40=$O$1)))</formula>
    </cfRule>
    <cfRule type="expression" dxfId="178" priority="20698">
      <formula>OR(AND(NOT(ISBLANK(D40)),NOT(D40=$O$1)),AND(NOT(ISBLANK(C40)),NOT(C40=$O$1)))</formula>
    </cfRule>
  </conditionalFormatting>
  <conditionalFormatting sqref="F40">
    <cfRule type="expression" dxfId="177" priority="20695">
      <formula>AND(AND(NOT(ISBLANK(G40)),NOT(G40=$O$1)),AND(NOT(ISBLANK(H40)),NOT(H40=$O$1)))</formula>
    </cfRule>
    <cfRule type="expression" dxfId="176" priority="20696">
      <formula>OR(AND(NOT(ISBLANK(G40)),NOT(G40=$O$1)),AND(NOT(ISBLANK(H40)),NOT(H40=$O$1)))</formula>
    </cfRule>
  </conditionalFormatting>
  <conditionalFormatting sqref="C40">
    <cfRule type="expression" dxfId="175" priority="20694" stopIfTrue="1">
      <formula>AND(NOT(ISBLANK(C40)),NOT(_xlfn.ISFORMULA(C40)))</formula>
    </cfRule>
  </conditionalFormatting>
  <conditionalFormatting sqref="D40">
    <cfRule type="expression" dxfId="174" priority="20693" stopIfTrue="1">
      <formula>AND(NOT(ISBLANK(D40)),NOT(_xlfn.ISFORMULA(D40)))</formula>
    </cfRule>
  </conditionalFormatting>
  <conditionalFormatting sqref="G40">
    <cfRule type="expression" dxfId="173" priority="20692" stopIfTrue="1">
      <formula>AND(NOT(ISBLANK(G40)),NOT(_xlfn.ISFORMULA(G40)))</formula>
    </cfRule>
  </conditionalFormatting>
  <conditionalFormatting sqref="H40">
    <cfRule type="expression" dxfId="172" priority="20691" stopIfTrue="1">
      <formula>AND(NOT(ISBLANK(H40)),NOT(_xlfn.ISFORMULA(H40)))</formula>
    </cfRule>
  </conditionalFormatting>
  <conditionalFormatting sqref="C41">
    <cfRule type="expression" dxfId="171" priority="20686" stopIfTrue="1">
      <formula>AND(NOT(ISBLANK(C41)),NOT(_xlfn.ISFORMULA(C41)))</formula>
    </cfRule>
  </conditionalFormatting>
  <conditionalFormatting sqref="D41">
    <cfRule type="expression" dxfId="170" priority="20685" stopIfTrue="1">
      <formula>AND(NOT(ISBLANK(D41)),NOT(_xlfn.ISFORMULA(D41)))</formula>
    </cfRule>
  </conditionalFormatting>
  <conditionalFormatting sqref="G41">
    <cfRule type="expression" dxfId="169" priority="20684" stopIfTrue="1">
      <formula>AND(NOT(ISBLANK(G41)),NOT(_xlfn.ISFORMULA(G41)))</formula>
    </cfRule>
  </conditionalFormatting>
  <conditionalFormatting sqref="E41">
    <cfRule type="expression" dxfId="168" priority="20689">
      <formula>AND(AND(NOT(ISBLANK(D41)),NOT(D41=$O$1)),AND(NOT(ISBLANK(C41)),NOT(C41=$O$1)))</formula>
    </cfRule>
    <cfRule type="expression" dxfId="167" priority="20690">
      <formula>OR(AND(NOT(ISBLANK(D41)),NOT(D41=$O$1)),AND(NOT(ISBLANK(C41)),NOT(C41=$O$1)))</formula>
    </cfRule>
  </conditionalFormatting>
  <conditionalFormatting sqref="F41">
    <cfRule type="expression" dxfId="166" priority="20687">
      <formula>AND(AND(NOT(ISBLANK(G41)),NOT(G41=$O$1)),AND(NOT(ISBLANK(H41)),NOT(H41=$O$1)))</formula>
    </cfRule>
    <cfRule type="expression" dxfId="165" priority="20688">
      <formula>OR(AND(NOT(ISBLANK(G41)),NOT(G41=$O$1)),AND(NOT(ISBLANK(H41)),NOT(H41=$O$1)))</formula>
    </cfRule>
  </conditionalFormatting>
  <conditionalFormatting sqref="C29">
    <cfRule type="expression" dxfId="164" priority="20678" stopIfTrue="1">
      <formula>AND(NOT(ISBLANK(C29)),NOT(_xlfn.ISFORMULA(C29)))</formula>
    </cfRule>
  </conditionalFormatting>
  <conditionalFormatting sqref="D29">
    <cfRule type="expression" dxfId="163" priority="20677" stopIfTrue="1">
      <formula>AND(NOT(ISBLANK(D29)),NOT(_xlfn.ISFORMULA(D29)))</formula>
    </cfRule>
  </conditionalFormatting>
  <conditionalFormatting sqref="G29">
    <cfRule type="expression" dxfId="162" priority="20676" stopIfTrue="1">
      <formula>AND(NOT(ISBLANK(G29)),NOT(_xlfn.ISFORMULA(G29)))</formula>
    </cfRule>
  </conditionalFormatting>
  <conditionalFormatting sqref="H41">
    <cfRule type="expression" dxfId="161" priority="20683" stopIfTrue="1">
      <formula>AND(NOT(ISBLANK(H41)),NOT(_xlfn.ISFORMULA(H41)))</formula>
    </cfRule>
  </conditionalFormatting>
  <conditionalFormatting sqref="E29">
    <cfRule type="expression" dxfId="160" priority="20681">
      <formula>AND(AND(NOT(ISBLANK(D29)),NOT(D29=$O$1)),AND(NOT(ISBLANK(C29)),NOT(C29=$O$1)))</formula>
    </cfRule>
    <cfRule type="expression" dxfId="159" priority="20682">
      <formula>OR(AND(NOT(ISBLANK(D29)),NOT(D29=$O$1)),AND(NOT(ISBLANK(C29)),NOT(C29=$O$1)))</formula>
    </cfRule>
  </conditionalFormatting>
  <conditionalFormatting sqref="F29">
    <cfRule type="expression" dxfId="158" priority="20679">
      <formula>AND(AND(NOT(ISBLANK(G29)),NOT(G29=$O$1)),AND(NOT(ISBLANK(H29)),NOT(H29=$O$1)))</formula>
    </cfRule>
    <cfRule type="expression" dxfId="157" priority="20680">
      <formula>OR(AND(NOT(ISBLANK(G29)),NOT(G29=$O$1)),AND(NOT(ISBLANK(H29)),NOT(H29=$O$1)))</formula>
    </cfRule>
  </conditionalFormatting>
  <conditionalFormatting sqref="C42">
    <cfRule type="expression" dxfId="156" priority="20670" stopIfTrue="1">
      <formula>AND(NOT(ISBLANK(C42)),NOT(_xlfn.ISFORMULA(C42)))</formula>
    </cfRule>
  </conditionalFormatting>
  <conditionalFormatting sqref="D42">
    <cfRule type="expression" dxfId="155" priority="20669" stopIfTrue="1">
      <formula>AND(NOT(ISBLANK(D42)),NOT(_xlfn.ISFORMULA(D42)))</formula>
    </cfRule>
  </conditionalFormatting>
  <conditionalFormatting sqref="G42">
    <cfRule type="expression" dxfId="154" priority="20668" stopIfTrue="1">
      <formula>AND(NOT(ISBLANK(G42)),NOT(_xlfn.ISFORMULA(G42)))</formula>
    </cfRule>
  </conditionalFormatting>
  <conditionalFormatting sqref="H29">
    <cfRule type="expression" dxfId="153" priority="20675" stopIfTrue="1">
      <formula>AND(NOT(ISBLANK(H29)),NOT(_xlfn.ISFORMULA(H29)))</formula>
    </cfRule>
  </conditionalFormatting>
  <conditionalFormatting sqref="E42">
    <cfRule type="expression" dxfId="152" priority="20673">
      <formula>AND(AND(NOT(ISBLANK(D42)),NOT(D42=$O$1)),AND(NOT(ISBLANK(C42)),NOT(C42=$O$1)))</formula>
    </cfRule>
    <cfRule type="expression" dxfId="151" priority="20674">
      <formula>OR(AND(NOT(ISBLANK(D42)),NOT(D42=$O$1)),AND(NOT(ISBLANK(C42)),NOT(C42=$O$1)))</formula>
    </cfRule>
  </conditionalFormatting>
  <conditionalFormatting sqref="F42">
    <cfRule type="expression" dxfId="150" priority="20671">
      <formula>AND(AND(NOT(ISBLANK(G42)),NOT(G42=$O$1)),AND(NOT(ISBLANK(H42)),NOT(H42=$O$1)))</formula>
    </cfRule>
    <cfRule type="expression" dxfId="149" priority="20672">
      <formula>OR(AND(NOT(ISBLANK(G42)),NOT(G42=$O$1)),AND(NOT(ISBLANK(H42)),NOT(H42=$O$1)))</formula>
    </cfRule>
  </conditionalFormatting>
  <conditionalFormatting sqref="H42">
    <cfRule type="expression" dxfId="148" priority="20667" stopIfTrue="1">
      <formula>AND(NOT(ISBLANK(H42)),NOT(_xlfn.ISFORMULA(H42)))</formula>
    </cfRule>
  </conditionalFormatting>
  <conditionalFormatting sqref="H43">
    <cfRule type="expression" dxfId="147" priority="20659" stopIfTrue="1">
      <formula>AND(NOT(ISBLANK(H43)),NOT(_xlfn.ISFORMULA(H43)))</formula>
    </cfRule>
  </conditionalFormatting>
  <conditionalFormatting sqref="E43">
    <cfRule type="expression" dxfId="146" priority="20665">
      <formula>AND(AND(NOT(ISBLANK(D43)),NOT(D43=$O$1)),AND(NOT(ISBLANK(C43)),NOT(C43=$O$1)))</formula>
    </cfRule>
    <cfRule type="expression" dxfId="145" priority="20666">
      <formula>OR(AND(NOT(ISBLANK(D43)),NOT(D43=$O$1)),AND(NOT(ISBLANK(C43)),NOT(C43=$O$1)))</formula>
    </cfRule>
  </conditionalFormatting>
  <conditionalFormatting sqref="F43">
    <cfRule type="expression" dxfId="144" priority="20663">
      <formula>AND(AND(NOT(ISBLANK(G43)),NOT(G43=$O$1)),AND(NOT(ISBLANK(H43)),NOT(H43=$O$1)))</formula>
    </cfRule>
    <cfRule type="expression" dxfId="143" priority="20664">
      <formula>OR(AND(NOT(ISBLANK(G43)),NOT(G43=$O$1)),AND(NOT(ISBLANK(H43)),NOT(H43=$O$1)))</formula>
    </cfRule>
  </conditionalFormatting>
  <conditionalFormatting sqref="C43">
    <cfRule type="expression" dxfId="142" priority="20662" stopIfTrue="1">
      <formula>AND(NOT(ISBLANK(C43)),NOT(_xlfn.ISFORMULA(C43)))</formula>
    </cfRule>
  </conditionalFormatting>
  <conditionalFormatting sqref="D43">
    <cfRule type="expression" dxfId="141" priority="20661" stopIfTrue="1">
      <formula>AND(NOT(ISBLANK(D43)),NOT(_xlfn.ISFORMULA(D43)))</formula>
    </cfRule>
  </conditionalFormatting>
  <conditionalFormatting sqref="G43">
    <cfRule type="expression" dxfId="140" priority="20660" stopIfTrue="1">
      <formula>AND(NOT(ISBLANK(G43)),NOT(_xlfn.ISFORMULA(G43)))</formula>
    </cfRule>
  </conditionalFormatting>
  <conditionalFormatting sqref="E30">
    <cfRule type="expression" dxfId="139" priority="20657">
      <formula>AND(AND(NOT(ISBLANK(D30)),NOT(D30=$O$1)),AND(NOT(ISBLANK(C30)),NOT(C30=$O$1)))</formula>
    </cfRule>
    <cfRule type="expression" dxfId="138" priority="20658">
      <formula>OR(AND(NOT(ISBLANK(D30)),NOT(D30=$O$1)),AND(NOT(ISBLANK(C30)),NOT(C30=$O$1)))</formula>
    </cfRule>
  </conditionalFormatting>
  <conditionalFormatting sqref="F30">
    <cfRule type="expression" dxfId="137" priority="20655">
      <formula>AND(AND(NOT(ISBLANK(G30)),NOT(G30=$O$1)),AND(NOT(ISBLANK(H30)),NOT(H30=$O$1)))</formula>
    </cfRule>
    <cfRule type="expression" dxfId="136" priority="20656">
      <formula>OR(AND(NOT(ISBLANK(G30)),NOT(G30=$O$1)),AND(NOT(ISBLANK(H30)),NOT(H30=$O$1)))</formula>
    </cfRule>
  </conditionalFormatting>
  <conditionalFormatting sqref="C30">
    <cfRule type="expression" dxfId="135" priority="20654" stopIfTrue="1">
      <formula>AND(NOT(ISBLANK(C30)),NOT(_xlfn.ISFORMULA(C30)))</formula>
    </cfRule>
  </conditionalFormatting>
  <conditionalFormatting sqref="D30">
    <cfRule type="expression" dxfId="134" priority="20653" stopIfTrue="1">
      <formula>AND(NOT(ISBLANK(D30)),NOT(_xlfn.ISFORMULA(D30)))</formula>
    </cfRule>
  </conditionalFormatting>
  <conditionalFormatting sqref="G30">
    <cfRule type="expression" dxfId="133" priority="20652" stopIfTrue="1">
      <formula>AND(NOT(ISBLANK(G30)),NOT(_xlfn.ISFORMULA(G30)))</formula>
    </cfRule>
  </conditionalFormatting>
  <conditionalFormatting sqref="H30">
    <cfRule type="expression" dxfId="132" priority="20651" stopIfTrue="1">
      <formula>AND(NOT(ISBLANK(H30)),NOT(_xlfn.ISFORMULA(H30)))</formula>
    </cfRule>
  </conditionalFormatting>
  <conditionalFormatting sqref="E44">
    <cfRule type="expression" dxfId="131" priority="20649">
      <formula>AND(AND(NOT(ISBLANK(D44)),NOT(D44=$O$1)),AND(NOT(ISBLANK(C44)),NOT(C44=$O$1)))</formula>
    </cfRule>
    <cfRule type="expression" dxfId="130" priority="20650">
      <formula>OR(AND(NOT(ISBLANK(D44)),NOT(D44=$O$1)),AND(NOT(ISBLANK(C44)),NOT(C44=$O$1)))</formula>
    </cfRule>
  </conditionalFormatting>
  <conditionalFormatting sqref="F44">
    <cfRule type="expression" dxfId="129" priority="20647">
      <formula>AND(AND(NOT(ISBLANK(G44)),NOT(G44=$O$1)),AND(NOT(ISBLANK(H44)),NOT(H44=$O$1)))</formula>
    </cfRule>
    <cfRule type="expression" dxfId="128" priority="20648">
      <formula>OR(AND(NOT(ISBLANK(G44)),NOT(G44=$O$1)),AND(NOT(ISBLANK(H44)),NOT(H44=$O$1)))</formula>
    </cfRule>
  </conditionalFormatting>
  <conditionalFormatting sqref="C44">
    <cfRule type="expression" dxfId="127" priority="20646" stopIfTrue="1">
      <formula>AND(NOT(ISBLANK(C44)),NOT(_xlfn.ISFORMULA(C44)))</formula>
    </cfRule>
  </conditionalFormatting>
  <conditionalFormatting sqref="D44">
    <cfRule type="expression" dxfId="126" priority="20645" stopIfTrue="1">
      <formula>AND(NOT(ISBLANK(D44)),NOT(_xlfn.ISFORMULA(D44)))</formula>
    </cfRule>
  </conditionalFormatting>
  <conditionalFormatting sqref="G44">
    <cfRule type="expression" dxfId="125" priority="20644" stopIfTrue="1">
      <formula>AND(NOT(ISBLANK(G44)),NOT(_xlfn.ISFORMULA(G44)))</formula>
    </cfRule>
  </conditionalFormatting>
  <conditionalFormatting sqref="H44">
    <cfRule type="expression" dxfId="124" priority="20643" stopIfTrue="1">
      <formula>AND(NOT(ISBLANK(H44)),NOT(_xlfn.ISFORMULA(H44)))</formula>
    </cfRule>
  </conditionalFormatting>
  <conditionalFormatting sqref="H45">
    <cfRule type="expression" dxfId="123" priority="20631" stopIfTrue="1">
      <formula>AND(NOT(ISBLANK(H45)),NOT(_xlfn.ISFORMULA(H45)))</formula>
    </cfRule>
  </conditionalFormatting>
  <conditionalFormatting sqref="E45">
    <cfRule type="expression" dxfId="122" priority="20637">
      <formula>AND(AND(NOT(ISBLANK(D45)),NOT(D45=$O$1)),AND(NOT(ISBLANK(C45)),NOT(C45=$O$1)))</formula>
    </cfRule>
    <cfRule type="expression" dxfId="121" priority="20638">
      <formula>OR(AND(NOT(ISBLANK(D45)),NOT(D45=$O$1)),AND(NOT(ISBLANK(C45)),NOT(C45=$O$1)))</formula>
    </cfRule>
  </conditionalFormatting>
  <conditionalFormatting sqref="F45">
    <cfRule type="expression" dxfId="120" priority="20635">
      <formula>AND(AND(NOT(ISBLANK(G45)),NOT(G45=$O$1)),AND(NOT(ISBLANK(H45)),NOT(H45=$O$1)))</formula>
    </cfRule>
    <cfRule type="expression" dxfId="119" priority="20636">
      <formula>OR(AND(NOT(ISBLANK(G45)),NOT(G45=$O$1)),AND(NOT(ISBLANK(H45)),NOT(H45=$O$1)))</formula>
    </cfRule>
  </conditionalFormatting>
  <conditionalFormatting sqref="C45">
    <cfRule type="expression" dxfId="118" priority="20634" stopIfTrue="1">
      <formula>AND(NOT(ISBLANK(C45)),NOT(_xlfn.ISFORMULA(C45)))</formula>
    </cfRule>
  </conditionalFormatting>
  <conditionalFormatting sqref="D45">
    <cfRule type="expression" dxfId="117" priority="20633" stopIfTrue="1">
      <formula>AND(NOT(ISBLANK(D45)),NOT(_xlfn.ISFORMULA(D45)))</formula>
    </cfRule>
  </conditionalFormatting>
  <conditionalFormatting sqref="G45">
    <cfRule type="expression" dxfId="116" priority="20632" stopIfTrue="1">
      <formula>AND(NOT(ISBLANK(G45)),NOT(_xlfn.ISFORMULA(G45)))</formula>
    </cfRule>
  </conditionalFormatting>
  <conditionalFormatting sqref="E31">
    <cfRule type="expression" dxfId="115" priority="20629">
      <formula>AND(AND(NOT(ISBLANK(D31)),NOT(D31=$O$1)),AND(NOT(ISBLANK(C31)),NOT(C31=$O$1)))</formula>
    </cfRule>
    <cfRule type="expression" dxfId="114" priority="20630">
      <formula>OR(AND(NOT(ISBLANK(D31)),NOT(D31=$O$1)),AND(NOT(ISBLANK(C31)),NOT(C31=$O$1)))</formula>
    </cfRule>
  </conditionalFormatting>
  <conditionalFormatting sqref="F31">
    <cfRule type="expression" dxfId="113" priority="20627">
      <formula>AND(AND(NOT(ISBLANK(G31)),NOT(G31=$O$1)),AND(NOT(ISBLANK(H31)),NOT(H31=$O$1)))</formula>
    </cfRule>
    <cfRule type="expression" dxfId="112" priority="20628">
      <formula>OR(AND(NOT(ISBLANK(G31)),NOT(G31=$O$1)),AND(NOT(ISBLANK(H31)),NOT(H31=$O$1)))</formula>
    </cfRule>
  </conditionalFormatting>
  <conditionalFormatting sqref="C31">
    <cfRule type="expression" dxfId="111" priority="20626" stopIfTrue="1">
      <formula>AND(NOT(ISBLANK(C31)),NOT(_xlfn.ISFORMULA(C31)))</formula>
    </cfRule>
  </conditionalFormatting>
  <conditionalFormatting sqref="D31">
    <cfRule type="expression" dxfId="110" priority="20625" stopIfTrue="1">
      <formula>AND(NOT(ISBLANK(D31)),NOT(_xlfn.ISFORMULA(D31)))</formula>
    </cfRule>
  </conditionalFormatting>
  <conditionalFormatting sqref="G31">
    <cfRule type="expression" dxfId="109" priority="20624" stopIfTrue="1">
      <formula>AND(NOT(ISBLANK(G31)),NOT(_xlfn.ISFORMULA(G31)))</formula>
    </cfRule>
  </conditionalFormatting>
  <conditionalFormatting sqref="H31">
    <cfRule type="expression" dxfId="108" priority="20623" stopIfTrue="1">
      <formula>AND(NOT(ISBLANK(H31)),NOT(_xlfn.ISFORMULA(H31)))</formula>
    </cfRule>
  </conditionalFormatting>
  <conditionalFormatting sqref="E46">
    <cfRule type="expression" dxfId="107" priority="20621">
      <formula>AND(AND(NOT(ISBLANK(D46)),NOT(D46=$O$1)),AND(NOT(ISBLANK(C46)),NOT(C46=$O$1)))</formula>
    </cfRule>
    <cfRule type="expression" dxfId="106" priority="20622">
      <formula>OR(AND(NOT(ISBLANK(D46)),NOT(D46=$O$1)),AND(NOT(ISBLANK(C46)),NOT(C46=$O$1)))</formula>
    </cfRule>
  </conditionalFormatting>
  <conditionalFormatting sqref="F46">
    <cfRule type="expression" dxfId="105" priority="20619">
      <formula>AND(AND(NOT(ISBLANK(G46)),NOT(G46=$O$1)),AND(NOT(ISBLANK(H46)),NOT(H46=$O$1)))</formula>
    </cfRule>
    <cfRule type="expression" dxfId="104" priority="20620">
      <formula>OR(AND(NOT(ISBLANK(G46)),NOT(G46=$O$1)),AND(NOT(ISBLANK(H46)),NOT(H46=$O$1)))</formula>
    </cfRule>
  </conditionalFormatting>
  <conditionalFormatting sqref="C46">
    <cfRule type="expression" dxfId="103" priority="20618" stopIfTrue="1">
      <formula>AND(NOT(ISBLANK(C46)),NOT(_xlfn.ISFORMULA(C46)))</formula>
    </cfRule>
  </conditionalFormatting>
  <conditionalFormatting sqref="D46">
    <cfRule type="expression" dxfId="102" priority="20617" stopIfTrue="1">
      <formula>AND(NOT(ISBLANK(D46)),NOT(_xlfn.ISFORMULA(D46)))</formula>
    </cfRule>
  </conditionalFormatting>
  <conditionalFormatting sqref="G46">
    <cfRule type="expression" dxfId="101" priority="20616" stopIfTrue="1">
      <formula>AND(NOT(ISBLANK(G46)),NOT(_xlfn.ISFORMULA(G46)))</formula>
    </cfRule>
  </conditionalFormatting>
  <conditionalFormatting sqref="H46">
    <cfRule type="expression" dxfId="100" priority="20615" stopIfTrue="1">
      <formula>AND(NOT(ISBLANK(H46)),NOT(_xlfn.ISFORMULA(H46)))</formula>
    </cfRule>
  </conditionalFormatting>
  <conditionalFormatting sqref="E47">
    <cfRule type="expression" dxfId="99" priority="20613">
      <formula>AND(AND(NOT(ISBLANK(D47)),NOT(D47=$O$1)),AND(NOT(ISBLANK(C47)),NOT(C47=$O$1)))</formula>
    </cfRule>
    <cfRule type="expression" dxfId="98" priority="20614">
      <formula>OR(AND(NOT(ISBLANK(D47)),NOT(D47=$O$1)),AND(NOT(ISBLANK(C47)),NOT(C47=$O$1)))</formula>
    </cfRule>
  </conditionalFormatting>
  <conditionalFormatting sqref="F47">
    <cfRule type="expression" dxfId="97" priority="20611">
      <formula>AND(AND(NOT(ISBLANK(G47)),NOT(G47=$O$1)),AND(NOT(ISBLANK(H47)),NOT(H47=$O$1)))</formula>
    </cfRule>
    <cfRule type="expression" dxfId="96" priority="20612">
      <formula>OR(AND(NOT(ISBLANK(G47)),NOT(G47=$O$1)),AND(NOT(ISBLANK(H47)),NOT(H47=$O$1)))</formula>
    </cfRule>
  </conditionalFormatting>
  <conditionalFormatting sqref="E32">
    <cfRule type="expression" dxfId="95" priority="20605">
      <formula>AND(AND(NOT(ISBLANK(D32)),NOT(D32=$O$1)),AND(NOT(ISBLANK(C32)),NOT(C32=$O$1)))</formula>
    </cfRule>
    <cfRule type="expression" dxfId="94" priority="20606">
      <formula>OR(AND(NOT(ISBLANK(D32)),NOT(D32=$O$1)),AND(NOT(ISBLANK(C32)),NOT(C32=$O$1)))</formula>
    </cfRule>
  </conditionalFormatting>
  <conditionalFormatting sqref="F32">
    <cfRule type="expression" dxfId="93" priority="20603">
      <formula>AND(AND(NOT(ISBLANK(G32)),NOT(G32=$O$1)),AND(NOT(ISBLANK(H32)),NOT(H32=$O$1)))</formula>
    </cfRule>
    <cfRule type="expression" dxfId="92" priority="20604">
      <formula>OR(AND(NOT(ISBLANK(G32)),NOT(G32=$O$1)),AND(NOT(ISBLANK(H32)),NOT(H32=$O$1)))</formula>
    </cfRule>
  </conditionalFormatting>
  <conditionalFormatting sqref="C47">
    <cfRule type="expression" dxfId="91" priority="20610" stopIfTrue="1">
      <formula>AND(NOT(ISBLANK(C47)),NOT(_xlfn.ISFORMULA(C47)))</formula>
    </cfRule>
  </conditionalFormatting>
  <conditionalFormatting sqref="D47">
    <cfRule type="expression" dxfId="90" priority="20609" stopIfTrue="1">
      <formula>AND(NOT(ISBLANK(D47)),NOT(_xlfn.ISFORMULA(D47)))</formula>
    </cfRule>
  </conditionalFormatting>
  <conditionalFormatting sqref="G47">
    <cfRule type="expression" dxfId="89" priority="20608" stopIfTrue="1">
      <formula>AND(NOT(ISBLANK(G47)),NOT(_xlfn.ISFORMULA(G47)))</formula>
    </cfRule>
  </conditionalFormatting>
  <conditionalFormatting sqref="H47">
    <cfRule type="expression" dxfId="88" priority="20607" stopIfTrue="1">
      <formula>AND(NOT(ISBLANK(H47)),NOT(_xlfn.ISFORMULA(H47)))</formula>
    </cfRule>
  </conditionalFormatting>
  <conditionalFormatting sqref="C32">
    <cfRule type="expression" dxfId="87" priority="20602" stopIfTrue="1">
      <formula>AND(NOT(ISBLANK(C32)),NOT(_xlfn.ISFORMULA(C32)))</formula>
    </cfRule>
  </conditionalFormatting>
  <conditionalFormatting sqref="D32">
    <cfRule type="expression" dxfId="86" priority="20601" stopIfTrue="1">
      <formula>AND(NOT(ISBLANK(D32)),NOT(_xlfn.ISFORMULA(D32)))</formula>
    </cfRule>
  </conditionalFormatting>
  <conditionalFormatting sqref="G32">
    <cfRule type="expression" dxfId="85" priority="20600" stopIfTrue="1">
      <formula>AND(NOT(ISBLANK(G32)),NOT(_xlfn.ISFORMULA(G32)))</formula>
    </cfRule>
  </conditionalFormatting>
  <conditionalFormatting sqref="H32">
    <cfRule type="expression" dxfId="84" priority="20599" stopIfTrue="1">
      <formula>AND(NOT(ISBLANK(H32)),NOT(_xlfn.ISFORMULA(H32)))</formula>
    </cfRule>
  </conditionalFormatting>
  <conditionalFormatting sqref="E48">
    <cfRule type="expression" dxfId="83" priority="20597">
      <formula>AND(AND(NOT(ISBLANK(D48)),NOT(D48=$O$1)),AND(NOT(ISBLANK(C48)),NOT(C48=$O$1)))</formula>
    </cfRule>
    <cfRule type="expression" dxfId="82" priority="20598">
      <formula>OR(AND(NOT(ISBLANK(D48)),NOT(D48=$O$1)),AND(NOT(ISBLANK(C48)),NOT(C48=$O$1)))</formula>
    </cfRule>
  </conditionalFormatting>
  <conditionalFormatting sqref="F48">
    <cfRule type="expression" dxfId="81" priority="20595">
      <formula>AND(AND(NOT(ISBLANK(G48)),NOT(G48=$O$1)),AND(NOT(ISBLANK(H48)),NOT(H48=$O$1)))</formula>
    </cfRule>
    <cfRule type="expression" dxfId="80" priority="20596">
      <formula>OR(AND(NOT(ISBLANK(G48)),NOT(G48=$O$1)),AND(NOT(ISBLANK(H48)),NOT(H48=$O$1)))</formula>
    </cfRule>
  </conditionalFormatting>
  <conditionalFormatting sqref="E4">
    <cfRule type="expression" dxfId="79" priority="19937">
      <formula>AND(AND(NOT(ISBLANK(D4)),NOT(D4=$O$1)),AND(NOT(ISBLANK(C4)),NOT(C4=$O$1)))</formula>
    </cfRule>
    <cfRule type="expression" dxfId="78" priority="19938">
      <formula>OR(AND(NOT(ISBLANK(D4)),NOT(D4=$O$1)),AND(NOT(ISBLANK(C4)),NOT(C4=$O$1)))</formula>
    </cfRule>
  </conditionalFormatting>
  <conditionalFormatting sqref="F4">
    <cfRule type="expression" dxfId="77" priority="19935">
      <formula>AND(AND(NOT(ISBLANK(G4)),NOT(G4=$O$1)),AND(NOT(ISBLANK(H4)),NOT(H4=$O$1)))</formula>
    </cfRule>
    <cfRule type="expression" dxfId="76" priority="19936">
      <formula>OR(AND(NOT(ISBLANK(G4)),NOT(G4=$O$1)),AND(NOT(ISBLANK(H4)),NOT(H4=$O$1)))</formula>
    </cfRule>
  </conditionalFormatting>
  <conditionalFormatting sqref="E5">
    <cfRule type="expression" dxfId="75" priority="19933">
      <formula>AND(AND(NOT(ISBLANK(D5)),NOT(D5=$O$1)),AND(NOT(ISBLANK(C5)),NOT(C5=$O$1)))</formula>
    </cfRule>
    <cfRule type="expression" dxfId="74" priority="19934">
      <formula>OR(AND(NOT(ISBLANK(D5)),NOT(D5=$O$1)),AND(NOT(ISBLANK(C5)),NOT(C5=$O$1)))</formula>
    </cfRule>
  </conditionalFormatting>
  <conditionalFormatting sqref="F5">
    <cfRule type="expression" dxfId="73" priority="19931">
      <formula>AND(AND(NOT(ISBLANK(G5)),NOT(G5=$O$1)),AND(NOT(ISBLANK(H5)),NOT(H5=$O$1)))</formula>
    </cfRule>
    <cfRule type="expression" dxfId="72" priority="19932">
      <formula>OR(AND(NOT(ISBLANK(G5)),NOT(G5=$O$1)),AND(NOT(ISBLANK(H5)),NOT(H5=$O$1)))</formula>
    </cfRule>
  </conditionalFormatting>
  <conditionalFormatting sqref="E6">
    <cfRule type="expression" dxfId="71" priority="19929">
      <formula>AND(AND(NOT(ISBLANK(D6)),NOT(D6=$O$1)),AND(NOT(ISBLANK(C6)),NOT(C6=$O$1)))</formula>
    </cfRule>
    <cfRule type="expression" dxfId="70" priority="19930">
      <formula>OR(AND(NOT(ISBLANK(D6)),NOT(D6=$O$1)),AND(NOT(ISBLANK(C6)),NOT(C6=$O$1)))</formula>
    </cfRule>
  </conditionalFormatting>
  <conditionalFormatting sqref="F6">
    <cfRule type="expression" dxfId="69" priority="19927">
      <formula>AND(AND(NOT(ISBLANK(G6)),NOT(G6=$O$1)),AND(NOT(ISBLANK(H6)),NOT(H6=$O$1)))</formula>
    </cfRule>
    <cfRule type="expression" dxfId="68" priority="19928">
      <formula>OR(AND(NOT(ISBLANK(G6)),NOT(G6=$O$1)),AND(NOT(ISBLANK(H6)),NOT(H6=$O$1)))</formula>
    </cfRule>
  </conditionalFormatting>
  <conditionalFormatting sqref="E7">
    <cfRule type="expression" dxfId="67" priority="13713">
      <formula>AND(AND(NOT(ISBLANK(D7)),NOT(D7=$O$1)),AND(NOT(ISBLANK(C7)),NOT(C7=$O$1)))</formula>
    </cfRule>
    <cfRule type="expression" dxfId="66" priority="13714">
      <formula>OR(AND(NOT(ISBLANK(D7)),NOT(D7=$O$1)),AND(NOT(ISBLANK(C7)),NOT(C7=$O$1)))</formula>
    </cfRule>
  </conditionalFormatting>
  <conditionalFormatting sqref="F7">
    <cfRule type="expression" dxfId="65" priority="13711">
      <formula>AND(AND(NOT(ISBLANK(G7)),NOT(G7=$O$1)),AND(NOT(ISBLANK(H7)),NOT(H7=$O$1)))</formula>
    </cfRule>
    <cfRule type="expression" dxfId="64" priority="13712">
      <formula>OR(AND(NOT(ISBLANK(G7)),NOT(G7=$O$1)),AND(NOT(ISBLANK(H7)),NOT(H7=$O$1)))</formula>
    </cfRule>
  </conditionalFormatting>
  <conditionalFormatting sqref="E8">
    <cfRule type="expression" dxfId="63" priority="2743">
      <formula>AND(AND(NOT(ISBLANK(D8)),NOT(D8=$O$1)),AND(NOT(ISBLANK(C8)),NOT(C8=$O$1)))</formula>
    </cfRule>
    <cfRule type="expression" dxfId="62" priority="2744">
      <formula>OR(AND(NOT(ISBLANK(D8)),NOT(D8=$O$1)),AND(NOT(ISBLANK(C8)),NOT(C8=$O$1)))</formula>
    </cfRule>
  </conditionalFormatting>
  <conditionalFormatting sqref="F8">
    <cfRule type="expression" dxfId="61" priority="2741">
      <formula>AND(AND(NOT(ISBLANK(G8)),NOT(G8=$O$1)),AND(NOT(ISBLANK(H8)),NOT(H8=$O$1)))</formula>
    </cfRule>
    <cfRule type="expression" dxfId="60" priority="2742">
      <formula>OR(AND(NOT(ISBLANK(G8)),NOT(G8=$O$1)),AND(NOT(ISBLANK(H8)),NOT(H8=$O$1)))</formula>
    </cfRule>
  </conditionalFormatting>
  <conditionalFormatting sqref="E9">
    <cfRule type="expression" dxfId="59" priority="2739">
      <formula>AND(AND(NOT(ISBLANK(D9)),NOT(D9=$O$1)),AND(NOT(ISBLANK(C9)),NOT(C9=$O$1)))</formula>
    </cfRule>
    <cfRule type="expression" dxfId="58" priority="2740">
      <formula>OR(AND(NOT(ISBLANK(D9)),NOT(D9=$O$1)),AND(NOT(ISBLANK(C9)),NOT(C9=$O$1)))</formula>
    </cfRule>
  </conditionalFormatting>
  <conditionalFormatting sqref="F9">
    <cfRule type="expression" dxfId="57" priority="2737">
      <formula>AND(AND(NOT(ISBLANK(G9)),NOT(G9=$O$1)),AND(NOT(ISBLANK(H9)),NOT(H9=$O$1)))</formula>
    </cfRule>
    <cfRule type="expression" dxfId="56" priority="2738">
      <formula>OR(AND(NOT(ISBLANK(G9)),NOT(G9=$O$1)),AND(NOT(ISBLANK(H9)),NOT(H9=$O$1)))</formula>
    </cfRule>
  </conditionalFormatting>
  <conditionalFormatting sqref="E10">
    <cfRule type="expression" dxfId="55" priority="2735">
      <formula>AND(AND(NOT(ISBLANK(D10)),NOT(D10=$O$1)),AND(NOT(ISBLANK(C10)),NOT(C10=$O$1)))</formula>
    </cfRule>
    <cfRule type="expression" dxfId="54" priority="2736">
      <formula>OR(AND(NOT(ISBLANK(D10)),NOT(D10=$O$1)),AND(NOT(ISBLANK(C10)),NOT(C10=$O$1)))</formula>
    </cfRule>
  </conditionalFormatting>
  <conditionalFormatting sqref="F10">
    <cfRule type="expression" dxfId="53" priority="2733">
      <formula>AND(AND(NOT(ISBLANK(G10)),NOT(G10=$O$1)),AND(NOT(ISBLANK(H10)),NOT(H10=$O$1)))</formula>
    </cfRule>
    <cfRule type="expression" dxfId="52" priority="2734">
      <formula>OR(AND(NOT(ISBLANK(G10)),NOT(G10=$O$1)),AND(NOT(ISBLANK(H10)),NOT(H10=$O$1)))</formula>
    </cfRule>
  </conditionalFormatting>
  <conditionalFormatting sqref="E11">
    <cfRule type="expression" dxfId="51" priority="2731">
      <formula>AND(AND(NOT(ISBLANK(D11)),NOT(D11=$O$1)),AND(NOT(ISBLANK(C11)),NOT(C11=$O$1)))</formula>
    </cfRule>
    <cfRule type="expression" dxfId="50" priority="2732">
      <formula>OR(AND(NOT(ISBLANK(D11)),NOT(D11=$O$1)),AND(NOT(ISBLANK(C11)),NOT(C11=$O$1)))</formula>
    </cfRule>
  </conditionalFormatting>
  <conditionalFormatting sqref="F11">
    <cfRule type="expression" dxfId="49" priority="2729">
      <formula>AND(AND(NOT(ISBLANK(G11)),NOT(G11=$O$1)),AND(NOT(ISBLANK(H11)),NOT(H11=$O$1)))</formula>
    </cfRule>
    <cfRule type="expression" dxfId="48" priority="2730">
      <formula>OR(AND(NOT(ISBLANK(G11)),NOT(G11=$O$1)),AND(NOT(ISBLANK(H11)),NOT(H11=$O$1)))</formula>
    </cfRule>
  </conditionalFormatting>
  <conditionalFormatting sqref="E12">
    <cfRule type="expression" dxfId="47" priority="1659">
      <formula>AND(AND(NOT(ISBLANK(D12)),NOT(D12=$O$1)),AND(NOT(ISBLANK(C12)),NOT(C12=$O$1)))</formula>
    </cfRule>
    <cfRule type="expression" dxfId="46" priority="1660">
      <formula>OR(AND(NOT(ISBLANK(D12)),NOT(D12=$O$1)),AND(NOT(ISBLANK(C12)),NOT(C12=$O$1)))</formula>
    </cfRule>
  </conditionalFormatting>
  <conditionalFormatting sqref="F12">
    <cfRule type="expression" dxfId="45" priority="1657">
      <formula>AND(AND(NOT(ISBLANK(G12)),NOT(G12=$O$1)),AND(NOT(ISBLANK(H12)),NOT(H12=$O$1)))</formula>
    </cfRule>
    <cfRule type="expression" dxfId="44" priority="1658">
      <formula>OR(AND(NOT(ISBLANK(G12)),NOT(G12=$O$1)),AND(NOT(ISBLANK(H12)),NOT(H12=$O$1)))</formula>
    </cfRule>
  </conditionalFormatting>
  <conditionalFormatting sqref="E13">
    <cfRule type="expression" dxfId="43" priority="1655">
      <formula>AND(AND(NOT(ISBLANK(D13)),NOT(D13=$O$1)),AND(NOT(ISBLANK(C13)),NOT(C13=$O$1)))</formula>
    </cfRule>
    <cfRule type="expression" dxfId="42" priority="1656">
      <formula>OR(AND(NOT(ISBLANK(D13)),NOT(D13=$O$1)),AND(NOT(ISBLANK(C13)),NOT(C13=$O$1)))</formula>
    </cfRule>
  </conditionalFormatting>
  <conditionalFormatting sqref="F13">
    <cfRule type="expression" dxfId="41" priority="1653">
      <formula>AND(AND(NOT(ISBLANK(G13)),NOT(G13=$O$1)),AND(NOT(ISBLANK(H13)),NOT(H13=$O$1)))</formula>
    </cfRule>
    <cfRule type="expression" dxfId="40" priority="1654">
      <formula>OR(AND(NOT(ISBLANK(G13)),NOT(G13=$O$1)),AND(NOT(ISBLANK(H13)),NOT(H13=$O$1)))</formula>
    </cfRule>
  </conditionalFormatting>
  <conditionalFormatting sqref="G4">
    <cfRule type="expression" dxfId="39" priority="306" stopIfTrue="1">
      <formula>AND(NOT(ISBLANK(G4)),NOT(_xlfn.ISFORMULA(G4)))</formula>
    </cfRule>
  </conditionalFormatting>
  <conditionalFormatting sqref="G5">
    <cfRule type="expression" dxfId="38" priority="305" stopIfTrue="1">
      <formula>AND(NOT(ISBLANK(G5)),NOT(_xlfn.ISFORMULA(G5)))</formula>
    </cfRule>
  </conditionalFormatting>
  <conditionalFormatting sqref="G6">
    <cfRule type="expression" dxfId="37" priority="304" stopIfTrue="1">
      <formula>AND(NOT(ISBLANK(G6)),NOT(_xlfn.ISFORMULA(G6)))</formula>
    </cfRule>
  </conditionalFormatting>
  <conditionalFormatting sqref="G7">
    <cfRule type="expression" dxfId="36" priority="303" stopIfTrue="1">
      <formula>AND(NOT(ISBLANK(G7)),NOT(_xlfn.ISFORMULA(G7)))</formula>
    </cfRule>
  </conditionalFormatting>
  <conditionalFormatting sqref="G8">
    <cfRule type="expression" dxfId="35" priority="302" stopIfTrue="1">
      <formula>AND(NOT(ISBLANK(G8)),NOT(_xlfn.ISFORMULA(G8)))</formula>
    </cfRule>
  </conditionalFormatting>
  <conditionalFormatting sqref="G9">
    <cfRule type="expression" dxfId="34" priority="301" stopIfTrue="1">
      <formula>AND(NOT(ISBLANK(G9)),NOT(_xlfn.ISFORMULA(G9)))</formula>
    </cfRule>
  </conditionalFormatting>
  <conditionalFormatting sqref="G10">
    <cfRule type="expression" dxfId="33" priority="300" stopIfTrue="1">
      <formula>AND(NOT(ISBLANK(G10)),NOT(_xlfn.ISFORMULA(G10)))</formula>
    </cfRule>
  </conditionalFormatting>
  <conditionalFormatting sqref="G11">
    <cfRule type="expression" dxfId="32" priority="299" stopIfTrue="1">
      <formula>AND(NOT(ISBLANK(G11)),NOT(_xlfn.ISFORMULA(G11)))</formula>
    </cfRule>
  </conditionalFormatting>
  <conditionalFormatting sqref="G12">
    <cfRule type="expression" dxfId="31" priority="298" stopIfTrue="1">
      <formula>AND(NOT(ISBLANK(G12)),NOT(_xlfn.ISFORMULA(G12)))</formula>
    </cfRule>
  </conditionalFormatting>
  <conditionalFormatting sqref="G13">
    <cfRule type="expression" dxfId="30" priority="297" stopIfTrue="1">
      <formula>AND(NOT(ISBLANK(G13)),NOT(_xlfn.ISFORMULA(G13)))</formula>
    </cfRule>
  </conditionalFormatting>
  <conditionalFormatting sqref="H4">
    <cfRule type="expression" dxfId="29" priority="153" stopIfTrue="1">
      <formula>AND(NOT(ISBLANK(H4)),NOT(_xlfn.ISFORMULA(H4)))</formula>
    </cfRule>
  </conditionalFormatting>
  <conditionalFormatting sqref="H5">
    <cfRule type="expression" dxfId="28" priority="152" stopIfTrue="1">
      <formula>AND(NOT(ISBLANK(H5)),NOT(_xlfn.ISFORMULA(H5)))</formula>
    </cfRule>
  </conditionalFormatting>
  <conditionalFormatting sqref="H6">
    <cfRule type="expression" dxfId="27" priority="151" stopIfTrue="1">
      <formula>AND(NOT(ISBLANK(H6)),NOT(_xlfn.ISFORMULA(H6)))</formula>
    </cfRule>
  </conditionalFormatting>
  <conditionalFormatting sqref="H7">
    <cfRule type="expression" dxfId="26" priority="150" stopIfTrue="1">
      <formula>AND(NOT(ISBLANK(H7)),NOT(_xlfn.ISFORMULA(H7)))</formula>
    </cfRule>
  </conditionalFormatting>
  <conditionalFormatting sqref="H8">
    <cfRule type="expression" dxfId="25" priority="149" stopIfTrue="1">
      <formula>AND(NOT(ISBLANK(H8)),NOT(_xlfn.ISFORMULA(H8)))</formula>
    </cfRule>
  </conditionalFormatting>
  <conditionalFormatting sqref="H9">
    <cfRule type="expression" dxfId="24" priority="148" stopIfTrue="1">
      <formula>AND(NOT(ISBLANK(H9)),NOT(_xlfn.ISFORMULA(H9)))</formula>
    </cfRule>
  </conditionalFormatting>
  <conditionalFormatting sqref="H10">
    <cfRule type="expression" dxfId="23" priority="147" stopIfTrue="1">
      <formula>AND(NOT(ISBLANK(H10)),NOT(_xlfn.ISFORMULA(H10)))</formula>
    </cfRule>
  </conditionalFormatting>
  <conditionalFormatting sqref="H11">
    <cfRule type="expression" dxfId="22" priority="146" stopIfTrue="1">
      <formula>AND(NOT(ISBLANK(H11)),NOT(_xlfn.ISFORMULA(H11)))</formula>
    </cfRule>
  </conditionalFormatting>
  <conditionalFormatting sqref="H12">
    <cfRule type="expression" dxfId="21" priority="145" stopIfTrue="1">
      <formula>AND(NOT(ISBLANK(H12)),NOT(_xlfn.ISFORMULA(H12)))</formula>
    </cfRule>
  </conditionalFormatting>
  <conditionalFormatting sqref="H13">
    <cfRule type="expression" dxfId="20" priority="144" stopIfTrue="1">
      <formula>AND(NOT(ISBLANK(H13)),NOT(_xlfn.ISFORMULA(H13)))</formula>
    </cfRule>
  </conditionalFormatting>
  <conditionalFormatting sqref="D4">
    <cfRule type="expression" dxfId="19" priority="459" stopIfTrue="1">
      <formula>AND(NOT(ISBLANK(D4)),NOT(_xlfn.ISFORMULA(D4)))</formula>
    </cfRule>
  </conditionalFormatting>
  <conditionalFormatting sqref="D5">
    <cfRule type="expression" dxfId="18" priority="458" stopIfTrue="1">
      <formula>AND(NOT(ISBLANK(D5)),NOT(_xlfn.ISFORMULA(D5)))</formula>
    </cfRule>
  </conditionalFormatting>
  <conditionalFormatting sqref="D6">
    <cfRule type="expression" dxfId="17" priority="457" stopIfTrue="1">
      <formula>AND(NOT(ISBLANK(D6)),NOT(_xlfn.ISFORMULA(D6)))</formula>
    </cfRule>
  </conditionalFormatting>
  <conditionalFormatting sqref="D7">
    <cfRule type="expression" dxfId="16" priority="456" stopIfTrue="1">
      <formula>AND(NOT(ISBLANK(D7)),NOT(_xlfn.ISFORMULA(D7)))</formula>
    </cfRule>
  </conditionalFormatting>
  <conditionalFormatting sqref="D8">
    <cfRule type="expression" dxfId="15" priority="455" stopIfTrue="1">
      <formula>AND(NOT(ISBLANK(D8)),NOT(_xlfn.ISFORMULA(D8)))</formula>
    </cfRule>
  </conditionalFormatting>
  <conditionalFormatting sqref="D9">
    <cfRule type="expression" dxfId="14" priority="454" stopIfTrue="1">
      <formula>AND(NOT(ISBLANK(D9)),NOT(_xlfn.ISFORMULA(D9)))</formula>
    </cfRule>
  </conditionalFormatting>
  <conditionalFormatting sqref="D10">
    <cfRule type="expression" dxfId="13" priority="453" stopIfTrue="1">
      <formula>AND(NOT(ISBLANK(D10)),NOT(_xlfn.ISFORMULA(D10)))</formula>
    </cfRule>
  </conditionalFormatting>
  <conditionalFormatting sqref="D11">
    <cfRule type="expression" dxfId="12" priority="452" stopIfTrue="1">
      <formula>AND(NOT(ISBLANK(D11)),NOT(_xlfn.ISFORMULA(D11)))</formula>
    </cfRule>
  </conditionalFormatting>
  <conditionalFormatting sqref="D12">
    <cfRule type="expression" dxfId="11" priority="451" stopIfTrue="1">
      <formula>AND(NOT(ISBLANK(D12)),NOT(_xlfn.ISFORMULA(D12)))</formula>
    </cfRule>
  </conditionalFormatting>
  <conditionalFormatting sqref="D13">
    <cfRule type="expression" dxfId="10" priority="450" stopIfTrue="1">
      <formula>AND(NOT(ISBLANK(D13)),NOT(_xlfn.ISFORMULA(D13)))</formula>
    </cfRule>
  </conditionalFormatting>
  <conditionalFormatting sqref="C4">
    <cfRule type="expression" dxfId="9" priority="612" stopIfTrue="1">
      <formula>AND(NOT(ISBLANK(C4)),NOT(_xlfn.ISFORMULA(C4)))</formula>
    </cfRule>
  </conditionalFormatting>
  <conditionalFormatting sqref="C5">
    <cfRule type="expression" dxfId="8" priority="611" stopIfTrue="1">
      <formula>AND(NOT(ISBLANK(C5)),NOT(_xlfn.ISFORMULA(C5)))</formula>
    </cfRule>
  </conditionalFormatting>
  <conditionalFormatting sqref="C6">
    <cfRule type="expression" dxfId="7" priority="610" stopIfTrue="1">
      <formula>AND(NOT(ISBLANK(C6)),NOT(_xlfn.ISFORMULA(C6)))</formula>
    </cfRule>
  </conditionalFormatting>
  <conditionalFormatting sqref="C7">
    <cfRule type="expression" dxfId="6" priority="609" stopIfTrue="1">
      <formula>AND(NOT(ISBLANK(C7)),NOT(_xlfn.ISFORMULA(C7)))</formula>
    </cfRule>
  </conditionalFormatting>
  <conditionalFormatting sqref="C8">
    <cfRule type="expression" dxfId="5" priority="608" stopIfTrue="1">
      <formula>AND(NOT(ISBLANK(C8)),NOT(_xlfn.ISFORMULA(C8)))</formula>
    </cfRule>
  </conditionalFormatting>
  <conditionalFormatting sqref="C9">
    <cfRule type="expression" dxfId="4" priority="607" stopIfTrue="1">
      <formula>AND(NOT(ISBLANK(C9)),NOT(_xlfn.ISFORMULA(C9)))</formula>
    </cfRule>
  </conditionalFormatting>
  <conditionalFormatting sqref="C10">
    <cfRule type="expression" dxfId="3" priority="606" stopIfTrue="1">
      <formula>AND(NOT(ISBLANK(C10)),NOT(_xlfn.ISFORMULA(C10)))</formula>
    </cfRule>
  </conditionalFormatting>
  <conditionalFormatting sqref="C11">
    <cfRule type="expression" dxfId="2" priority="605" stopIfTrue="1">
      <formula>AND(NOT(ISBLANK(C11)),NOT(_xlfn.ISFORMULA(C11)))</formula>
    </cfRule>
  </conditionalFormatting>
  <conditionalFormatting sqref="C12">
    <cfRule type="expression" dxfId="1" priority="604" stopIfTrue="1">
      <formula>AND(NOT(ISBLANK(C12)),NOT(_xlfn.ISFORMULA(C12)))</formula>
    </cfRule>
  </conditionalFormatting>
  <conditionalFormatting sqref="C13">
    <cfRule type="expression" dxfId="0" priority="603" stopIfTrue="1">
      <formula>AND(NOT(ISBLANK(C13)),NOT(_xlfn.ISFORMULA(C13)))</formula>
    </cfRule>
  </conditionalFormatting>
  <dataValidations count="2">
    <dataValidation type="custom" allowBlank="1" showInputMessage="1" showErrorMessage="1" sqref="E39:F48 E28:F32 J39:L40 A28:B32 I28:L32 J41:J48 A39:B48 I39:I48 I4:J13 E4:F13 A4:B13" xr:uid="{68445343-EC2C-4D0C-B534-EE6EB5234710}">
      <formula1>_xlfn.ISFORMULA(A4)</formula1>
    </dataValidation>
    <dataValidation type="custom" allowBlank="1" showInputMessage="1" showErrorMessage="1" errorTitle="Знак &quot;*&quot; недопустим" error="Знак &quot;*&quot; зарезервирован для обозначения отсутствия кромки и не может быть здесь использован" sqref="E24:E25" xr:uid="{34147AE8-EB12-45CD-BCD0-18F32DD61C54}">
      <formula1>E24&lt;&gt;"*"</formula1>
    </dataValidation>
  </dataValidations>
  <printOptions horizontalCentered="1"/>
  <pageMargins left="0.43307086614173229" right="0.31496062992125984" top="0.47244094488188981" bottom="0.35433070866141736" header="0.19685039370078741" footer="0.31496062992125984"/>
  <pageSetup paperSize="9" scale="90" fitToWidth="0" fitToHeight="0" orientation="landscape" r:id="rId1"/>
  <headerFooter>
    <oddHeader>&amp;R&amp;D. &amp;T. Страница &amp;P/&amp;N&amp;LbCad</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4020" r:id="rId4" name="Button 1012">
              <controlPr defaultSize="0" print="0" autoFill="0" autoPict="0" macro="[0]!ПоказатьПанельИнструментов">
                <anchor moveWithCells="1">
                  <from>
                    <xdr:col>14</xdr:col>
                    <xdr:colOff>0</xdr:colOff>
                    <xdr:row>0</xdr:row>
                    <xdr:rowOff>180975</xdr:rowOff>
                  </from>
                  <to>
                    <xdr:col>15</xdr:col>
                    <xdr:colOff>1666875</xdr:colOff>
                    <xdr:row>1</xdr:row>
                    <xdr:rowOff>228600</xdr:rowOff>
                  </to>
                </anchor>
              </controlPr>
            </control>
          </mc:Choice>
        </mc:AlternateContent>
        <mc:AlternateContent xmlns:mc="http://schemas.openxmlformats.org/markup-compatibility/2006">
          <mc:Choice Requires="x14">
            <control shapeId="44033" r:id="rId5" name="Button 1025">
              <controlPr defaultSize="0" print="0" autoFill="0" autoPict="0" macro="[0]!Ended">
                <anchor moveWithCells="1">
                  <from>
                    <xdr:col>16</xdr:col>
                    <xdr:colOff>123825</xdr:colOff>
                    <xdr:row>0</xdr:row>
                    <xdr:rowOff>171450</xdr:rowOff>
                  </from>
                  <to>
                    <xdr:col>16</xdr:col>
                    <xdr:colOff>1238250</xdr:colOff>
                    <xdr:row>1</xdr:row>
                    <xdr:rowOff>219075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753318-4D8E-44C1-855D-CEE57B3D0C2C}">
  <sheetPr codeName="Лист2">
    <pageSetUpPr fitToPage="1"/>
  </sheetPr>
  <dimension ref="A1:C1"/>
  <sheetViews>
    <sheetView view="pageBreakPreview" zoomScaleNormal="100" zoomScaleSheetLayoutView="100" workbookViewId="0"/>
  </sheetViews>
  <sheetFormatPr defaultRowHeight="15" x14ac:dyDescent="0.25"/>
  <cols>
    <col min="1" max="1" width="9.140625" style="102"/>
    <col min="2" max="3" width="9.140625" style="101"/>
  </cols>
  <sheetData/>
  <pageMargins left="0.7" right="0.7" top="0.75" bottom="0.75" header="0.3" footer="0.3"/>
  <pageSetup paperSize="9" scale="95" fitToHeight="0" orientation="portrait" r:id="rId1"/>
  <headerFooter>
    <oddHeader>&amp;R&amp;D. &amp;T. Страница &amp;P/&amp;N&amp;LСКЛАД bCad</oddHead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46C740-1432-4463-A0D3-76D421B5436B}">
  <sheetPr codeName="Лист5">
    <pageSetUpPr fitToPage="1"/>
  </sheetPr>
  <dimension ref="A1:AA39"/>
  <sheetViews>
    <sheetView view="pageBreakPreview" zoomScale="85" zoomScaleNormal="100" zoomScaleSheetLayoutView="85" workbookViewId="0">
      <selection activeCell="J44" sqref="J44"/>
    </sheetView>
  </sheetViews>
  <sheetFormatPr defaultRowHeight="15" x14ac:dyDescent="0.25"/>
  <cols>
    <col min="1" max="1" width="9.140625" style="30"/>
    <col min="2" max="2" width="31.7109375" style="30" customWidth="1"/>
    <col min="3" max="4" width="3.7109375" style="30" customWidth="1"/>
    <col min="5" max="5" width="8.7109375" style="30" customWidth="1"/>
    <col min="6" max="7" width="3.7109375" style="30" customWidth="1"/>
    <col min="8" max="8" width="8.7109375" style="30" customWidth="1"/>
    <col min="9" max="9" width="3.7109375" style="30" customWidth="1"/>
    <col min="10" max="10" width="54.140625" style="30" bestFit="1" customWidth="1"/>
    <col min="11" max="11" width="11.42578125" style="30" bestFit="1" customWidth="1"/>
    <col min="12" max="12" width="9.140625" style="30"/>
    <col min="13" max="13" width="29.7109375" style="30" bestFit="1" customWidth="1"/>
    <col min="14" max="16384" width="9.140625" style="30"/>
  </cols>
  <sheetData>
    <row r="1" spans="1:15" ht="18.75" x14ac:dyDescent="0.3">
      <c r="A1" s="1" t="s">
        <v>197</v>
      </c>
      <c r="C1" s="81"/>
      <c r="D1" s="81"/>
      <c r="H1" s="82"/>
      <c r="I1" s="82"/>
      <c r="M1" s="83"/>
    </row>
    <row r="2" spans="1:15" ht="36.75" customHeight="1" x14ac:dyDescent="0.25">
      <c r="A2" s="65" t="s">
        <v>6</v>
      </c>
      <c r="B2" s="65" t="str">
        <f>"Наименование"</f>
        <v>Наименование</v>
      </c>
      <c r="C2" s="84" t="s">
        <v>9</v>
      </c>
      <c r="D2" s="84" t="s">
        <v>11</v>
      </c>
      <c r="E2" s="85" t="s">
        <v>98</v>
      </c>
      <c r="F2" s="84" t="s">
        <v>10</v>
      </c>
      <c r="G2" s="84" t="s">
        <v>12</v>
      </c>
      <c r="H2" s="86" t="s">
        <v>99</v>
      </c>
      <c r="I2" s="65" t="s">
        <v>106</v>
      </c>
      <c r="J2" s="65" t="s">
        <v>48</v>
      </c>
      <c r="K2" s="65" t="s">
        <v>49</v>
      </c>
      <c r="L2" s="65" t="s">
        <v>50</v>
      </c>
      <c r="M2" s="65" t="s">
        <v>4</v>
      </c>
    </row>
    <row r="3" spans="1:15" x14ac:dyDescent="0.25">
      <c r="A3" s="104"/>
      <c r="B3" s="106"/>
      <c r="C3" s="105"/>
      <c r="D3" s="105"/>
      <c r="E3" s="105"/>
      <c r="F3" s="105"/>
      <c r="G3" s="105"/>
      <c r="H3" s="105"/>
      <c r="I3" s="105"/>
      <c r="J3" s="105"/>
      <c r="K3" s="105"/>
      <c r="L3" s="105"/>
      <c r="M3" s="105"/>
      <c r="N3" s="104"/>
      <c r="O3" s="104"/>
    </row>
    <row r="4" spans="1:15" x14ac:dyDescent="0.25">
      <c r="A4" s="104"/>
      <c r="B4" s="106"/>
      <c r="C4" s="105"/>
      <c r="D4" s="105"/>
      <c r="E4" s="105"/>
      <c r="F4" s="105"/>
      <c r="G4" s="105"/>
      <c r="H4" s="105"/>
      <c r="I4" s="105"/>
      <c r="J4" s="105"/>
      <c r="K4" s="105"/>
      <c r="L4" s="105"/>
      <c r="M4" s="105"/>
      <c r="N4" s="104"/>
      <c r="O4" s="104"/>
    </row>
    <row r="5" spans="1:15" x14ac:dyDescent="0.25">
      <c r="A5" s="104"/>
      <c r="B5" s="106"/>
      <c r="C5" s="105"/>
      <c r="D5" s="105"/>
      <c r="E5" s="105"/>
      <c r="F5" s="105"/>
      <c r="G5" s="105"/>
      <c r="H5" s="105"/>
      <c r="I5" s="105"/>
      <c r="J5" s="105"/>
      <c r="K5" s="105"/>
      <c r="L5" s="105"/>
      <c r="M5" s="105"/>
      <c r="N5" s="104"/>
      <c r="O5" s="104"/>
    </row>
    <row r="6" spans="1:15" x14ac:dyDescent="0.25">
      <c r="A6" s="104"/>
      <c r="B6" s="106"/>
      <c r="C6" s="105"/>
      <c r="D6" s="105"/>
      <c r="E6" s="105"/>
      <c r="F6" s="105"/>
      <c r="G6" s="105"/>
      <c r="H6" s="105"/>
      <c r="I6" s="105"/>
      <c r="J6" s="105"/>
      <c r="K6" s="105"/>
      <c r="L6" s="105"/>
      <c r="M6" s="105"/>
      <c r="N6" s="104"/>
      <c r="O6" s="104"/>
    </row>
    <row r="7" spans="1:15" x14ac:dyDescent="0.25">
      <c r="A7" s="104"/>
      <c r="B7" s="106"/>
      <c r="C7" s="105"/>
      <c r="D7" s="105"/>
      <c r="E7" s="105"/>
      <c r="F7" s="105"/>
      <c r="G7" s="105"/>
      <c r="H7" s="105"/>
      <c r="I7" s="105"/>
      <c r="J7" s="105"/>
      <c r="K7" s="105"/>
      <c r="L7" s="105"/>
      <c r="M7" s="105"/>
      <c r="N7" s="104"/>
      <c r="O7" s="104"/>
    </row>
    <row r="8" spans="1:15" x14ac:dyDescent="0.25">
      <c r="A8" s="104"/>
      <c r="B8" s="106"/>
      <c r="C8" s="105"/>
      <c r="D8" s="105"/>
      <c r="E8" s="105"/>
      <c r="F8" s="105"/>
      <c r="G8" s="105"/>
      <c r="H8" s="105"/>
      <c r="I8" s="105"/>
      <c r="J8" s="105"/>
      <c r="K8" s="105"/>
      <c r="L8" s="105"/>
      <c r="M8" s="105"/>
      <c r="N8" s="104"/>
      <c r="O8" s="104"/>
    </row>
    <row r="9" spans="1:15" x14ac:dyDescent="0.25">
      <c r="A9" s="104"/>
      <c r="B9" s="106"/>
      <c r="C9" s="105"/>
      <c r="D9" s="105"/>
      <c r="E9" s="105"/>
      <c r="F9" s="105"/>
      <c r="G9" s="105"/>
      <c r="H9" s="105"/>
      <c r="I9" s="105"/>
      <c r="J9" s="105"/>
      <c r="K9" s="105"/>
      <c r="L9" s="105"/>
      <c r="M9" s="105"/>
      <c r="N9" s="104"/>
      <c r="O9" s="104"/>
    </row>
    <row r="10" spans="1:15" x14ac:dyDescent="0.25">
      <c r="A10" s="104"/>
      <c r="B10" s="106"/>
      <c r="C10" s="105"/>
      <c r="D10" s="105"/>
      <c r="E10" s="105"/>
      <c r="F10" s="105"/>
      <c r="G10" s="105"/>
      <c r="H10" s="105"/>
      <c r="I10" s="105"/>
      <c r="J10" s="105"/>
      <c r="K10" s="105"/>
      <c r="L10" s="105"/>
      <c r="M10" s="105"/>
      <c r="N10" s="104"/>
      <c r="O10" s="104"/>
    </row>
    <row r="11" spans="1:15" x14ac:dyDescent="0.25">
      <c r="A11" s="104"/>
      <c r="B11" s="106"/>
      <c r="C11" s="105"/>
      <c r="D11" s="105"/>
      <c r="E11" s="105"/>
      <c r="F11" s="105"/>
      <c r="G11" s="105"/>
      <c r="H11" s="105"/>
      <c r="I11" s="105"/>
      <c r="J11" s="105"/>
      <c r="K11" s="105"/>
      <c r="L11" s="105"/>
      <c r="M11" s="105"/>
      <c r="N11" s="104"/>
      <c r="O11" s="104"/>
    </row>
    <row r="12" spans="1:15" x14ac:dyDescent="0.25">
      <c r="A12" s="104"/>
      <c r="B12" s="106"/>
      <c r="C12" s="105"/>
      <c r="D12" s="105"/>
      <c r="E12" s="105"/>
      <c r="F12" s="105"/>
      <c r="G12" s="105"/>
      <c r="H12" s="105"/>
      <c r="I12" s="105"/>
      <c r="J12" s="105"/>
      <c r="K12" s="105"/>
      <c r="L12" s="105"/>
      <c r="M12" s="105"/>
      <c r="N12" s="104"/>
      <c r="O12" s="104"/>
    </row>
    <row r="13" spans="1:15" x14ac:dyDescent="0.25">
      <c r="A13" s="104"/>
      <c r="B13" s="106"/>
      <c r="C13" s="105"/>
      <c r="D13" s="105"/>
      <c r="E13" s="105"/>
      <c r="F13" s="105"/>
      <c r="G13" s="105"/>
      <c r="H13" s="105"/>
      <c r="I13" s="105"/>
      <c r="J13" s="105"/>
      <c r="K13" s="105"/>
      <c r="L13" s="105"/>
      <c r="M13" s="105"/>
      <c r="N13" s="104"/>
      <c r="O13" s="104"/>
    </row>
    <row r="14" spans="1:15" x14ac:dyDescent="0.25">
      <c r="A14" s="104"/>
      <c r="B14" s="106"/>
      <c r="C14" s="105"/>
      <c r="D14" s="105"/>
      <c r="E14" s="105"/>
      <c r="F14" s="105"/>
      <c r="G14" s="105"/>
      <c r="H14" s="105"/>
      <c r="I14" s="105"/>
      <c r="J14" s="105"/>
      <c r="K14" s="105"/>
      <c r="L14" s="105"/>
      <c r="M14" s="105"/>
      <c r="N14" s="104"/>
      <c r="O14" s="104"/>
    </row>
    <row r="15" spans="1:15" x14ac:dyDescent="0.25">
      <c r="A15" s="104"/>
      <c r="B15" s="106"/>
      <c r="C15" s="105"/>
      <c r="D15" s="105"/>
      <c r="E15" s="105"/>
      <c r="F15" s="105"/>
      <c r="G15" s="105"/>
      <c r="H15" s="105"/>
      <c r="I15" s="105"/>
      <c r="J15" s="105"/>
      <c r="K15" s="105"/>
      <c r="L15" s="105"/>
      <c r="M15" s="105"/>
      <c r="N15" s="104"/>
      <c r="O15" s="104"/>
    </row>
    <row r="16" spans="1:15" x14ac:dyDescent="0.25">
      <c r="A16" s="104"/>
      <c r="B16" s="106"/>
      <c r="C16" s="105"/>
      <c r="D16" s="105"/>
      <c r="E16" s="105"/>
      <c r="F16" s="105"/>
      <c r="G16" s="105"/>
      <c r="H16" s="105"/>
      <c r="I16" s="105"/>
      <c r="J16" s="105"/>
      <c r="K16" s="105"/>
      <c r="L16" s="105"/>
      <c r="M16" s="105"/>
      <c r="N16" s="104"/>
      <c r="O16" s="104"/>
    </row>
    <row r="17" spans="1:27" x14ac:dyDescent="0.25">
      <c r="A17" s="104"/>
      <c r="B17" s="106"/>
      <c r="C17" s="105"/>
      <c r="D17" s="105"/>
      <c r="E17" s="105"/>
      <c r="F17" s="105"/>
      <c r="G17" s="105"/>
      <c r="H17" s="105"/>
      <c r="I17" s="105"/>
      <c r="J17" s="105"/>
      <c r="K17" s="105"/>
      <c r="L17" s="105"/>
      <c r="M17" s="105"/>
      <c r="N17" s="104"/>
      <c r="O17" s="104"/>
    </row>
    <row r="18" spans="1:27" x14ac:dyDescent="0.25">
      <c r="A18" s="104"/>
      <c r="B18" s="106"/>
      <c r="C18" s="105"/>
      <c r="D18" s="105"/>
      <c r="E18" s="105"/>
      <c r="F18" s="105"/>
      <c r="G18" s="105"/>
      <c r="H18" s="105"/>
      <c r="I18" s="105"/>
      <c r="J18" s="105"/>
      <c r="K18" s="105"/>
      <c r="L18" s="105"/>
      <c r="M18" s="105"/>
      <c r="N18" s="104"/>
      <c r="O18" s="104"/>
    </row>
    <row r="19" spans="1:27" x14ac:dyDescent="0.25">
      <c r="A19" s="104"/>
      <c r="B19" s="106"/>
      <c r="C19" s="105"/>
      <c r="D19" s="105"/>
      <c r="E19" s="105"/>
      <c r="F19" s="105"/>
      <c r="G19" s="105"/>
      <c r="H19" s="105"/>
      <c r="I19" s="105"/>
      <c r="J19" s="105"/>
      <c r="K19" s="105"/>
      <c r="L19" s="105"/>
      <c r="M19" s="105"/>
      <c r="N19" s="104"/>
      <c r="O19" s="104"/>
    </row>
    <row r="20" spans="1:27" x14ac:dyDescent="0.25">
      <c r="A20" s="104"/>
      <c r="B20" s="106"/>
      <c r="C20" s="105"/>
      <c r="D20" s="105"/>
      <c r="E20" s="105"/>
      <c r="F20" s="105"/>
      <c r="G20" s="105"/>
      <c r="H20" s="105"/>
      <c r="I20" s="105"/>
      <c r="J20" s="105"/>
      <c r="K20" s="105"/>
      <c r="L20" s="105"/>
      <c r="M20" s="105"/>
      <c r="N20" s="104"/>
      <c r="O20" s="104"/>
    </row>
    <row r="21" spans="1:27" x14ac:dyDescent="0.25">
      <c r="A21" s="104"/>
      <c r="B21" s="106"/>
      <c r="C21" s="105"/>
      <c r="D21" s="105"/>
      <c r="E21" s="105"/>
      <c r="F21" s="105"/>
      <c r="G21" s="105"/>
      <c r="H21" s="105"/>
      <c r="I21" s="105"/>
      <c r="J21" s="105"/>
      <c r="K21" s="105"/>
      <c r="L21" s="105"/>
      <c r="M21" s="105"/>
      <c r="N21" s="104"/>
      <c r="O21" s="104"/>
    </row>
    <row r="22" spans="1:27" x14ac:dyDescent="0.25">
      <c r="A22" s="104"/>
      <c r="B22" s="106"/>
      <c r="C22" s="105"/>
      <c r="D22" s="105"/>
      <c r="E22" s="105"/>
      <c r="F22" s="105"/>
      <c r="G22" s="105"/>
      <c r="H22" s="105"/>
      <c r="I22" s="105"/>
      <c r="J22" s="105"/>
      <c r="K22" s="105"/>
      <c r="L22" s="105"/>
      <c r="M22" s="105"/>
      <c r="N22" s="104"/>
      <c r="O22" s="104"/>
    </row>
    <row r="23" spans="1:27" x14ac:dyDescent="0.25">
      <c r="A23" s="13"/>
      <c r="E23" s="50"/>
      <c r="F23" s="35"/>
      <c r="G23" s="34"/>
      <c r="H23" s="87" t="s">
        <v>100</v>
      </c>
      <c r="I23" s="93">
        <f>SUM(I3:I22)</f>
        <v>0</v>
      </c>
      <c r="J23" s="87"/>
      <c r="K23" s="87"/>
      <c r="L23" s="87" t="s">
        <v>101</v>
      </c>
      <c r="M23" s="97">
        <f>SUM(N3:N22)</f>
        <v>0</v>
      </c>
    </row>
    <row r="24" spans="1:27" x14ac:dyDescent="0.25">
      <c r="A24" s="34"/>
      <c r="B24" s="34"/>
      <c r="C24" s="88"/>
      <c r="D24" s="89"/>
      <c r="E24" s="35"/>
      <c r="F24" s="34"/>
      <c r="G24" s="34"/>
      <c r="H24" s="36"/>
    </row>
    <row r="25" spans="1:27" x14ac:dyDescent="0.25">
      <c r="A25" s="2" t="s">
        <v>8</v>
      </c>
    </row>
    <row r="27" spans="1:27" ht="18.75" x14ac:dyDescent="0.3">
      <c r="B27" s="1" t="s">
        <v>41</v>
      </c>
      <c r="C27" s="38"/>
      <c r="F27" s="38"/>
      <c r="G27" s="38"/>
    </row>
    <row r="28" spans="1:27" x14ac:dyDescent="0.25">
      <c r="A28" s="90" t="s">
        <v>6</v>
      </c>
      <c r="B28" s="111" t="s">
        <v>14</v>
      </c>
      <c r="C28" s="112"/>
      <c r="D28" s="112"/>
      <c r="E28" s="112"/>
      <c r="F28" s="112"/>
      <c r="G28" s="113"/>
      <c r="H28" s="91" t="s">
        <v>31</v>
      </c>
      <c r="I28" s="92" t="s">
        <v>30</v>
      </c>
      <c r="J28" s="90" t="s">
        <v>48</v>
      </c>
      <c r="K28" s="90" t="s">
        <v>52</v>
      </c>
      <c r="L28" s="90" t="s">
        <v>53</v>
      </c>
    </row>
    <row r="29" spans="1:27" x14ac:dyDescent="0.25">
      <c r="A29" s="3"/>
      <c r="B29" s="4"/>
      <c r="C29" s="46"/>
      <c r="D29" s="62"/>
      <c r="E29" s="63"/>
      <c r="F29" s="5"/>
      <c r="G29" s="43"/>
      <c r="H29" s="59"/>
      <c r="I29" s="18"/>
      <c r="J29" s="3"/>
      <c r="K29" s="3"/>
      <c r="L29" s="55"/>
      <c r="M29" s="56"/>
      <c r="N29"/>
      <c r="O29"/>
      <c r="P29"/>
      <c r="Q29"/>
      <c r="R29"/>
      <c r="S29"/>
      <c r="T29"/>
      <c r="U29"/>
      <c r="V29"/>
      <c r="W29"/>
      <c r="X29"/>
      <c r="Y29"/>
      <c r="Z29"/>
      <c r="AA29"/>
    </row>
    <row r="30" spans="1:27" x14ac:dyDescent="0.25">
      <c r="A30" s="3"/>
      <c r="B30" s="4"/>
      <c r="C30" s="46"/>
      <c r="D30" s="62"/>
      <c r="E30" s="63"/>
      <c r="F30" s="5"/>
      <c r="G30" s="43"/>
      <c r="H30" s="59"/>
      <c r="I30" s="18"/>
      <c r="J30" s="3"/>
      <c r="K30" s="3"/>
      <c r="L30" s="55"/>
      <c r="M30" s="56"/>
      <c r="N30"/>
      <c r="O30"/>
      <c r="P30"/>
      <c r="Q30"/>
      <c r="R30"/>
      <c r="S30"/>
      <c r="T30"/>
      <c r="U30"/>
      <c r="V30"/>
      <c r="W30"/>
      <c r="X30"/>
      <c r="Y30"/>
      <c r="Z30"/>
      <c r="AA30"/>
    </row>
    <row r="31" spans="1:27" x14ac:dyDescent="0.25">
      <c r="A31" s="3"/>
      <c r="B31" s="4"/>
      <c r="C31" s="46"/>
      <c r="D31" s="62"/>
      <c r="E31" s="63"/>
      <c r="F31" s="5"/>
      <c r="G31" s="43"/>
      <c r="H31" s="59"/>
      <c r="I31" s="18"/>
      <c r="J31" s="3"/>
      <c r="K31" s="3"/>
      <c r="L31" s="55"/>
      <c r="M31" s="56"/>
      <c r="N31"/>
      <c r="O31"/>
      <c r="P31"/>
      <c r="Q31"/>
      <c r="R31"/>
      <c r="S31"/>
      <c r="T31"/>
      <c r="U31"/>
      <c r="V31"/>
      <c r="W31"/>
      <c r="X31"/>
      <c r="Y31"/>
      <c r="Z31"/>
      <c r="AA31"/>
    </row>
    <row r="32" spans="1:27" x14ac:dyDescent="0.25">
      <c r="A32" s="3"/>
      <c r="B32" s="4"/>
      <c r="C32" s="46"/>
      <c r="D32" s="62"/>
      <c r="E32" s="63"/>
      <c r="F32" s="5"/>
      <c r="G32" s="43"/>
      <c r="H32" s="59"/>
      <c r="I32" s="18"/>
      <c r="J32" s="3"/>
      <c r="K32" s="3"/>
      <c r="L32" s="55"/>
      <c r="M32" s="56"/>
      <c r="N32"/>
      <c r="O32"/>
      <c r="P32"/>
      <c r="Q32"/>
      <c r="R32"/>
      <c r="S32"/>
      <c r="T32"/>
      <c r="U32"/>
      <c r="V32"/>
      <c r="W32"/>
      <c r="X32"/>
      <c r="Y32"/>
      <c r="Z32"/>
      <c r="AA32"/>
    </row>
    <row r="33" spans="1:27" x14ac:dyDescent="0.25">
      <c r="A33" s="3"/>
      <c r="B33" s="4"/>
      <c r="C33" s="46"/>
      <c r="D33" s="62"/>
      <c r="E33" s="63"/>
      <c r="F33" s="5"/>
      <c r="G33" s="43"/>
      <c r="H33" s="59"/>
      <c r="I33" s="18"/>
      <c r="J33" s="3"/>
      <c r="K33" s="3"/>
      <c r="L33" s="55"/>
      <c r="M33" s="56"/>
      <c r="N33"/>
      <c r="O33"/>
      <c r="P33"/>
      <c r="Q33"/>
      <c r="R33"/>
      <c r="S33"/>
      <c r="T33"/>
      <c r="U33"/>
      <c r="V33"/>
      <c r="W33"/>
      <c r="X33"/>
      <c r="Y33"/>
      <c r="Z33"/>
      <c r="AA33"/>
    </row>
    <row r="34" spans="1:27" x14ac:dyDescent="0.25">
      <c r="A34" s="3"/>
      <c r="B34" s="4"/>
      <c r="C34" s="46"/>
      <c r="D34" s="62"/>
      <c r="E34" s="63"/>
      <c r="F34" s="5"/>
      <c r="G34" s="43"/>
      <c r="H34" s="59"/>
      <c r="I34" s="18"/>
      <c r="J34" s="3"/>
      <c r="K34" s="3"/>
      <c r="L34" s="55"/>
      <c r="M34" s="56"/>
    </row>
    <row r="35" spans="1:27" x14ac:dyDescent="0.25">
      <c r="A35" s="3"/>
      <c r="B35" s="96"/>
      <c r="C35" s="46"/>
      <c r="D35" s="62"/>
      <c r="E35" s="63"/>
      <c r="F35" s="5"/>
      <c r="G35" s="43"/>
      <c r="H35" s="59"/>
      <c r="I35" s="18"/>
      <c r="J35" s="80"/>
      <c r="K35" s="3"/>
      <c r="L35" s="55"/>
      <c r="M35" s="56"/>
    </row>
    <row r="36" spans="1:27" x14ac:dyDescent="0.25">
      <c r="A36" s="3"/>
      <c r="B36" s="96"/>
      <c r="C36" s="46"/>
      <c r="D36" s="62"/>
      <c r="E36" s="63"/>
      <c r="F36" s="5"/>
      <c r="G36" s="43"/>
      <c r="H36" s="59"/>
      <c r="I36" s="18"/>
      <c r="J36" s="80"/>
      <c r="K36" s="3"/>
      <c r="L36" s="55"/>
      <c r="M36" s="56"/>
    </row>
    <row r="37" spans="1:27" x14ac:dyDescent="0.25">
      <c r="A37" s="3"/>
      <c r="B37" s="96"/>
      <c r="C37" s="46"/>
      <c r="D37" s="62"/>
      <c r="E37" s="63"/>
      <c r="F37" s="5"/>
      <c r="G37" s="43"/>
      <c r="H37" s="59"/>
      <c r="I37" s="18"/>
      <c r="J37" s="80"/>
      <c r="K37" s="3"/>
      <c r="L37" s="55"/>
      <c r="M37" s="56"/>
    </row>
    <row r="38" spans="1:27" x14ac:dyDescent="0.25">
      <c r="A38" s="3"/>
      <c r="B38" s="96"/>
      <c r="C38" s="46"/>
      <c r="D38" s="62"/>
      <c r="E38" s="63"/>
      <c r="F38" s="5"/>
      <c r="G38" s="43"/>
      <c r="H38" s="59"/>
      <c r="I38" s="18"/>
      <c r="J38" s="3"/>
      <c r="K38" s="3"/>
      <c r="L38" s="55"/>
      <c r="M38" s="56"/>
    </row>
    <row r="39" spans="1:27" x14ac:dyDescent="0.25">
      <c r="A39" s="3"/>
      <c r="B39" s="96"/>
      <c r="C39" s="46"/>
      <c r="D39" s="62"/>
      <c r="E39" s="63"/>
      <c r="F39" s="5"/>
      <c r="G39" s="43"/>
      <c r="H39" s="59"/>
      <c r="I39" s="18"/>
      <c r="J39" s="80"/>
      <c r="K39" s="3"/>
      <c r="L39" s="55"/>
      <c r="M39" s="56"/>
    </row>
  </sheetData>
  <sortState xmlns:xlrd2="http://schemas.microsoft.com/office/spreadsheetml/2017/richdata2" ref="A3:O22">
    <sortCondition ref="O3:O22"/>
    <sortCondition ref="B3:B22"/>
  </sortState>
  <mergeCells count="1">
    <mergeCell ref="B28:G28"/>
  </mergeCells>
  <dataValidations count="1">
    <dataValidation type="custom" allowBlank="1" showInputMessage="1" showErrorMessage="1" errorTitle="Знак &quot;*&quot; недопустим" error="Знак &quot;*&quot; зарезервирован для обозначения отсутствия кромки и не может быть здесь использован" sqref="E29:E39" xr:uid="{362DC222-936B-422A-9742-02134A475070}">
      <formula1>E29&lt;&gt;"*"</formula1>
    </dataValidation>
  </dataValidations>
  <pageMargins left="0.23622047244094491" right="0.23622047244094491" top="0.74803149606299213" bottom="0.74803149606299213" header="0.31496062992125984" footer="0.31496062992125984"/>
  <pageSetup paperSize="9" scale="79" fitToHeight="0" orientation="landscape" r:id="rId1"/>
  <headerFooter>
    <oddHeader>&amp;R&amp;D. &amp;T. Страница &amp;P/&amp;N&amp;LКРОМКА bCad</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97281" r:id="rId4" name="Button 1">
              <controlPr defaultSize="0" print="0" autoFill="0" autoPict="0" macro="[0]!СкрытьПервыйСтолбик">
                <anchor>
                  <from>
                    <xdr:col>19</xdr:col>
                    <xdr:colOff>600075</xdr:colOff>
                    <xdr:row>0</xdr:row>
                    <xdr:rowOff>142875</xdr:rowOff>
                  </from>
                  <to>
                    <xdr:col>24</xdr:col>
                    <xdr:colOff>161925</xdr:colOff>
                    <xdr:row>3</xdr:row>
                    <xdr:rowOff>57150</xdr:rowOff>
                  </to>
                </anchor>
              </controlPr>
            </control>
          </mc:Choice>
        </mc:AlternateContent>
        <mc:AlternateContent xmlns:mc="http://schemas.openxmlformats.org/markup-compatibility/2006">
          <mc:Choice Requires="x14">
            <control shapeId="97282" r:id="rId5" name="Button 2">
              <controlPr defaultSize="0" print="0" autoFill="0" autoPict="0" macro="[0]!СкрытьПервыйСтолбик">
                <anchor>
                  <from>
                    <xdr:col>24</xdr:col>
                    <xdr:colOff>409575</xdr:colOff>
                    <xdr:row>1</xdr:row>
                    <xdr:rowOff>19050</xdr:rowOff>
                  </from>
                  <to>
                    <xdr:col>27</xdr:col>
                    <xdr:colOff>104775</xdr:colOff>
                    <xdr:row>1</xdr:row>
                    <xdr:rowOff>390525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761FD2-0849-476F-9F79-28D7027FBAFB}">
  <sheetPr codeName="Лист7">
    <pageSetUpPr fitToPage="1"/>
  </sheetPr>
  <dimension ref="A1:O24"/>
  <sheetViews>
    <sheetView view="pageBreakPreview" zoomScaleNormal="100" zoomScaleSheetLayoutView="100" workbookViewId="0">
      <selection activeCell="A3" sqref="A3"/>
    </sheetView>
  </sheetViews>
  <sheetFormatPr defaultRowHeight="15" x14ac:dyDescent="0.25"/>
  <cols>
    <col min="1" max="1" width="6.85546875" style="30" customWidth="1"/>
    <col min="2" max="2" width="31.7109375" style="30" customWidth="1"/>
    <col min="3" max="4" width="8.7109375" style="30" customWidth="1"/>
    <col min="5" max="5" width="4.7109375" style="30" customWidth="1"/>
    <col min="6" max="6" width="6.28515625" style="30" bestFit="1" customWidth="1"/>
    <col min="7" max="7" width="54.140625" style="30" bestFit="1" customWidth="1"/>
    <col min="8" max="8" width="45.5703125" style="30" bestFit="1" customWidth="1"/>
    <col min="9" max="9" width="28.7109375" style="30" bestFit="1" customWidth="1"/>
    <col min="10" max="10" width="29.7109375" style="30" bestFit="1" customWidth="1"/>
    <col min="11" max="11" width="11.140625" style="30" bestFit="1" customWidth="1"/>
    <col min="12" max="16384" width="9.140625" style="30"/>
  </cols>
  <sheetData>
    <row r="1" spans="1:15" ht="18.75" x14ac:dyDescent="0.3">
      <c r="A1" s="1" t="s">
        <v>198</v>
      </c>
      <c r="D1" s="82"/>
      <c r="E1" s="82"/>
      <c r="F1" s="82"/>
      <c r="J1" s="83"/>
    </row>
    <row r="2" spans="1:15" ht="30" x14ac:dyDescent="0.25">
      <c r="A2" s="65" t="s">
        <v>6</v>
      </c>
      <c r="B2" s="65" t="str">
        <f>"Наименование"</f>
        <v>Наименование</v>
      </c>
      <c r="C2" s="85" t="s">
        <v>98</v>
      </c>
      <c r="D2" s="85" t="s">
        <v>99</v>
      </c>
      <c r="E2" s="65" t="s">
        <v>106</v>
      </c>
      <c r="F2" s="99" t="s">
        <v>107</v>
      </c>
      <c r="G2" s="65" t="s">
        <v>48</v>
      </c>
      <c r="H2" s="65" t="s">
        <v>49</v>
      </c>
      <c r="I2" s="65" t="s">
        <v>50</v>
      </c>
      <c r="J2" s="65" t="s">
        <v>4</v>
      </c>
    </row>
    <row r="3" spans="1:15" x14ac:dyDescent="0.25">
      <c r="A3" s="104"/>
      <c r="B3" s="106"/>
      <c r="C3" s="105"/>
      <c r="D3" s="105"/>
      <c r="E3" s="105"/>
      <c r="F3" s="105"/>
      <c r="G3" s="105"/>
      <c r="H3" s="105"/>
      <c r="I3" s="105"/>
      <c r="J3" s="105"/>
      <c r="K3" s="104"/>
      <c r="L3" s="104"/>
      <c r="M3" s="104"/>
      <c r="N3" s="104"/>
      <c r="O3" s="104"/>
    </row>
    <row r="4" spans="1:15" x14ac:dyDescent="0.25">
      <c r="A4" s="104"/>
      <c r="B4" s="106"/>
      <c r="C4" s="105"/>
      <c r="D4" s="105"/>
      <c r="E4" s="105"/>
      <c r="F4" s="105"/>
      <c r="G4" s="105"/>
      <c r="H4" s="105"/>
      <c r="I4" s="105"/>
      <c r="J4" s="105"/>
      <c r="K4" s="104"/>
      <c r="L4" s="104"/>
      <c r="M4" s="104"/>
      <c r="N4" s="104"/>
      <c r="O4" s="104"/>
    </row>
    <row r="5" spans="1:15" x14ac:dyDescent="0.25">
      <c r="A5" s="104"/>
      <c r="B5" s="106"/>
      <c r="C5" s="105"/>
      <c r="D5" s="105"/>
      <c r="E5" s="105"/>
      <c r="F5" s="105"/>
      <c r="G5" s="105"/>
      <c r="H5" s="105"/>
      <c r="I5" s="105"/>
      <c r="J5" s="105"/>
      <c r="K5" s="104"/>
      <c r="L5" s="104"/>
      <c r="M5" s="104"/>
      <c r="N5" s="104"/>
      <c r="O5" s="104"/>
    </row>
    <row r="6" spans="1:15" x14ac:dyDescent="0.25">
      <c r="A6" s="104"/>
      <c r="B6" s="106"/>
      <c r="C6" s="105"/>
      <c r="D6" s="105"/>
      <c r="E6" s="105"/>
      <c r="F6" s="105"/>
      <c r="G6" s="105"/>
      <c r="H6" s="105"/>
      <c r="I6" s="105"/>
      <c r="J6" s="105"/>
      <c r="K6" s="104"/>
      <c r="L6" s="104"/>
      <c r="M6" s="104"/>
      <c r="N6" s="104"/>
      <c r="O6" s="104"/>
    </row>
    <row r="7" spans="1:15" x14ac:dyDescent="0.25">
      <c r="A7" s="104"/>
      <c r="B7" s="106"/>
      <c r="C7" s="105"/>
      <c r="D7" s="105"/>
      <c r="E7" s="105"/>
      <c r="F7" s="105"/>
      <c r="G7" s="105"/>
      <c r="H7" s="105"/>
      <c r="I7" s="105"/>
      <c r="J7" s="105"/>
      <c r="K7" s="104"/>
      <c r="L7" s="104"/>
      <c r="M7" s="104"/>
      <c r="N7" s="104"/>
      <c r="O7" s="104"/>
    </row>
    <row r="8" spans="1:15" x14ac:dyDescent="0.25">
      <c r="A8" s="104"/>
      <c r="B8" s="106"/>
      <c r="C8" s="105"/>
      <c r="D8" s="105"/>
      <c r="E8" s="105"/>
      <c r="F8" s="105"/>
      <c r="G8" s="105"/>
      <c r="H8" s="105"/>
      <c r="I8" s="105"/>
      <c r="J8" s="105"/>
      <c r="K8" s="104"/>
      <c r="L8" s="104"/>
      <c r="M8" s="104"/>
      <c r="N8" s="104"/>
      <c r="O8" s="104"/>
    </row>
    <row r="9" spans="1:15" x14ac:dyDescent="0.25">
      <c r="A9" s="104"/>
      <c r="B9" s="106"/>
      <c r="C9" s="105"/>
      <c r="D9" s="105"/>
      <c r="E9" s="105"/>
      <c r="F9" s="105"/>
      <c r="G9" s="105"/>
      <c r="H9" s="105"/>
      <c r="I9" s="105"/>
      <c r="J9" s="105"/>
      <c r="K9" s="104"/>
      <c r="L9" s="104"/>
      <c r="M9" s="104"/>
      <c r="N9" s="104"/>
      <c r="O9" s="104"/>
    </row>
    <row r="10" spans="1:15" x14ac:dyDescent="0.25">
      <c r="A10" s="104"/>
      <c r="B10" s="106"/>
      <c r="C10" s="105"/>
      <c r="D10" s="105"/>
      <c r="E10" s="105"/>
      <c r="F10" s="105"/>
      <c r="G10" s="105"/>
      <c r="H10" s="105"/>
      <c r="I10" s="105"/>
      <c r="J10" s="105"/>
      <c r="K10" s="104"/>
      <c r="L10" s="104"/>
      <c r="M10" s="104"/>
      <c r="N10" s="104"/>
      <c r="O10" s="104"/>
    </row>
    <row r="11" spans="1:15" x14ac:dyDescent="0.25">
      <c r="A11" s="104"/>
      <c r="B11" s="106"/>
      <c r="C11" s="105"/>
      <c r="D11" s="105"/>
      <c r="E11" s="105"/>
      <c r="F11" s="105"/>
      <c r="G11" s="105"/>
      <c r="H11" s="105"/>
      <c r="I11" s="105"/>
      <c r="J11" s="105"/>
      <c r="K11" s="104"/>
      <c r="L11" s="104"/>
      <c r="M11" s="104"/>
      <c r="N11" s="104"/>
      <c r="O11" s="104"/>
    </row>
    <row r="12" spans="1:15" x14ac:dyDescent="0.25">
      <c r="A12" s="104"/>
      <c r="B12" s="106"/>
      <c r="C12" s="105"/>
      <c r="D12" s="105"/>
      <c r="E12" s="105"/>
      <c r="F12" s="105"/>
      <c r="G12" s="105"/>
      <c r="H12" s="105"/>
      <c r="I12" s="105"/>
      <c r="J12" s="105"/>
      <c r="K12" s="104"/>
      <c r="L12" s="104"/>
      <c r="M12" s="104"/>
      <c r="N12" s="104"/>
      <c r="O12" s="104"/>
    </row>
    <row r="13" spans="1:15" x14ac:dyDescent="0.25">
      <c r="A13" s="104"/>
      <c r="B13" s="106"/>
      <c r="C13" s="105"/>
      <c r="D13" s="105"/>
      <c r="E13" s="105"/>
      <c r="F13" s="105"/>
      <c r="G13" s="105"/>
      <c r="H13" s="105"/>
      <c r="I13" s="105"/>
      <c r="J13" s="105"/>
      <c r="K13" s="104"/>
      <c r="L13" s="104"/>
      <c r="M13" s="104"/>
      <c r="N13" s="104"/>
      <c r="O13" s="104"/>
    </row>
    <row r="14" spans="1:15" x14ac:dyDescent="0.25">
      <c r="A14" s="104"/>
      <c r="B14" s="106"/>
      <c r="C14" s="105"/>
      <c r="D14" s="105"/>
      <c r="E14" s="105"/>
      <c r="F14" s="105"/>
      <c r="G14" s="105"/>
      <c r="H14" s="105"/>
      <c r="I14" s="105"/>
      <c r="J14" s="105"/>
      <c r="K14" s="104"/>
      <c r="L14" s="104"/>
      <c r="M14" s="104"/>
      <c r="N14" s="104"/>
      <c r="O14" s="104"/>
    </row>
    <row r="15" spans="1:15" x14ac:dyDescent="0.25">
      <c r="A15" s="104"/>
      <c r="B15" s="106"/>
      <c r="C15" s="105"/>
      <c r="D15" s="105"/>
      <c r="E15" s="105"/>
      <c r="F15" s="105"/>
      <c r="G15" s="105"/>
      <c r="H15" s="105"/>
      <c r="I15" s="105"/>
      <c r="J15" s="105"/>
      <c r="K15" s="104"/>
      <c r="L15" s="104"/>
      <c r="M15" s="104"/>
      <c r="N15" s="104"/>
      <c r="O15" s="104"/>
    </row>
    <row r="16" spans="1:15" x14ac:dyDescent="0.25">
      <c r="A16" s="104"/>
      <c r="B16" s="106"/>
      <c r="C16" s="105"/>
      <c r="D16" s="105"/>
      <c r="E16" s="105"/>
      <c r="F16" s="105"/>
      <c r="G16" s="105"/>
      <c r="H16" s="105"/>
      <c r="I16" s="105"/>
      <c r="J16" s="105"/>
      <c r="K16" s="104"/>
      <c r="L16" s="104"/>
      <c r="M16" s="104"/>
      <c r="N16" s="104"/>
      <c r="O16" s="104"/>
    </row>
    <row r="17" spans="1:15" x14ac:dyDescent="0.25">
      <c r="A17" s="104"/>
      <c r="B17" s="106"/>
      <c r="C17" s="105"/>
      <c r="D17" s="105"/>
      <c r="E17" s="105"/>
      <c r="F17" s="105"/>
      <c r="G17" s="105"/>
      <c r="H17" s="105"/>
      <c r="I17" s="105"/>
      <c r="J17" s="105"/>
      <c r="K17" s="104"/>
      <c r="L17" s="104"/>
      <c r="M17" s="104"/>
      <c r="N17" s="104"/>
      <c r="O17" s="104"/>
    </row>
    <row r="18" spans="1:15" x14ac:dyDescent="0.25">
      <c r="A18" s="104"/>
      <c r="B18" s="106"/>
      <c r="C18" s="105"/>
      <c r="D18" s="105"/>
      <c r="E18" s="105"/>
      <c r="F18" s="105"/>
      <c r="G18" s="105"/>
      <c r="H18" s="105"/>
      <c r="I18" s="105"/>
      <c r="J18" s="105"/>
      <c r="K18" s="104"/>
      <c r="L18" s="104"/>
      <c r="M18" s="104"/>
      <c r="N18" s="104"/>
      <c r="O18" s="104"/>
    </row>
    <row r="19" spans="1:15" x14ac:dyDescent="0.25">
      <c r="A19" s="104"/>
      <c r="B19" s="106"/>
      <c r="C19" s="105"/>
      <c r="D19" s="105"/>
      <c r="E19" s="105"/>
      <c r="F19" s="105"/>
      <c r="G19" s="105"/>
      <c r="H19" s="105"/>
      <c r="I19" s="105"/>
      <c r="J19" s="105"/>
      <c r="K19" s="104"/>
      <c r="L19" s="104"/>
      <c r="M19" s="104"/>
      <c r="N19" s="104"/>
      <c r="O19" s="104"/>
    </row>
    <row r="20" spans="1:15" x14ac:dyDescent="0.25">
      <c r="A20" s="13"/>
      <c r="C20" s="50"/>
      <c r="D20" s="87" t="s">
        <v>100</v>
      </c>
      <c r="E20" s="94">
        <f>SUM(E3:E19)</f>
        <v>0</v>
      </c>
      <c r="F20" s="33"/>
      <c r="G20" s="87"/>
      <c r="H20" s="87"/>
      <c r="I20" s="87" t="s">
        <v>102</v>
      </c>
      <c r="J20" s="97">
        <f>SUM(K3:K19)</f>
        <v>0</v>
      </c>
    </row>
    <row r="21" spans="1:15" x14ac:dyDescent="0.25">
      <c r="A21" s="13"/>
      <c r="C21" s="50"/>
      <c r="D21" s="87"/>
      <c r="E21" s="33"/>
      <c r="F21" s="33"/>
      <c r="G21" s="87"/>
      <c r="H21" s="87"/>
      <c r="I21" s="87"/>
    </row>
    <row r="22" spans="1:15" x14ac:dyDescent="0.25">
      <c r="A22" s="2" t="s">
        <v>8</v>
      </c>
      <c r="C22" s="50"/>
      <c r="D22" s="87"/>
      <c r="E22" s="33"/>
      <c r="F22" s="33"/>
      <c r="G22" s="87"/>
      <c r="H22" s="87"/>
      <c r="I22" s="87"/>
    </row>
    <row r="24" spans="1:15" x14ac:dyDescent="0.25">
      <c r="A24" s="34"/>
      <c r="B24" s="34"/>
      <c r="C24" s="88"/>
      <c r="D24" s="88"/>
      <c r="E24" s="89"/>
      <c r="F24" s="89"/>
      <c r="G24" s="35"/>
      <c r="H24" s="34"/>
      <c r="I24" s="34"/>
      <c r="J24" s="36"/>
    </row>
  </sheetData>
  <sortState xmlns:xlrd2="http://schemas.microsoft.com/office/spreadsheetml/2017/richdata2" ref="A3:O19">
    <sortCondition ref="G3:G19"/>
    <sortCondition ref="B3:B19"/>
  </sortState>
  <pageMargins left="0.70866141732283472" right="0.70866141732283472" top="0.74803149606299213" bottom="0.74803149606299213" header="0.31496062992125984" footer="0.31496062992125984"/>
  <pageSetup paperSize="9" scale="58" fitToHeight="0" orientation="landscape" r:id="rId1"/>
  <headerFooter>
    <oddHeader>&amp;R&amp;D. &amp;T. Страница &amp;P/&amp;N&amp;LРАСПИЛ bCad</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107521" r:id="rId4" name="Button 1">
              <controlPr defaultSize="0" print="0" autoFill="0" autoPict="0" macro="[0]!СкрытьПервыйСтолбик">
                <anchor>
                  <from>
                    <xdr:col>10</xdr:col>
                    <xdr:colOff>85725</xdr:colOff>
                    <xdr:row>0</xdr:row>
                    <xdr:rowOff>114300</xdr:rowOff>
                  </from>
                  <to>
                    <xdr:col>12</xdr:col>
                    <xdr:colOff>200025</xdr:colOff>
                    <xdr:row>1</xdr:row>
                    <xdr:rowOff>304800</xdr:rowOff>
                  </to>
                </anchor>
              </controlPr>
            </control>
          </mc:Choice>
        </mc:AlternateContent>
        <mc:AlternateContent xmlns:mc="http://schemas.openxmlformats.org/markup-compatibility/2006">
          <mc:Choice Requires="x14">
            <control shapeId="107522" r:id="rId5" name="Button 2">
              <controlPr defaultSize="0" print="0" autoFill="0" autoPict="0" macro="[0]!AutofitRASPIL">
                <anchor>
                  <from>
                    <xdr:col>12</xdr:col>
                    <xdr:colOff>304800</xdr:colOff>
                    <xdr:row>0</xdr:row>
                    <xdr:rowOff>142875</xdr:rowOff>
                  </from>
                  <to>
                    <xdr:col>14</xdr:col>
                    <xdr:colOff>152400</xdr:colOff>
                    <xdr:row>1</xdr:row>
                    <xdr:rowOff>276225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9BFA09-5528-414F-A0CB-75A11BBF135C}">
  <sheetPr codeName="Лист10">
    <pageSetUpPr fitToPage="1"/>
  </sheetPr>
  <dimension ref="A1:N30"/>
  <sheetViews>
    <sheetView view="pageBreakPreview" zoomScale="85" zoomScaleNormal="100" zoomScaleSheetLayoutView="85" zoomScalePageLayoutView="70" workbookViewId="0">
      <selection activeCell="N4" sqref="N4"/>
    </sheetView>
  </sheetViews>
  <sheetFormatPr defaultRowHeight="15" x14ac:dyDescent="0.25"/>
  <cols>
    <col min="1" max="1" width="4.85546875" style="30" customWidth="1"/>
    <col min="2" max="2" width="31.7109375" style="30" customWidth="1"/>
    <col min="3" max="4" width="8.7109375" style="30" customWidth="1"/>
    <col min="5" max="5" width="4.7109375" style="30" customWidth="1"/>
    <col min="6" max="6" width="55" style="30" bestFit="1" customWidth="1"/>
    <col min="7" max="7" width="46.42578125" style="30" bestFit="1" customWidth="1"/>
    <col min="8" max="8" width="28.7109375" style="30" bestFit="1" customWidth="1"/>
    <col min="9" max="9" width="29.7109375" style="30" bestFit="1" customWidth="1"/>
    <col min="10" max="10" width="9.7109375" style="30" bestFit="1" customWidth="1"/>
    <col min="11" max="16384" width="9.140625" style="30"/>
  </cols>
  <sheetData>
    <row r="1" spans="1:14" ht="18.75" x14ac:dyDescent="0.3">
      <c r="A1" s="1" t="s">
        <v>199</v>
      </c>
      <c r="D1" s="82"/>
      <c r="E1" s="82"/>
      <c r="I1" s="83"/>
      <c r="J1" s="82"/>
    </row>
    <row r="2" spans="1:14" ht="38.25" x14ac:dyDescent="0.25">
      <c r="A2" s="65" t="s">
        <v>6</v>
      </c>
      <c r="B2" s="65" t="str">
        <f>"Наименование"</f>
        <v>Наименование</v>
      </c>
      <c r="C2" s="98" t="s">
        <v>104</v>
      </c>
      <c r="D2" s="95" t="s">
        <v>105</v>
      </c>
      <c r="E2" s="85" t="s">
        <v>106</v>
      </c>
      <c r="F2" s="65" t="s">
        <v>48</v>
      </c>
      <c r="G2" s="65" t="s">
        <v>49</v>
      </c>
      <c r="H2" s="65" t="s">
        <v>50</v>
      </c>
      <c r="I2" s="85" t="s">
        <v>34</v>
      </c>
      <c r="J2" s="65" t="s">
        <v>103</v>
      </c>
    </row>
    <row r="3" spans="1:14" x14ac:dyDescent="0.25">
      <c r="A3" s="103"/>
      <c r="B3" s="107"/>
      <c r="C3" s="109"/>
      <c r="D3" s="109"/>
      <c r="E3" s="108"/>
      <c r="F3" s="103"/>
      <c r="G3" s="103"/>
      <c r="H3" s="103"/>
      <c r="I3" s="103"/>
      <c r="J3" s="103"/>
      <c r="K3" s="103"/>
      <c r="L3" s="103"/>
      <c r="M3" s="101"/>
      <c r="N3" s="101"/>
    </row>
    <row r="4" spans="1:14" x14ac:dyDescent="0.25">
      <c r="A4" s="103"/>
      <c r="B4" s="107"/>
      <c r="C4" s="103"/>
      <c r="D4" s="103"/>
      <c r="E4" s="108"/>
      <c r="F4" s="103"/>
      <c r="G4" s="103"/>
      <c r="H4" s="103"/>
      <c r="I4" s="103"/>
      <c r="J4" s="103"/>
      <c r="K4" s="103"/>
      <c r="L4" s="103"/>
      <c r="M4" s="101"/>
      <c r="N4" s="101"/>
    </row>
    <row r="5" spans="1:14" x14ac:dyDescent="0.25">
      <c r="A5" s="103"/>
      <c r="B5" s="107"/>
      <c r="C5" s="109"/>
      <c r="D5" s="109"/>
      <c r="E5" s="108"/>
      <c r="F5" s="103"/>
      <c r="G5" s="103"/>
      <c r="H5" s="103"/>
      <c r="I5" s="103"/>
      <c r="J5" s="103"/>
      <c r="K5" s="103"/>
      <c r="L5" s="103"/>
      <c r="M5" s="101"/>
      <c r="N5" s="101"/>
    </row>
    <row r="6" spans="1:14" x14ac:dyDescent="0.25">
      <c r="A6" s="103"/>
      <c r="B6" s="107"/>
      <c r="C6" s="109"/>
      <c r="D6" s="109"/>
      <c r="E6" s="108"/>
      <c r="F6" s="103"/>
      <c r="G6" s="103"/>
      <c r="H6" s="103"/>
      <c r="I6" s="103"/>
      <c r="J6" s="103"/>
      <c r="K6" s="103"/>
      <c r="L6" s="103"/>
      <c r="M6" s="101"/>
      <c r="N6" s="101"/>
    </row>
    <row r="7" spans="1:14" x14ac:dyDescent="0.25">
      <c r="A7" s="103"/>
      <c r="B7" s="107"/>
      <c r="C7" s="109"/>
      <c r="D7" s="109"/>
      <c r="E7" s="108"/>
      <c r="F7" s="103"/>
      <c r="G7" s="103"/>
      <c r="H7" s="103"/>
      <c r="I7" s="103"/>
      <c r="J7" s="103"/>
      <c r="K7" s="103"/>
      <c r="L7" s="103"/>
      <c r="M7" s="101"/>
      <c r="N7" s="101"/>
    </row>
    <row r="8" spans="1:14" x14ac:dyDescent="0.25">
      <c r="A8" s="103"/>
      <c r="B8" s="107"/>
      <c r="C8" s="109"/>
      <c r="D8" s="103"/>
      <c r="E8" s="108"/>
      <c r="F8" s="103"/>
      <c r="G8" s="103"/>
      <c r="H8" s="103"/>
      <c r="I8" s="103"/>
      <c r="J8" s="103"/>
      <c r="K8" s="103"/>
      <c r="L8" s="103"/>
      <c r="M8" s="101"/>
      <c r="N8" s="101"/>
    </row>
    <row r="9" spans="1:14" x14ac:dyDescent="0.25">
      <c r="A9" s="103"/>
      <c r="B9" s="107"/>
      <c r="C9" s="109"/>
      <c r="D9" s="103"/>
      <c r="E9" s="108"/>
      <c r="F9" s="103"/>
      <c r="G9" s="103"/>
      <c r="H9" s="103"/>
      <c r="I9" s="103"/>
      <c r="J9" s="103"/>
      <c r="K9" s="103"/>
      <c r="L9" s="103"/>
      <c r="M9" s="101"/>
      <c r="N9" s="101"/>
    </row>
    <row r="10" spans="1:14" x14ac:dyDescent="0.25">
      <c r="A10" s="103"/>
      <c r="B10" s="107"/>
      <c r="C10" s="109"/>
      <c r="D10" s="103"/>
      <c r="E10" s="108"/>
      <c r="F10" s="103"/>
      <c r="G10" s="103"/>
      <c r="H10" s="103"/>
      <c r="I10" s="103"/>
      <c r="J10" s="103"/>
      <c r="K10" s="103"/>
      <c r="L10" s="103"/>
      <c r="M10" s="101"/>
      <c r="N10" s="101"/>
    </row>
    <row r="11" spans="1:14" x14ac:dyDescent="0.25">
      <c r="A11" s="103"/>
      <c r="B11" s="107"/>
      <c r="C11" s="109"/>
      <c r="D11" s="103"/>
      <c r="E11" s="108"/>
      <c r="F11" s="103"/>
      <c r="G11" s="103"/>
      <c r="H11" s="103"/>
      <c r="I11" s="103"/>
      <c r="J11" s="103"/>
      <c r="K11" s="103"/>
      <c r="L11" s="103"/>
      <c r="M11" s="101"/>
      <c r="N11" s="101"/>
    </row>
    <row r="12" spans="1:14" x14ac:dyDescent="0.25">
      <c r="A12" s="103"/>
      <c r="B12" s="107"/>
      <c r="C12" s="109"/>
      <c r="D12" s="103"/>
      <c r="E12" s="108"/>
      <c r="F12" s="103"/>
      <c r="G12" s="103"/>
      <c r="H12" s="103"/>
      <c r="I12" s="103"/>
      <c r="J12" s="103"/>
      <c r="K12" s="103"/>
      <c r="L12" s="103"/>
      <c r="M12" s="101"/>
      <c r="N12" s="101"/>
    </row>
    <row r="13" spans="1:14" x14ac:dyDescent="0.25">
      <c r="A13" s="103"/>
      <c r="B13" s="107"/>
      <c r="C13" s="109"/>
      <c r="D13" s="109"/>
      <c r="E13" s="108"/>
      <c r="F13" s="103"/>
      <c r="G13" s="103"/>
      <c r="H13" s="103"/>
      <c r="I13" s="103"/>
      <c r="J13" s="103"/>
      <c r="K13" s="103"/>
      <c r="L13" s="103"/>
      <c r="M13" s="101"/>
      <c r="N13" s="101"/>
    </row>
    <row r="14" spans="1:14" x14ac:dyDescent="0.25">
      <c r="A14" s="103"/>
      <c r="B14" s="107"/>
      <c r="C14" s="109"/>
      <c r="D14" s="109"/>
      <c r="E14" s="108"/>
      <c r="F14" s="103"/>
      <c r="G14" s="103"/>
      <c r="H14" s="103"/>
      <c r="I14" s="103"/>
      <c r="J14" s="103"/>
      <c r="K14" s="103"/>
      <c r="L14" s="103"/>
      <c r="M14" s="101"/>
      <c r="N14" s="101"/>
    </row>
    <row r="15" spans="1:14" x14ac:dyDescent="0.25">
      <c r="A15" s="103"/>
      <c r="B15" s="107"/>
      <c r="C15" s="103"/>
      <c r="D15" s="103"/>
      <c r="E15" s="108"/>
      <c r="F15" s="103"/>
      <c r="G15" s="103"/>
      <c r="H15" s="103"/>
      <c r="I15" s="103"/>
      <c r="J15" s="103"/>
      <c r="K15" s="103"/>
      <c r="L15" s="103"/>
      <c r="M15" s="101"/>
      <c r="N15" s="101"/>
    </row>
    <row r="16" spans="1:14" x14ac:dyDescent="0.25">
      <c r="A16" s="103"/>
      <c r="B16" s="107"/>
      <c r="C16" s="103"/>
      <c r="D16" s="103"/>
      <c r="E16" s="108"/>
      <c r="F16" s="103"/>
      <c r="G16" s="103"/>
      <c r="H16" s="103"/>
      <c r="I16" s="103"/>
      <c r="J16" s="103"/>
      <c r="K16" s="103"/>
      <c r="L16" s="103"/>
      <c r="M16" s="101"/>
      <c r="N16" s="101"/>
    </row>
    <row r="17" spans="1:14" x14ac:dyDescent="0.25">
      <c r="A17" s="103"/>
      <c r="B17" s="107"/>
      <c r="C17" s="103"/>
      <c r="D17" s="103"/>
      <c r="E17" s="108"/>
      <c r="F17" s="103"/>
      <c r="G17" s="103"/>
      <c r="H17" s="103"/>
      <c r="I17" s="103"/>
      <c r="J17" s="103"/>
      <c r="K17" s="103"/>
      <c r="L17" s="103"/>
      <c r="M17" s="101"/>
      <c r="N17" s="101"/>
    </row>
    <row r="18" spans="1:14" x14ac:dyDescent="0.25">
      <c r="A18" s="103"/>
      <c r="B18" s="107"/>
      <c r="C18" s="109"/>
      <c r="D18" s="109"/>
      <c r="E18" s="108"/>
      <c r="F18" s="103"/>
      <c r="G18" s="103"/>
      <c r="H18" s="103"/>
      <c r="I18" s="103"/>
      <c r="J18" s="103"/>
      <c r="K18" s="103"/>
      <c r="L18" s="103"/>
      <c r="M18" s="101"/>
      <c r="N18" s="101"/>
    </row>
    <row r="19" spans="1:14" x14ac:dyDescent="0.25">
      <c r="A19" s="103"/>
      <c r="B19" s="107"/>
      <c r="C19" s="109"/>
      <c r="D19" s="109"/>
      <c r="E19" s="108"/>
      <c r="F19" s="103"/>
      <c r="G19" s="103"/>
      <c r="H19" s="103"/>
      <c r="I19" s="103"/>
      <c r="J19" s="103"/>
      <c r="K19" s="103"/>
      <c r="L19" s="103"/>
      <c r="M19" s="101"/>
      <c r="N19" s="101"/>
    </row>
    <row r="20" spans="1:14" x14ac:dyDescent="0.25">
      <c r="A20" s="103"/>
      <c r="B20" s="107"/>
      <c r="C20" s="109"/>
      <c r="D20" s="109"/>
      <c r="E20" s="108"/>
      <c r="F20" s="103"/>
      <c r="G20" s="103"/>
      <c r="H20" s="103"/>
      <c r="I20" s="103"/>
      <c r="J20" s="103"/>
      <c r="K20" s="103"/>
      <c r="L20" s="103"/>
      <c r="M20" s="101"/>
      <c r="N20" s="101"/>
    </row>
    <row r="21" spans="1:14" x14ac:dyDescent="0.25">
      <c r="A21" s="103"/>
      <c r="B21" s="107"/>
      <c r="C21" s="109"/>
      <c r="D21" s="109"/>
      <c r="E21" s="108"/>
      <c r="F21" s="103"/>
      <c r="G21" s="103"/>
      <c r="H21" s="103"/>
      <c r="I21" s="103"/>
      <c r="J21" s="103"/>
      <c r="K21" s="103"/>
      <c r="L21" s="103"/>
      <c r="M21" s="101"/>
      <c r="N21" s="101"/>
    </row>
    <row r="22" spans="1:14" x14ac:dyDescent="0.25">
      <c r="A22" s="103"/>
      <c r="B22" s="107"/>
      <c r="C22" s="109"/>
      <c r="D22" s="109"/>
      <c r="E22" s="108"/>
      <c r="F22" s="103"/>
      <c r="G22" s="103"/>
      <c r="H22" s="103"/>
      <c r="I22" s="103"/>
      <c r="J22" s="103"/>
      <c r="K22" s="103"/>
      <c r="L22" s="103"/>
      <c r="M22" s="101"/>
      <c r="N22" s="101"/>
    </row>
    <row r="23" spans="1:14" x14ac:dyDescent="0.25">
      <c r="A23" s="103"/>
      <c r="B23" s="107"/>
      <c r="C23" s="109"/>
      <c r="D23" s="109"/>
      <c r="E23" s="108"/>
      <c r="F23" s="103"/>
      <c r="G23" s="103"/>
      <c r="H23" s="103"/>
      <c r="I23" s="103"/>
      <c r="J23" s="103"/>
      <c r="K23" s="103"/>
      <c r="L23" s="103"/>
      <c r="M23" s="101"/>
      <c r="N23" s="101"/>
    </row>
    <row r="24" spans="1:14" x14ac:dyDescent="0.25">
      <c r="A24" s="103"/>
      <c r="B24" s="107"/>
      <c r="C24" s="110"/>
      <c r="D24" s="110"/>
      <c r="E24" s="108"/>
      <c r="F24" s="103"/>
      <c r="G24" s="103"/>
      <c r="H24" s="103"/>
      <c r="I24" s="103"/>
      <c r="J24" s="103"/>
      <c r="K24" s="103"/>
      <c r="L24" s="103"/>
      <c r="M24" s="101"/>
      <c r="N24" s="101"/>
    </row>
    <row r="25" spans="1:14" x14ac:dyDescent="0.25">
      <c r="A25" s="103"/>
      <c r="B25" s="107"/>
      <c r="C25" s="110"/>
      <c r="D25" s="110"/>
      <c r="E25" s="108"/>
      <c r="F25" s="103"/>
      <c r="G25" s="103"/>
      <c r="H25" s="103"/>
      <c r="I25" s="103"/>
      <c r="J25" s="103"/>
      <c r="K25" s="103"/>
      <c r="L25" s="103"/>
      <c r="M25" s="101"/>
      <c r="N25" s="101"/>
    </row>
    <row r="26" spans="1:14" x14ac:dyDescent="0.25">
      <c r="A26" s="13"/>
      <c r="C26" s="50"/>
      <c r="D26" s="87" t="s">
        <v>100</v>
      </c>
      <c r="E26" s="94">
        <f>SUM(E3:E25)</f>
        <v>0</v>
      </c>
      <c r="F26" s="87"/>
      <c r="G26" s="87"/>
      <c r="I26" s="87" t="s">
        <v>102</v>
      </c>
      <c r="J26" s="97">
        <f>SUM(K3:K25)</f>
        <v>0</v>
      </c>
    </row>
    <row r="27" spans="1:14" x14ac:dyDescent="0.25">
      <c r="A27" s="13"/>
      <c r="C27" s="50"/>
      <c r="D27" s="87"/>
      <c r="E27" s="33"/>
      <c r="F27" s="87"/>
      <c r="G27" s="87"/>
      <c r="H27" s="87"/>
      <c r="J27" s="33"/>
    </row>
    <row r="28" spans="1:14" x14ac:dyDescent="0.25">
      <c r="A28" s="2" t="s">
        <v>8</v>
      </c>
      <c r="C28" s="50"/>
      <c r="D28" s="87"/>
      <c r="E28" s="33"/>
      <c r="F28" s="87"/>
      <c r="G28" s="87"/>
      <c r="H28" s="87"/>
      <c r="J28" s="33"/>
    </row>
    <row r="30" spans="1:14" x14ac:dyDescent="0.25">
      <c r="A30" s="34"/>
      <c r="B30" s="34"/>
      <c r="C30" s="88"/>
      <c r="D30" s="88"/>
      <c r="E30" s="89"/>
      <c r="F30" s="35"/>
      <c r="G30" s="34"/>
      <c r="H30" s="34"/>
      <c r="I30" s="36"/>
      <c r="J30" s="89"/>
    </row>
  </sheetData>
  <pageMargins left="0.70866141732283472" right="0.70866141732283472" top="0.74803149606299213" bottom="0.74803149606299213" header="0.31496062992125984" footer="0.31496062992125984"/>
  <pageSetup paperSize="9" scale="57" fitToHeight="0" orientation="landscape" r:id="rId1"/>
  <headerFooter>
    <oddHeader>&amp;LСБОРКА bCad&amp;R&amp;D. &amp;T. Страница &amp;P/&amp;N</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01" r:id="rId4" name="Button 1">
              <controlPr defaultSize="0" print="0" autoFill="0" autoPict="0" macro="[0]!СкрытьПервыйСтолбик">
                <anchor>
                  <from>
                    <xdr:col>10</xdr:col>
                    <xdr:colOff>314325</xdr:colOff>
                    <xdr:row>0</xdr:row>
                    <xdr:rowOff>180975</xdr:rowOff>
                  </from>
                  <to>
                    <xdr:col>14</xdr:col>
                    <xdr:colOff>504825</xdr:colOff>
                    <xdr:row>1</xdr:row>
                    <xdr:rowOff>371475</xdr:rowOff>
                  </to>
                </anchor>
              </controlPr>
            </control>
          </mc:Choice>
        </mc:AlternateContent>
        <mc:AlternateContent xmlns:mc="http://schemas.openxmlformats.org/markup-compatibility/2006">
          <mc:Choice Requires="x14">
            <control shapeId="102402" r:id="rId5" name="Button 2">
              <controlPr defaultSize="0" print="0" autoFill="0" autoPict="0" macro="[0]!AutofitRASPIL">
                <anchor>
                  <from>
                    <xdr:col>15</xdr:col>
                    <xdr:colOff>123825</xdr:colOff>
                    <xdr:row>0</xdr:row>
                    <xdr:rowOff>209550</xdr:rowOff>
                  </from>
                  <to>
                    <xdr:col>17</xdr:col>
                    <xdr:colOff>9525</xdr:colOff>
                    <xdr:row>1</xdr:row>
                    <xdr:rowOff>342900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6</vt:i4>
      </vt:variant>
      <vt:variant>
        <vt:lpstr>Именованные диапазоны</vt:lpstr>
      </vt:variant>
      <vt:variant>
        <vt:i4>7</vt:i4>
      </vt:variant>
    </vt:vector>
  </HeadingPairs>
  <TitlesOfParts>
    <vt:vector size="13" baseType="lpstr">
      <vt:lpstr>ИсходныйСкрытый</vt:lpstr>
      <vt:lpstr>Деталировка</vt:lpstr>
      <vt:lpstr>СКЛАД</vt:lpstr>
      <vt:lpstr>КРОМКА</vt:lpstr>
      <vt:lpstr>РАСПИЛ</vt:lpstr>
      <vt:lpstr>СБОРКА</vt:lpstr>
      <vt:lpstr>КРОМКА!Заголовки_для_печати</vt:lpstr>
      <vt:lpstr>РАСПИЛ!Заголовки_для_печати</vt:lpstr>
      <vt:lpstr>СБОРКА!Заголовки_для_печати</vt:lpstr>
      <vt:lpstr>Деталировка!Область_печати</vt:lpstr>
      <vt:lpstr>КРОМКА!Область_печати</vt:lpstr>
      <vt:lpstr>РАСПИЛ!Область_печати</vt:lpstr>
      <vt:lpstr>СБОРКА!Область_печати</vt:lpstr>
    </vt:vector>
  </TitlesOfParts>
  <Company>RePack by SPecialiST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i3240;Ганков Ярослав 0662854936</dc:creator>
  <cp:lastModifiedBy>Скиф</cp:lastModifiedBy>
  <cp:lastPrinted>2022-02-24T21:23:31Z</cp:lastPrinted>
  <dcterms:created xsi:type="dcterms:W3CDTF">2014-06-23T08:47:00Z</dcterms:created>
  <dcterms:modified xsi:type="dcterms:W3CDTF">2022-02-24T21:43:53Z</dcterms:modified>
</cp:coreProperties>
</file>
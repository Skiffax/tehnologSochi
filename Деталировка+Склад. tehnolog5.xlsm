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E3F07D5B-3BAF-4250-821F-DBE70AF25CF8}" xr6:coauthVersionLast="45" xr6:coauthVersionMax="45" xr10:uidLastSave="{00000000-0000-0000-0000-000000000000}"/>
  <bookViews>
    <workbookView xWindow="-120" yWindow="-120" windowWidth="29040" windowHeight="15840" tabRatio="368" activeTab="2" xr2:uid="{00000000-000D-0000-FFFF-FFFF00000000}"/>
  </bookViews>
  <sheets>
    <sheet name="ИсходныйСкрытый" sheetId="662" r:id="rId1"/>
    <sheet name="Деталировка" sheetId="660" r:id="rId2"/>
    <sheet name="Склад" sheetId="663" r:id="rId3"/>
  </sheets>
  <functionGroups builtInGroupCount="19"/>
  <definedNames>
    <definedName name="_xlnm._FilterDatabase" localSheetId="1" hidden="1">Деталировка!#REF!</definedName>
    <definedName name="_xlnm.Print_Area" localSheetId="1">Деталировка!$A$2:$M$35</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660" l="1"/>
  <c r="E10" i="660"/>
  <c r="N10" i="660" s="1"/>
  <c r="M13" i="660"/>
  <c r="L13" i="660"/>
  <c r="K13" i="660"/>
  <c r="J13" i="660"/>
  <c r="I13" i="660"/>
  <c r="B13" i="660"/>
  <c r="M7" i="660"/>
  <c r="L7" i="660"/>
  <c r="K7" i="660"/>
  <c r="J7" i="660"/>
  <c r="A7" i="660" s="1"/>
  <c r="I7" i="660"/>
  <c r="B7" i="660"/>
  <c r="M5" i="660"/>
  <c r="L5" i="660"/>
  <c r="K5" i="660"/>
  <c r="J5" i="660"/>
  <c r="A5" i="660" s="1"/>
  <c r="I5" i="660"/>
  <c r="B5" i="660"/>
  <c r="M11" i="660"/>
  <c r="L11" i="660"/>
  <c r="K11" i="660"/>
  <c r="J11" i="660"/>
  <c r="I11" i="660"/>
  <c r="B11" i="660"/>
  <c r="M10" i="660"/>
  <c r="L10" i="660"/>
  <c r="K10" i="660"/>
  <c r="J10" i="660"/>
  <c r="I10" i="660"/>
  <c r="B10" i="660"/>
  <c r="M8" i="660"/>
  <c r="F8" i="660" s="1"/>
  <c r="L8" i="660"/>
  <c r="K8" i="660"/>
  <c r="J8" i="660"/>
  <c r="A8" i="660" s="1"/>
  <c r="I8" i="660"/>
  <c r="B8" i="660"/>
  <c r="M12" i="660"/>
  <c r="L12" i="660"/>
  <c r="K12" i="660"/>
  <c r="J12" i="660"/>
  <c r="I12" i="660"/>
  <c r="B12" i="660"/>
  <c r="M9" i="660"/>
  <c r="L9" i="660"/>
  <c r="K9" i="660"/>
  <c r="J9" i="660"/>
  <c r="A9" i="660" s="1"/>
  <c r="I9" i="660"/>
  <c r="B9" i="660"/>
  <c r="F9" i="660" l="1"/>
  <c r="F12" i="660"/>
  <c r="F10" i="660"/>
  <c r="F11" i="660"/>
  <c r="F5" i="660"/>
  <c r="F7" i="660"/>
  <c r="F13" i="660"/>
  <c r="E12" i="660"/>
  <c r="N12" i="660" s="1"/>
  <c r="E5" i="660"/>
  <c r="N5" i="660" s="1"/>
  <c r="E9" i="660"/>
  <c r="N9" i="660" s="1"/>
  <c r="E8" i="660"/>
  <c r="N8" i="660" s="1"/>
  <c r="E11" i="660"/>
  <c r="N11" i="660" s="1"/>
  <c r="E7" i="660"/>
  <c r="N7" i="660" s="1"/>
  <c r="E13" i="660"/>
  <c r="N13" i="660" s="1"/>
  <c r="A13" i="660"/>
  <c r="A12" i="660"/>
  <c r="A10" i="660"/>
  <c r="A11" i="660"/>
  <c r="J4" i="660"/>
  <c r="A4" i="660" s="1"/>
  <c r="M4" i="660"/>
  <c r="F4" i="660" s="1"/>
  <c r="L4" i="660"/>
  <c r="K4" i="660"/>
  <c r="B4" i="660"/>
  <c r="M6" i="660"/>
  <c r="E6" i="660" s="1"/>
  <c r="N6" i="660" s="1"/>
  <c r="L6" i="660"/>
  <c r="K6" i="660"/>
  <c r="J6" i="660"/>
  <c r="A6" i="660" s="1"/>
  <c r="I6" i="660"/>
  <c r="B6" i="660"/>
  <c r="I4" i="660" l="1"/>
  <c r="I14" i="660" s="1"/>
  <c r="E4" i="660"/>
  <c r="N4" i="660" s="1"/>
  <c r="F6" i="660"/>
  <c r="M5" i="662" l="1"/>
  <c r="F5" i="662" s="1"/>
  <c r="L5" i="662"/>
  <c r="K5" i="662"/>
  <c r="J5" i="662"/>
  <c r="A5" i="662" s="1"/>
  <c r="B5" i="662"/>
  <c r="I5" i="662" l="1"/>
  <c r="E5" i="662"/>
  <c r="N5" i="662" s="1"/>
  <c r="M15" i="662"/>
  <c r="H15" i="662" s="1"/>
  <c r="J15" i="662"/>
  <c r="A15" i="662" s="1"/>
  <c r="I15" i="662"/>
  <c r="I59" i="660"/>
  <c r="I43" i="660"/>
  <c r="B3" i="660"/>
  <c r="D15" i="662" l="1"/>
  <c r="N15" i="662" s="1"/>
  <c r="E15" i="662"/>
  <c r="A22" i="660"/>
  <c r="A47" i="660"/>
  <c r="A3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sharedStrings.xml><?xml version="1.0" encoding="utf-8"?>
<sst xmlns="http://schemas.openxmlformats.org/spreadsheetml/2006/main" count="266" uniqueCount="159">
  <si>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</si>
  <si>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</si>
  <si>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</si>
  <si>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</si>
  <si>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</si>
  <si>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</si>
  <si>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</si>
  <si>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</si>
  <si>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</si>
  <si>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</si>
  <si>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</si>
  <si>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</si>
  <si>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</si>
  <si>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</si>
  <si>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</si>
  <si>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</si>
  <si>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</si>
  <si>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</si>
  <si>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</si>
  <si>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</si>
  <si>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</si>
  <si>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</si>
  <si>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</si>
  <si>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</si>
  <si>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</si>
  <si>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</si>
  <si>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</si>
  <si>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</si>
  <si>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</si>
  <si>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</si>
  <si>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</si>
  <si>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</si>
  <si>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</si>
  <si>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</si>
  <si>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</si>
  <si>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</si>
  <si>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</si>
  <si>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</si>
  <si>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</si>
  <si>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</si>
  <si>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</si>
  <si>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</si>
  <si>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</si>
  <si>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</si>
  <si>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</si>
  <si>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</si>
  <si>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</si>
  <si>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</si>
  <si>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</si>
  <si>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</si>
  <si>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</si>
  <si>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</si>
  <si>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</si>
  <si>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</si>
  <si>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</si>
  <si>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</si>
  <si>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</si>
  <si>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</si>
  <si>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</si>
  <si>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</si>
  <si>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</si>
  <si>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</si>
  <si>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</si>
  <si>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</si>
  <si>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</si>
  <si>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</si>
  <si>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</si>
  <si>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</si>
  <si>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</si>
  <si>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</si>
  <si>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</si>
  <si>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</si>
  <si>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</si>
  <si>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</si>
  <si>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</si>
  <si>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</si>
  <si>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</si>
  <si>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</si>
  <si>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</si>
  <si>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</si>
  <si>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</si>
  <si>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</si>
  <si>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</si>
  <si>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</si>
  <si>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</si>
  <si>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</si>
  <si>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</si>
  <si>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</si>
  <si>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</si>
  <si>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</si>
  <si>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</si>
  <si>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</si>
  <si>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</si>
  <si>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</si>
  <si>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</si>
  <si>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Склейка ДСП 2750*1830*26 шлиф. б/к</t>
  </si>
  <si>
    <t>ЛМДФ 2800*2070*19 Белый 2 ст. б/к</t>
  </si>
  <si>
    <t>пластик EGGER W908 SM белый базовый 2800*1310*0,8 б/к</t>
  </si>
  <si>
    <t>пластик EGGER U763 ST9 cерый перламутровый 2800*1310*0,8 б/к</t>
  </si>
  <si>
    <t>пластик ПОДКЛАДОЧНЫЙ б/к</t>
  </si>
  <si>
    <t>ПВХ 2х19 EGGER W908 SM белый базовый б/к</t>
  </si>
  <si>
    <t>ПВХ 0,4х35 Белый б/к</t>
  </si>
  <si>
    <t>ПВХ 2х19 EGGER U763 ST9 cерый перламутровый б/к</t>
  </si>
  <si>
    <t>ПВХ 0,4х19 EGGER W908 SM белый базовый б/к</t>
  </si>
  <si>
    <t>86° Ограничитель угла открывания для петли 110°(BLUM)</t>
  </si>
  <si>
    <t>опора кухонная Н=100</t>
  </si>
  <si>
    <t>белый</t>
  </si>
  <si>
    <t>TANDEM, замок, левый T51.1700.04</t>
  </si>
  <si>
    <t>TANDEM, замок, правый T51.1700.04</t>
  </si>
  <si>
    <t>склейка ДСП 2750*1830*26 шлиф. б/к</t>
  </si>
  <si>
    <t>древесный</t>
  </si>
  <si>
    <t>евронавес Scarpi с заглушкой и шиной Правый</t>
  </si>
  <si>
    <t>евронавес Scarpi с заглушкой и шиной Левый</t>
  </si>
  <si>
    <t>петля BLUM накладная 110° с доводчиком</t>
  </si>
  <si>
    <t>эксцентриковая стяжка с заглушкой</t>
  </si>
  <si>
    <t>сушилка Variant 3 2-уровневая 800</t>
  </si>
  <si>
    <t>евровинт 7*50</t>
  </si>
  <si>
    <t>уголок крепежный 20х20х16мм с пласт. крышкой (в цвет корпуса)</t>
  </si>
  <si>
    <t>подпятник регулируемый М6 белый</t>
  </si>
  <si>
    <t>встраиваемая посудомоечная машина PM 4542</t>
  </si>
  <si>
    <t>петля BLUM вкладная под фальшпанель 83° с доводчиком</t>
  </si>
  <si>
    <t>газовый лифт Boyard N100 с фикс. положения, GL104GR/100/3</t>
  </si>
  <si>
    <t>ящик Blum TANDEMBOX antaro D (224мм) царги М - 1 релинг, глуб. 500мм, Белый шелк</t>
  </si>
  <si>
    <t>ящик Blum TANDEMBOX antaro M (98,5мм), глуб. 500мм, Белый шелк</t>
  </si>
  <si>
    <t>шариковые направляющие Master DB4504Zn/500</t>
  </si>
  <si>
    <t>фасадный эксцентрик</t>
  </si>
  <si>
    <t>заглушка тех. отверстия D5</t>
  </si>
  <si>
    <t>полкодержатель (боченок)</t>
  </si>
  <si>
    <t>стяжка для столешницы М6 Х 100</t>
  </si>
  <si>
    <t>направляющие Tandem с BLUMOTION, полного выдв., 30кг, 300мм, комплект</t>
  </si>
  <si>
    <t>ящик Blum TANDEMBOX antaro D (224мм) царги М - 1 релинг, глуб. 300мм, Белый шелк</t>
  </si>
  <si>
    <t>скрытая ручка 901056</t>
  </si>
  <si>
    <t>водоотбойник цоколя для плит 19мм</t>
  </si>
  <si>
    <t>02.02.2022 22:47:25</t>
  </si>
  <si>
    <t>02.02.2022 22:47:26</t>
  </si>
  <si>
    <t>02.02.2022 22:47:27</t>
  </si>
  <si>
    <t>02.02.2022 22:47:28</t>
  </si>
  <si>
    <t>02.02.2022 22:47:29</t>
  </si>
  <si>
    <t>02.02.2022 22:47:30</t>
  </si>
  <si>
    <t>02.02.2022 22:47:31</t>
  </si>
  <si>
    <t>02.02.2022 22:47:32</t>
  </si>
  <si>
    <t>02.02.2022 22:47:33</t>
  </si>
  <si>
    <t>02.02.2022 22:47:34</t>
  </si>
  <si>
    <t>02.02.2022 22:47:35</t>
  </si>
  <si>
    <t>02.02.2022 22:47:36</t>
  </si>
  <si>
    <t>02.02.2022 22:47:37</t>
  </si>
  <si>
    <t>02.02.2022 22:47:38</t>
  </si>
  <si>
    <t>02.02.2022 22:47:39</t>
  </si>
  <si>
    <t>02.02.2022 22:47:40</t>
  </si>
  <si>
    <t>02.02.2022 22:47:41</t>
  </si>
  <si>
    <t>02.02.2022 22:47:42</t>
  </si>
  <si>
    <t>02.02.2022 22:47:43</t>
  </si>
  <si>
    <t>02.02.2022 22:47:44</t>
  </si>
  <si>
    <t>камень1</t>
  </si>
  <si>
    <t>вишня Оксфорд</t>
  </si>
  <si>
    <t>graphite</t>
  </si>
  <si>
    <t>02.02.2022 23:57:02</t>
  </si>
  <si>
    <t>02.02.2022 23:57:03</t>
  </si>
  <si>
    <t>02.02.2022 23:57:04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</si>
</sst>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8">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s>
  <cellStyleXfs count="2">
    <xf numFmtId="0" fontId="0" fillId="0" borderId="0"/>
    <xf numFmtId="0" fontId="1" fillId="0" borderId="0"/>
  </cellStyleXfs>
  <cellXfs count="84">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3" xfId="0" applyFont="1" applyBorder="1"/>
    <xf numFmtId="0" fontId="0" fillId="0" borderId="0" xfId="0" applyAlignment="1">
      <alignment horizontal="center"/>
    </xf>
    <xf numFmtId="49" fontId="15" fillId="0" borderId="1" xfId="0" applyNumberFormat="1"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409574</xdr:colOff>
          <xdr:row>10</xdr:row>
          <xdr:rowOff>66675</xdr:rowOff>
        </xdr:from>
        <xdr:to>
          <xdr:col>14</xdr:col>
          <xdr:colOff>152399</xdr:colOff>
          <xdr:row>14</xdr:row>
          <xdr:rowOff>171450</xdr:rowOff>
        </xdr:to>
        <xdr:sp macro="" textlink="">
          <xdr:nvSpPr>
            <xdr:cNvPr id="46081" name="Button 1" descr="Проверка сумм" hidden="1">
              <a:extLst>
                <a:ext uri="{63B3BB69-23CF-44E3-9099-C40C66FF867C}">
                  <a14:compatExt spid="_x0000_s46081"/>
                </a:ext>
                <a:ext uri="{FF2B5EF4-FFF2-40B4-BE49-F238E27FC236}">
                  <a16:creationId xmlns:a16="http://schemas.microsoft.com/office/drawing/2014/main" id="{00000000-0008-0000-02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Вставить и рассчитать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19050</xdr:colOff>
          <xdr:row>11</xdr:row>
          <xdr:rowOff>171450</xdr:rowOff>
        </xdr:from>
        <xdr:to>
          <xdr:col>19</xdr:col>
          <xdr:colOff>209550</xdr:colOff>
          <xdr:row>18</xdr:row>
          <xdr:rowOff>123825</xdr:rowOff>
        </xdr:to>
        <xdr:sp macro="" textlink="">
          <xdr:nvSpPr>
            <xdr:cNvPr id="46082" name="Button 2" descr="Проверка сумм" hidden="1">
              <a:extLst>
                <a:ext uri="{63B3BB69-23CF-44E3-9099-C40C66FF867C}">
                  <a14:compatExt spid="_x0000_s46082"/>
                </a:ext>
                <a:ext uri="{FF2B5EF4-FFF2-40B4-BE49-F238E27FC236}">
                  <a16:creationId xmlns:a16="http://schemas.microsoft.com/office/drawing/2014/main" id="{00000000-0008-0000-0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Очистить всё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552450</xdr:colOff>
          <xdr:row>1</xdr:row>
          <xdr:rowOff>19050</xdr:rowOff>
        </xdr:from>
        <xdr:to>
          <xdr:col>20</xdr:col>
          <xdr:colOff>209550</xdr:colOff>
          <xdr:row>10</xdr:row>
          <xdr:rowOff>180975</xdr:rowOff>
        </xdr:to>
        <xdr:sp macro="" textlink="">
          <xdr:nvSpPr>
            <xdr:cNvPr id="46083" name="Button 3" descr="Проверка сумм" hidden="1">
              <a:extLst>
                <a:ext uri="{63B3BB69-23CF-44E3-9099-C40C66FF867C}">
                  <a14:compatExt spid="_x0000_s46083"/>
                </a:ext>
                <a:ext uri="{FF2B5EF4-FFF2-40B4-BE49-F238E27FC236}">
                  <a16:creationId xmlns:a16="http://schemas.microsoft.com/office/drawing/2014/main" id="{00000000-0008-0000-02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Импорт из bCAD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285749</xdr:colOff>
          <xdr:row>2</xdr:row>
          <xdr:rowOff>95250</xdr:rowOff>
        </xdr:from>
        <xdr:to>
          <xdr:col>14</xdr:col>
          <xdr:colOff>428624</xdr:colOff>
          <xdr:row>8</xdr:row>
          <xdr:rowOff>0</xdr:rowOff>
        </xdr:to>
        <xdr:sp macro="" textlink="">
          <xdr:nvSpPr>
            <xdr:cNvPr id="46084" name="Button 4" descr="Проверка сумм" hidden="1">
              <a:extLst>
                <a:ext uri="{63B3BB69-23CF-44E3-9099-C40C66FF867C}">
                  <a14:compatExt spid="_x0000_s46084"/>
                </a:ext>
                <a:ext uri="{FF2B5EF4-FFF2-40B4-BE49-F238E27FC236}">
                  <a16:creationId xmlns:a16="http://schemas.microsoft.com/office/drawing/2014/main" id="{00000000-0008-0000-0200-00000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Импорт из XML</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39"/>
  <sheetViews>
    <sheetView workbookViewId="0"/>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83" t="s">
        <v>94</v>
      </c>
      <c r="B56" s="83" t="s">
        <v>94</v>
      </c>
      <c r="C56" s="30" t="s">
        <v>133</v>
      </c>
    </row>
    <row r="57" spans="1:6" s="30" customFormat="1" x14ac:dyDescent="0.25">
      <c r="A57" s="83" t="s">
        <v>88</v>
      </c>
      <c r="B57" s="83" t="s">
        <v>88</v>
      </c>
      <c r="C57" s="30" t="s">
        <v>134</v>
      </c>
    </row>
    <row r="58" spans="1:6" s="30" customFormat="1" x14ac:dyDescent="0.25">
      <c r="A58" s="83" t="s">
        <v>89</v>
      </c>
      <c r="B58" s="83" t="s">
        <v>89</v>
      </c>
      <c r="C58" s="30" t="s">
        <v>134</v>
      </c>
    </row>
    <row r="59" spans="1:6" s="30" customFormat="1" x14ac:dyDescent="0.25">
      <c r="A59" s="83" t="s">
        <v>109</v>
      </c>
      <c r="B59" s="83" t="s">
        <v>109</v>
      </c>
      <c r="C59" s="30" t="s">
        <v>135</v>
      </c>
    </row>
    <row r="60" spans="1:6" s="30" customFormat="1" x14ac:dyDescent="0.25">
      <c r="A60" s="83" t="s">
        <v>93</v>
      </c>
      <c r="B60" s="83" t="s">
        <v>93</v>
      </c>
      <c r="C60" s="30" t="s">
        <v>136</v>
      </c>
    </row>
    <row r="61" spans="1:6" s="30" customFormat="1" x14ac:dyDescent="0.25">
      <c r="A61" s="83" t="s">
        <v>96</v>
      </c>
      <c r="B61" s="83" t="s">
        <v>96</v>
      </c>
      <c r="C61" s="30" t="s">
        <v>136</v>
      </c>
    </row>
    <row r="62" spans="1:6" s="30" customFormat="1" x14ac:dyDescent="0.25">
      <c r="A62" s="83" t="s">
        <v>97</v>
      </c>
      <c r="B62" s="83" t="s">
        <v>97</v>
      </c>
      <c r="C62" s="30" t="s">
        <v>136</v>
      </c>
    </row>
    <row r="63" spans="1:6" s="30" customFormat="1" x14ac:dyDescent="0.25">
      <c r="A63" s="83" t="s">
        <v>98</v>
      </c>
      <c r="B63" s="83" t="s">
        <v>98</v>
      </c>
      <c r="C63" s="30" t="s">
        <v>137</v>
      </c>
    </row>
    <row r="64" spans="1:6" s="30" customFormat="1" x14ac:dyDescent="0.25">
      <c r="A64" s="83" t="s">
        <v>99</v>
      </c>
      <c r="B64" s="83" t="s">
        <v>99</v>
      </c>
      <c r="C64" s="30" t="s">
        <v>137</v>
      </c>
    </row>
    <row r="65" spans="1:3" s="30" customFormat="1" x14ac:dyDescent="0.25">
      <c r="A65" s="83" t="s">
        <v>100</v>
      </c>
      <c r="B65" s="83" t="s">
        <v>100</v>
      </c>
      <c r="C65" s="30" t="s">
        <v>138</v>
      </c>
    </row>
    <row r="66" spans="1:3" s="30" customFormat="1" x14ac:dyDescent="0.25">
      <c r="A66" s="83" t="s">
        <v>101</v>
      </c>
      <c r="B66" s="83" t="s">
        <v>101</v>
      </c>
      <c r="C66" s="30" t="s">
        <v>138</v>
      </c>
    </row>
    <row r="67" spans="1:3" s="30" customFormat="1" x14ac:dyDescent="0.25">
      <c r="A67" s="83" t="s">
        <v>110</v>
      </c>
      <c r="B67" s="83" t="s">
        <v>110</v>
      </c>
      <c r="C67" s="30" t="s">
        <v>138</v>
      </c>
    </row>
    <row r="68" spans="1:3" s="30" customFormat="1" x14ac:dyDescent="0.25">
      <c r="A68" s="83" t="s">
        <v>102</v>
      </c>
      <c r="B68" s="83" t="s">
        <v>102</v>
      </c>
      <c r="C68" s="30" t="s">
        <v>139</v>
      </c>
    </row>
    <row r="69" spans="1:3" s="30" customFormat="1" x14ac:dyDescent="0.25">
      <c r="A69" s="83" t="s">
        <v>103</v>
      </c>
      <c r="B69" s="83" t="s">
        <v>103</v>
      </c>
      <c r="C69" s="30" t="s">
        <v>139</v>
      </c>
    </row>
    <row r="70" spans="1:3" s="30" customFormat="1" x14ac:dyDescent="0.25">
      <c r="A70" s="83" t="s">
        <v>111</v>
      </c>
      <c r="B70" s="83" t="s">
        <v>111</v>
      </c>
      <c r="C70" s="30" t="s">
        <v>139</v>
      </c>
    </row>
    <row r="71" spans="1:3" s="30" customFormat="1" x14ac:dyDescent="0.25">
      <c r="A71" s="83" t="s">
        <v>112</v>
      </c>
      <c r="B71" s="83" t="s">
        <v>112</v>
      </c>
      <c r="C71" s="30" t="s">
        <v>140</v>
      </c>
    </row>
    <row r="72" spans="1:3" s="30" customFormat="1" x14ac:dyDescent="0.25">
      <c r="A72" s="83" t="s">
        <v>113</v>
      </c>
      <c r="B72" s="83" t="s">
        <v>113</v>
      </c>
      <c r="C72" s="30" t="s">
        <v>140</v>
      </c>
    </row>
    <row r="73" spans="1:3" s="30" customFormat="1" x14ac:dyDescent="0.25">
      <c r="A73" s="83" t="s">
        <v>104</v>
      </c>
      <c r="B73" s="83" t="s">
        <v>104</v>
      </c>
      <c r="C73" s="30" t="s">
        <v>140</v>
      </c>
    </row>
    <row r="74" spans="1:3" s="30" customFormat="1" x14ac:dyDescent="0.25">
      <c r="A74" s="83" t="s">
        <v>114</v>
      </c>
      <c r="B74" s="83" t="s">
        <v>114</v>
      </c>
      <c r="C74" s="30" t="s">
        <v>141</v>
      </c>
    </row>
    <row r="75" spans="1:3" s="30" customFormat="1" x14ac:dyDescent="0.25">
      <c r="A75" s="83" t="s">
        <v>115</v>
      </c>
      <c r="B75" s="83" t="s">
        <v>115</v>
      </c>
      <c r="C75" s="30" t="s">
        <v>141</v>
      </c>
    </row>
    <row r="76" spans="1:3" s="30" customFormat="1" x14ac:dyDescent="0.25">
      <c r="A76" s="83" t="s">
        <v>116</v>
      </c>
      <c r="B76" s="83" t="s">
        <v>116</v>
      </c>
      <c r="C76" s="30" t="s">
        <v>142</v>
      </c>
    </row>
    <row r="77" spans="1:3" s="30" customFormat="1" x14ac:dyDescent="0.25">
      <c r="A77" s="83" t="s">
        <v>117</v>
      </c>
      <c r="B77" s="83" t="s">
        <v>117</v>
      </c>
      <c r="C77" s="30" t="s">
        <v>142</v>
      </c>
    </row>
    <row r="78" spans="1:3" s="30" customFormat="1" x14ac:dyDescent="0.25">
      <c r="A78" s="83" t="s">
        <v>118</v>
      </c>
      <c r="B78" s="83" t="s">
        <v>118</v>
      </c>
      <c r="C78" s="30" t="s">
        <v>143</v>
      </c>
    </row>
    <row r="79" spans="1:3" s="30" customFormat="1" x14ac:dyDescent="0.25">
      <c r="A79" s="83" t="s">
        <v>119</v>
      </c>
      <c r="B79" s="83" t="s">
        <v>119</v>
      </c>
      <c r="C79" s="30" t="s">
        <v>143</v>
      </c>
    </row>
    <row r="80" spans="1:3" s="30" customFormat="1" x14ac:dyDescent="0.25">
      <c r="A80" s="83" t="s">
        <v>120</v>
      </c>
      <c r="B80" s="83" t="s">
        <v>120</v>
      </c>
      <c r="C80" s="30" t="s">
        <v>144</v>
      </c>
    </row>
    <row r="81" spans="1:3" s="30" customFormat="1" x14ac:dyDescent="0.25">
      <c r="A81" s="83" t="s">
        <v>121</v>
      </c>
      <c r="B81" s="83" t="s">
        <v>121</v>
      </c>
      <c r="C81" s="30" t="s">
        <v>144</v>
      </c>
    </row>
    <row r="82" spans="1:3" s="30" customFormat="1" x14ac:dyDescent="0.25">
      <c r="A82" s="83" t="s">
        <v>122</v>
      </c>
      <c r="B82" s="83" t="s">
        <v>122</v>
      </c>
      <c r="C82" s="30" t="s">
        <v>145</v>
      </c>
    </row>
    <row r="83" spans="1:3" s="30" customFormat="1" x14ac:dyDescent="0.25">
      <c r="A83" s="83" t="s">
        <v>123</v>
      </c>
      <c r="B83" s="83" t="s">
        <v>123</v>
      </c>
      <c r="C83" s="30" t="s">
        <v>145</v>
      </c>
    </row>
    <row r="84" spans="1:3" s="30" customFormat="1" x14ac:dyDescent="0.25">
      <c r="A84" s="83" t="s">
        <v>124</v>
      </c>
      <c r="B84" s="83" t="s">
        <v>124</v>
      </c>
      <c r="C84" s="30" t="s">
        <v>146</v>
      </c>
    </row>
    <row r="85" spans="1:3" s="30" customFormat="1" x14ac:dyDescent="0.25">
      <c r="A85" s="83" t="s">
        <v>125</v>
      </c>
      <c r="B85" s="83" t="s">
        <v>125</v>
      </c>
      <c r="C85" s="30" t="s">
        <v>146</v>
      </c>
    </row>
    <row r="86" spans="1:3" s="30" customFormat="1" x14ac:dyDescent="0.25">
      <c r="A86" s="83" t="s">
        <v>105</v>
      </c>
      <c r="B86" s="83" t="s">
        <v>105</v>
      </c>
      <c r="C86" s="30" t="s">
        <v>147</v>
      </c>
    </row>
    <row r="87" spans="1:3" s="30" customFormat="1" x14ac:dyDescent="0.25">
      <c r="A87" s="83" t="s">
        <v>126</v>
      </c>
      <c r="B87" s="83" t="s">
        <v>126</v>
      </c>
      <c r="C87" s="30" t="s">
        <v>147</v>
      </c>
    </row>
    <row r="88" spans="1:3" s="30" customFormat="1" x14ac:dyDescent="0.25">
      <c r="A88" s="83" t="s">
        <v>127</v>
      </c>
      <c r="B88" s="83" t="s">
        <v>127</v>
      </c>
      <c r="C88" s="30" t="s">
        <v>148</v>
      </c>
    </row>
    <row r="89" spans="1:3" s="30" customFormat="1" x14ac:dyDescent="0.25">
      <c r="A89" s="83" t="s">
        <v>128</v>
      </c>
      <c r="B89" s="83" t="s">
        <v>128</v>
      </c>
      <c r="C89" s="30" t="s">
        <v>148</v>
      </c>
    </row>
    <row r="90" spans="1:3" s="30" customFormat="1" x14ac:dyDescent="0.25">
      <c r="A90" s="83" t="s">
        <v>107</v>
      </c>
      <c r="B90" s="83" t="s">
        <v>107</v>
      </c>
      <c r="C90" s="30" t="s">
        <v>149</v>
      </c>
    </row>
    <row r="91" spans="1:3" s="30" customFormat="1" x14ac:dyDescent="0.25">
      <c r="A91" s="83" t="s">
        <v>108</v>
      </c>
      <c r="B91" s="83" t="s">
        <v>108</v>
      </c>
      <c r="C91" s="30" t="s">
        <v>149</v>
      </c>
    </row>
    <row r="92" spans="1:3" s="30" customFormat="1" x14ac:dyDescent="0.25">
      <c r="A92" s="83" t="s">
        <v>129</v>
      </c>
      <c r="B92" s="83" t="s">
        <v>129</v>
      </c>
      <c r="C92" s="30" t="s">
        <v>150</v>
      </c>
    </row>
    <row r="93" spans="1:3" s="30" customFormat="1" x14ac:dyDescent="0.25">
      <c r="A93" s="83" t="s">
        <v>130</v>
      </c>
      <c r="B93" s="83" t="s">
        <v>130</v>
      </c>
      <c r="C93" s="30" t="s">
        <v>150</v>
      </c>
    </row>
    <row r="94" spans="1:3" s="30" customFormat="1" x14ac:dyDescent="0.25">
      <c r="A94" s="83" t="s">
        <v>106</v>
      </c>
      <c r="B94" s="83" t="s">
        <v>106</v>
      </c>
      <c r="C94" s="30" t="s">
        <v>151</v>
      </c>
    </row>
    <row r="95" spans="1:3" s="30" customFormat="1" x14ac:dyDescent="0.25">
      <c r="A95" s="83" t="s">
        <v>131</v>
      </c>
      <c r="B95" s="83" t="s">
        <v>131</v>
      </c>
      <c r="C95" s="30" t="s">
        <v>151</v>
      </c>
    </row>
    <row r="96" spans="1:3" s="30" customFormat="1" x14ac:dyDescent="0.25">
      <c r="A96" s="83" t="s">
        <v>132</v>
      </c>
      <c r="B96" s="83" t="s">
        <v>132</v>
      </c>
      <c r="C96" s="30" t="s">
        <v>152</v>
      </c>
    </row>
    <row r="97" spans="1:3" s="30" customFormat="1" x14ac:dyDescent="0.25">
      <c r="A97" s="83" t="s">
        <v>153</v>
      </c>
      <c r="B97" s="83" t="s">
        <v>153</v>
      </c>
      <c r="C97" s="30" t="s">
        <v>156</v>
      </c>
    </row>
    <row r="98" spans="1:3" s="30" customFormat="1" x14ac:dyDescent="0.25">
      <c r="A98" s="83" t="s">
        <v>154</v>
      </c>
      <c r="B98" s="83" t="s">
        <v>154</v>
      </c>
      <c r="C98" s="30" t="s">
        <v>157</v>
      </c>
    </row>
    <row r="99" spans="1:3" s="30" customFormat="1" x14ac:dyDescent="0.25">
      <c r="A99" s="83" t="s">
        <v>155</v>
      </c>
      <c r="B99" s="83" t="s">
        <v>155</v>
      </c>
      <c r="C99" s="30" t="s">
        <v>158</v>
      </c>
    </row>
    <row r="100" spans="1:3" s="30" customFormat="1" x14ac:dyDescent="0.25">
      <c r="A100" s="18"/>
      <c r="B100" s="18"/>
    </row>
    <row r="101" spans="1:3" s="30" customFormat="1" x14ac:dyDescent="0.25">
      <c r="A101" s="18"/>
      <c r="B101" s="18"/>
    </row>
    <row r="102" spans="1:3" s="30" customFormat="1" x14ac:dyDescent="0.25">
      <c r="A102" s="18"/>
      <c r="B102" s="18"/>
    </row>
    <row r="103" spans="1:3" x14ac:dyDescent="0.25">
      <c r="A103" s="18"/>
      <c r="B103" s="18"/>
    </row>
    <row r="104" spans="1:3" x14ac:dyDescent="0.25">
      <c r="A104" s="18"/>
      <c r="B104" s="18"/>
    </row>
    <row r="105" spans="1:3" x14ac:dyDescent="0.25">
      <c r="A105" s="18"/>
      <c r="B105" s="18"/>
    </row>
    <row r="106" spans="1:3" x14ac:dyDescent="0.25">
      <c r="A106" s="18"/>
      <c r="B106" s="18"/>
    </row>
    <row r="107" spans="1:3" x14ac:dyDescent="0.25">
      <c r="A107" s="18"/>
      <c r="B107" s="18"/>
    </row>
    <row r="108" spans="1:3" x14ac:dyDescent="0.25">
      <c r="A108" s="18"/>
      <c r="B108" s="18"/>
    </row>
    <row r="109" spans="1:3" x14ac:dyDescent="0.25">
      <c r="A109" s="18"/>
      <c r="B109" s="18"/>
    </row>
    <row r="110" spans="1:3" x14ac:dyDescent="0.25">
      <c r="A110" s="18"/>
      <c r="B110" s="18"/>
    </row>
    <row r="111" spans="1:3" x14ac:dyDescent="0.25">
      <c r="A111" s="18"/>
      <c r="B111" s="18"/>
    </row>
    <row r="112" spans="1:3" x14ac:dyDescent="0.25">
      <c r="A112" s="18"/>
      <c r="B112" s="18"/>
    </row>
    <row r="113" spans="1:2" x14ac:dyDescent="0.25">
      <c r="A113" s="18"/>
      <c r="B113" s="18"/>
    </row>
    <row r="114" spans="1:2" x14ac:dyDescent="0.25">
      <c r="A114" s="18"/>
      <c r="B114" s="18"/>
    </row>
    <row r="115" spans="1:2" x14ac:dyDescent="0.25">
      <c r="A115" s="18"/>
      <c r="B115" s="18"/>
    </row>
    <row r="116" spans="1:2" x14ac:dyDescent="0.25">
      <c r="A116" s="18"/>
      <c r="B116" s="18"/>
    </row>
    <row r="117" spans="1:2" x14ac:dyDescent="0.25">
      <c r="A117" s="18"/>
      <c r="B117" s="18"/>
    </row>
    <row r="118" spans="1:2" x14ac:dyDescent="0.25">
      <c r="A118" s="18"/>
      <c r="B118" s="18"/>
    </row>
    <row r="119" spans="1:2" x14ac:dyDescent="0.25">
      <c r="A119" s="18"/>
      <c r="B119" s="18"/>
    </row>
    <row r="120" spans="1:2" x14ac:dyDescent="0.25">
      <c r="A120" s="18"/>
      <c r="B120" s="18"/>
    </row>
    <row r="121" spans="1:2" x14ac:dyDescent="0.25">
      <c r="A121" s="18"/>
      <c r="B121" s="18"/>
    </row>
    <row r="122" spans="1:2" x14ac:dyDescent="0.25">
      <c r="A122" s="18"/>
      <c r="B122" s="18"/>
    </row>
    <row r="123" spans="1:2" x14ac:dyDescent="0.25">
      <c r="A123" s="18"/>
      <c r="B123" s="18"/>
    </row>
    <row r="124" spans="1:2" x14ac:dyDescent="0.25">
      <c r="A124" s="18"/>
      <c r="B124" s="18"/>
    </row>
    <row r="125" spans="1:2" x14ac:dyDescent="0.25">
      <c r="A125" s="18"/>
      <c r="B125" s="18"/>
    </row>
    <row r="126" spans="1:2" x14ac:dyDescent="0.25">
      <c r="A126" s="18"/>
      <c r="B126" s="18"/>
    </row>
    <row r="127" spans="1:2" x14ac:dyDescent="0.25">
      <c r="A127" s="18"/>
      <c r="B127" s="18"/>
    </row>
    <row r="128" spans="1:2" x14ac:dyDescent="0.25">
      <c r="A128" s="18"/>
      <c r="B128" s="18"/>
    </row>
    <row r="129" spans="1:2" x14ac:dyDescent="0.25">
      <c r="A129" s="18"/>
      <c r="B129" s="18"/>
    </row>
    <row r="130" spans="1:2" x14ac:dyDescent="0.25">
      <c r="A130" s="18"/>
      <c r="B130" s="18"/>
    </row>
    <row r="131" spans="1:2" x14ac:dyDescent="0.25">
      <c r="A131" s="18"/>
      <c r="B131" s="18"/>
    </row>
    <row r="132" spans="1:2" x14ac:dyDescent="0.25">
      <c r="A132" s="18"/>
      <c r="B132" s="18"/>
    </row>
    <row r="133" spans="1:2" x14ac:dyDescent="0.25">
      <c r="A133" s="18"/>
      <c r="B133" s="18"/>
    </row>
    <row r="134" spans="1:2" x14ac:dyDescent="0.25">
      <c r="A134" s="18"/>
      <c r="B134" s="18"/>
    </row>
    <row r="135" spans="1:2" x14ac:dyDescent="0.25">
      <c r="A135" s="18"/>
      <c r="B135" s="18"/>
    </row>
    <row r="136" spans="1:2" x14ac:dyDescent="0.25">
      <c r="A136" s="18"/>
      <c r="B136" s="18"/>
    </row>
    <row r="137" spans="1:2" x14ac:dyDescent="0.25">
      <c r="A137" s="18"/>
      <c r="B137" s="18"/>
    </row>
    <row r="138" spans="1:2" x14ac:dyDescent="0.25">
      <c r="A138" s="18"/>
      <c r="B138" s="18"/>
    </row>
    <row r="139" spans="1:2" x14ac:dyDescent="0.25">
      <c r="A139" s="18"/>
      <c r="B139" s="18"/>
    </row>
    <row r="140" spans="1:2" x14ac:dyDescent="0.25">
      <c r="A140" s="18"/>
      <c r="B140" s="18"/>
    </row>
    <row r="141" spans="1:2" x14ac:dyDescent="0.25">
      <c r="A141" s="18"/>
      <c r="B141" s="18"/>
    </row>
    <row r="142" spans="1:2" x14ac:dyDescent="0.25">
      <c r="A142" s="18"/>
      <c r="B142" s="18"/>
    </row>
    <row r="143" spans="1:2" x14ac:dyDescent="0.25">
      <c r="A143" s="18"/>
      <c r="B143" s="18"/>
    </row>
    <row r="144" spans="1:2" x14ac:dyDescent="0.25">
      <c r="A144" s="18"/>
      <c r="B144" s="18"/>
    </row>
    <row r="145" spans="1:2" x14ac:dyDescent="0.25">
      <c r="A145" s="18"/>
      <c r="B145" s="18"/>
    </row>
    <row r="146" spans="1:2" x14ac:dyDescent="0.25">
      <c r="A146" s="18"/>
      <c r="B146" s="18"/>
    </row>
    <row r="147" spans="1:2" x14ac:dyDescent="0.25">
      <c r="A147" s="18"/>
      <c r="B147" s="18"/>
    </row>
    <row r="148" spans="1:2" x14ac:dyDescent="0.25">
      <c r="A148" s="18"/>
      <c r="B148" s="18"/>
    </row>
    <row r="149" spans="1:2" x14ac:dyDescent="0.25">
      <c r="A149" s="18"/>
      <c r="B149" s="18"/>
    </row>
    <row r="150" spans="1:2" x14ac:dyDescent="0.25">
      <c r="A150" s="18"/>
      <c r="B150" s="18"/>
    </row>
    <row r="151" spans="1:2" x14ac:dyDescent="0.25">
      <c r="A151" s="18"/>
      <c r="B151" s="18"/>
    </row>
    <row r="152" spans="1:2"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239" spans="35:35" x14ac:dyDescent="0.25">
      <c r="AI23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37"/>
  <sheetViews>
    <sheetView view="pageBreakPreview" zoomScale="70" zoomScaleNormal="100" zoomScaleSheetLayoutView="70" workbookViewId="0"/>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c r="C1" s="38">
        <v>1</v>
      </c>
      <c r="J1" s="19"/>
      <c r="O1" s="20" t="s">
        <v>27</v>
      </c>
      <c r="P1" s="30">
        <v>10</v>
      </c>
      <c r="Q1" s="30">
        <v>20</v>
      </c>
      <c r="S1" s="30" t="s">
        <v>51</v>
      </c>
      <c r="X1" s="30" t="s">
        <v>54</v>
      </c>
      <c r="AA1"/>
      <c r="AB1"/>
      <c r="AC1"/>
      <c r="AD1"/>
      <c r="AE1"/>
      <c r="AG1" s="30" t="s">
        <v>36</v>
      </c>
    </row>
    <row r="2" spans="1:56" ht="18.75" x14ac:dyDescent="0.3">
      <c r="A2" s="1">
        <f>A1</f>
        <v>0</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K3" s="18"/>
      <c r="AL3" s="18"/>
    </row>
    <row r="4" spans="1:56" x14ac:dyDescent="0.25">
      <c r="A4" s="9" t="str">
        <f t="shared" ref="A4:A13" si="0">CONCATENATE(O4,".",LEFT(J4))</f>
        <v>.0</v>
      </c>
      <c r="B4" s="32" t="str">
        <f t="shared" ref="B4:B13" si="1">CONCATENATE(IF(OR(Y4="Не определена",Y4,ISBLANK(Y4)),"↕",),IF(Y4="Не обязательна","±",),Q4,".",P4)</f>
        <v>↕.</v>
      </c>
      <c r="C4" s="54"/>
      <c r="D4" s="54"/>
      <c r="E4" s="48">
        <f t="shared" ref="E4:E13" si="2">IF(M4="скрутка",T4+$Q$1,IF(M4="склейка",T4+$Q$1,IF(M4="запил торца",ROUND(T4+$P$1,0),IF(M4="запил торцов",ROUND(T4+$P$1*2,0),T4))))+IF(G4=$O$1,$P$1,)+IF(H4=$O$1,$P$1,)</f>
        <v>0</v>
      </c>
      <c r="F4" s="48">
        <f t="shared" ref="F4:F13" si="3">IF(M4="скрутка",U4+$Q$1,IF(M4="склейка",U4+$Q$1,IF(M4="запил торца",ROUND(U4+$P$1,0),IF(M4="запил торцов",ROUND(U4+$P$1*2,0),U4))))+IF(C4=$O$1,$P$1,)+IF(D4=$O$1,$P$1,)</f>
        <v>0</v>
      </c>
      <c r="G4" s="54"/>
      <c r="H4" s="54"/>
      <c r="I4" s="49">
        <f t="shared" ref="I4:I13" si="4">IF(OR(M4="скрутка",M4="склейка"),Z4*2,Z4)</f>
        <v>0</v>
      </c>
      <c r="J4" s="53">
        <f t="shared" ref="J4:J13" si="5">X4</f>
        <v>0</v>
      </c>
      <c r="K4" s="52" t="str">
        <f t="shared" ref="K4:K13" si="6">IF(ISBLANK(AB4),"",AB4)</f>
        <v/>
      </c>
      <c r="L4" s="52" t="str">
        <f t="shared" ref="L4:L13" si="7">IF(ISBLANK(AC4),"",AC4)</f>
        <v/>
      </c>
      <c r="M4" s="51" t="str">
        <f t="shared" ref="M4:M13" si="8">IF(AA4="","",AA4)</f>
        <v/>
      </c>
      <c r="N4" s="30" t="str">
        <f t="shared" ref="N4:N13" si="9">CONCATENATE(IF(E4&lt;&gt;T4,"НеРавны",),IF(AND(NOT(ISBLANK(R4)),R4&lt;&gt;T4),"Д",),IF(AND(NOT(ISBLANK(S4)),S4&lt;&gt;U4),"Ш",))</f>
        <v/>
      </c>
      <c r="O4" s="22"/>
      <c r="P4" s="18"/>
      <c r="Q4" s="18"/>
      <c r="R4" s="18"/>
      <c r="S4" s="18"/>
      <c r="T4" s="3"/>
      <c r="U4" s="3"/>
      <c r="V4" s="23"/>
      <c r="W4" s="23"/>
      <c r="X4" s="26"/>
      <c r="Y4" s="18"/>
      <c r="Z4" s="18"/>
      <c r="AA4" s="18"/>
      <c r="AB4" s="18"/>
      <c r="AC4" s="18"/>
      <c r="BB4" s="30" t="s">
        <v>88</v>
      </c>
      <c r="BC4" s="30">
        <v>1</v>
      </c>
      <c r="BD4" s="30">
        <v>299</v>
      </c>
    </row>
    <row r="5" spans="1:56"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26"/>
      <c r="Y5" s="18"/>
      <c r="Z5" s="18"/>
      <c r="AA5" s="18"/>
      <c r="AB5" s="18"/>
      <c r="AC5" s="18"/>
      <c r="BB5" s="30" t="s">
        <v>94</v>
      </c>
      <c r="BC5" s="30">
        <v>1</v>
      </c>
      <c r="BD5" s="30">
        <v>310</v>
      </c>
    </row>
    <row r="6" spans="1:56"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18"/>
      <c r="Y6" s="18"/>
      <c r="Z6" s="18"/>
      <c r="AA6" s="18"/>
      <c r="AB6" s="18"/>
      <c r="AC6" s="18"/>
      <c r="BB6" s="30" t="s">
        <v>89</v>
      </c>
      <c r="BC6" s="30">
        <v>1</v>
      </c>
      <c r="BD6" s="30">
        <v>275</v>
      </c>
    </row>
    <row r="7" spans="1:56" x14ac:dyDescent="0.25">
      <c r="A7" s="9" t="str">
        <f t="shared" si="0"/>
        <v>.0</v>
      </c>
      <c r="B7" s="32" t="str">
        <f t="shared" si="1"/>
        <v>↕.</v>
      </c>
      <c r="C7" s="54"/>
      <c r="D7" s="54"/>
      <c r="E7" s="48">
        <f t="shared" si="2"/>
        <v>0</v>
      </c>
      <c r="F7" s="48">
        <f t="shared" si="3"/>
        <v>0</v>
      </c>
      <c r="G7" s="54"/>
      <c r="H7" s="54"/>
      <c r="I7" s="49">
        <f t="shared" si="4"/>
        <v>0</v>
      </c>
      <c r="J7" s="53">
        <f t="shared" si="5"/>
        <v>0</v>
      </c>
      <c r="K7" s="52" t="str">
        <f t="shared" si="6"/>
        <v/>
      </c>
      <c r="L7" s="52" t="str">
        <f t="shared" si="7"/>
        <v/>
      </c>
      <c r="M7" s="51" t="str">
        <f t="shared" si="8"/>
        <v/>
      </c>
      <c r="N7" s="30" t="str">
        <f t="shared" si="9"/>
        <v/>
      </c>
      <c r="O7" s="22"/>
      <c r="P7" s="18"/>
      <c r="Q7" s="18"/>
      <c r="R7" s="18"/>
      <c r="S7" s="18"/>
      <c r="T7" s="3"/>
      <c r="U7" s="3"/>
      <c r="V7" s="23"/>
      <c r="W7" s="23"/>
      <c r="X7" s="26"/>
      <c r="Y7" s="18"/>
      <c r="Z7" s="18"/>
      <c r="AA7" s="18"/>
      <c r="AB7" s="18"/>
      <c r="AC7" s="18"/>
      <c r="BB7" s="30" t="s">
        <v>96</v>
      </c>
      <c r="BC7" s="30">
        <v>1</v>
      </c>
      <c r="BD7" s="30">
        <v>229</v>
      </c>
    </row>
    <row r="8" spans="1:56" x14ac:dyDescent="0.25">
      <c r="A8" s="9" t="str">
        <f t="shared" si="0"/>
        <v>.0</v>
      </c>
      <c r="B8" s="32" t="str">
        <f t="shared" si="1"/>
        <v>↕.</v>
      </c>
      <c r="C8" s="54"/>
      <c r="D8" s="54"/>
      <c r="E8" s="48">
        <f t="shared" si="2"/>
        <v>0</v>
      </c>
      <c r="F8" s="48">
        <f t="shared" si="3"/>
        <v>0</v>
      </c>
      <c r="G8" s="54"/>
      <c r="H8" s="54"/>
      <c r="I8" s="49">
        <f t="shared" si="4"/>
        <v>0</v>
      </c>
      <c r="J8" s="53">
        <f t="shared" si="5"/>
        <v>0</v>
      </c>
      <c r="K8" s="52" t="str">
        <f t="shared" si="6"/>
        <v/>
      </c>
      <c r="L8" s="52" t="str">
        <f t="shared" si="7"/>
        <v/>
      </c>
      <c r="M8" s="51" t="str">
        <f t="shared" si="8"/>
        <v/>
      </c>
      <c r="N8" s="30" t="str">
        <f t="shared" si="9"/>
        <v/>
      </c>
      <c r="O8" s="22"/>
      <c r="P8" s="18"/>
      <c r="Q8" s="18"/>
      <c r="R8" s="18"/>
      <c r="S8" s="18"/>
      <c r="T8" s="3"/>
      <c r="U8" s="3"/>
      <c r="V8" s="23"/>
      <c r="W8" s="23"/>
      <c r="X8" s="18"/>
      <c r="Y8" s="18"/>
      <c r="Z8" s="18"/>
      <c r="AA8" s="18"/>
      <c r="AB8" s="18"/>
      <c r="AC8" s="18"/>
      <c r="BB8" s="30" t="s">
        <v>95</v>
      </c>
      <c r="BC8" s="30">
        <v>1</v>
      </c>
      <c r="BD8" s="30">
        <v>307</v>
      </c>
    </row>
    <row r="9" spans="1:56" x14ac:dyDescent="0.25">
      <c r="A9" s="9" t="str">
        <f t="shared" si="0"/>
        <v>.0</v>
      </c>
      <c r="B9" s="32" t="str">
        <f t="shared" si="1"/>
        <v>↕.</v>
      </c>
      <c r="C9" s="54"/>
      <c r="D9" s="54"/>
      <c r="E9" s="48">
        <f t="shared" si="2"/>
        <v>0</v>
      </c>
      <c r="F9" s="48">
        <f t="shared" si="3"/>
        <v>0</v>
      </c>
      <c r="G9" s="54"/>
      <c r="H9" s="54"/>
      <c r="I9" s="49">
        <f t="shared" si="4"/>
        <v>0</v>
      </c>
      <c r="J9" s="53">
        <f t="shared" si="5"/>
        <v>0</v>
      </c>
      <c r="K9" s="52" t="str">
        <f t="shared" si="6"/>
        <v/>
      </c>
      <c r="L9" s="52" t="str">
        <f t="shared" si="7"/>
        <v/>
      </c>
      <c r="M9" s="51" t="str">
        <f t="shared" si="8"/>
        <v/>
      </c>
      <c r="N9" s="30" t="str">
        <f t="shared" si="9"/>
        <v/>
      </c>
      <c r="O9" s="22"/>
      <c r="P9" s="18"/>
      <c r="Q9" s="18"/>
      <c r="R9" s="18"/>
      <c r="S9" s="18"/>
      <c r="T9" s="3"/>
      <c r="U9" s="3"/>
      <c r="V9" s="23"/>
      <c r="W9" s="23"/>
      <c r="X9" s="26"/>
      <c r="Y9" s="18"/>
      <c r="Z9" s="18"/>
      <c r="AA9" s="18"/>
      <c r="AB9" s="18"/>
      <c r="AC9" s="18"/>
      <c r="BB9" s="30" t="s">
        <v>93</v>
      </c>
      <c r="BC9" s="30">
        <v>1</v>
      </c>
      <c r="BD9" s="30">
        <v>303</v>
      </c>
    </row>
    <row r="10" spans="1:56" x14ac:dyDescent="0.25">
      <c r="A10" s="9" t="str">
        <f t="shared" si="0"/>
        <v>.0</v>
      </c>
      <c r="B10" s="32" t="str">
        <f t="shared" si="1"/>
        <v>↕.</v>
      </c>
      <c r="C10" s="54"/>
      <c r="D10" s="54"/>
      <c r="E10" s="48">
        <f t="shared" si="2"/>
        <v>0</v>
      </c>
      <c r="F10" s="48">
        <f t="shared" si="3"/>
        <v>0</v>
      </c>
      <c r="G10" s="54"/>
      <c r="H10" s="54"/>
      <c r="I10" s="49">
        <f t="shared" si="4"/>
        <v>0</v>
      </c>
      <c r="J10" s="53">
        <f t="shared" si="5"/>
        <v>0</v>
      </c>
      <c r="K10" s="52" t="str">
        <f t="shared" si="6"/>
        <v/>
      </c>
      <c r="L10" s="52" t="str">
        <f t="shared" si="7"/>
        <v/>
      </c>
      <c r="M10" s="51" t="str">
        <f t="shared" si="8"/>
        <v/>
      </c>
      <c r="N10" s="30" t="str">
        <f t="shared" si="9"/>
        <v/>
      </c>
      <c r="O10" s="22"/>
      <c r="P10" s="18"/>
      <c r="Q10" s="18"/>
      <c r="R10" s="18"/>
      <c r="S10" s="18"/>
      <c r="T10" s="3"/>
      <c r="U10" s="3"/>
      <c r="V10" s="23"/>
      <c r="W10" s="23"/>
      <c r="X10" s="26"/>
      <c r="Y10" s="18"/>
      <c r="Z10" s="18"/>
      <c r="AA10" s="18"/>
      <c r="AB10" s="18"/>
      <c r="AC10" s="18"/>
    </row>
    <row r="11" spans="1:56" x14ac:dyDescent="0.25">
      <c r="A11" s="9" t="str">
        <f t="shared" si="0"/>
        <v>.0</v>
      </c>
      <c r="B11" s="32" t="str">
        <f t="shared" si="1"/>
        <v>↕.</v>
      </c>
      <c r="C11" s="54"/>
      <c r="D11" s="54"/>
      <c r="E11" s="48">
        <f t="shared" si="2"/>
        <v>0</v>
      </c>
      <c r="F11" s="48">
        <f t="shared" si="3"/>
        <v>0</v>
      </c>
      <c r="G11" s="54"/>
      <c r="H11" s="54"/>
      <c r="I11" s="49">
        <f t="shared" si="4"/>
        <v>0</v>
      </c>
      <c r="J11" s="53">
        <f t="shared" si="5"/>
        <v>0</v>
      </c>
      <c r="K11" s="52" t="str">
        <f t="shared" si="6"/>
        <v/>
      </c>
      <c r="L11" s="52" t="str">
        <f t="shared" si="7"/>
        <v/>
      </c>
      <c r="M11" s="51" t="str">
        <f t="shared" si="8"/>
        <v/>
      </c>
      <c r="N11" s="30" t="str">
        <f t="shared" si="9"/>
        <v/>
      </c>
      <c r="O11" s="22"/>
      <c r="P11" s="18"/>
      <c r="Q11" s="18"/>
      <c r="R11" s="18"/>
      <c r="S11" s="18"/>
      <c r="T11" s="3"/>
      <c r="U11" s="3"/>
      <c r="V11" s="23"/>
      <c r="W11" s="23"/>
      <c r="X11" s="26"/>
      <c r="Y11" s="18"/>
      <c r="Z11" s="18"/>
      <c r="AA11" s="18"/>
      <c r="AB11" s="18"/>
      <c r="AC11" s="18"/>
    </row>
    <row r="12" spans="1:56" x14ac:dyDescent="0.25">
      <c r="A12" s="9" t="str">
        <f t="shared" si="0"/>
        <v>.0</v>
      </c>
      <c r="B12" s="32" t="str">
        <f t="shared" si="1"/>
        <v>↕.</v>
      </c>
      <c r="C12" s="54"/>
      <c r="D12" s="54"/>
      <c r="E12" s="48">
        <f t="shared" si="2"/>
        <v>0</v>
      </c>
      <c r="F12" s="48">
        <f t="shared" si="3"/>
        <v>0</v>
      </c>
      <c r="G12" s="54"/>
      <c r="H12" s="54"/>
      <c r="I12" s="49">
        <f t="shared" si="4"/>
        <v>0</v>
      </c>
      <c r="J12" s="53">
        <f t="shared" si="5"/>
        <v>0</v>
      </c>
      <c r="K12" s="52" t="str">
        <f t="shared" si="6"/>
        <v/>
      </c>
      <c r="L12" s="52" t="str">
        <f t="shared" si="7"/>
        <v/>
      </c>
      <c r="M12" s="51" t="str">
        <f t="shared" si="8"/>
        <v/>
      </c>
      <c r="N12" s="30" t="str">
        <f t="shared" si="9"/>
        <v/>
      </c>
      <c r="O12" s="22"/>
      <c r="P12" s="18"/>
      <c r="Q12" s="18"/>
      <c r="R12" s="18"/>
      <c r="S12" s="18"/>
      <c r="T12" s="3"/>
      <c r="U12" s="3"/>
      <c r="V12" s="23"/>
      <c r="W12" s="23"/>
      <c r="X12" s="26"/>
      <c r="Y12" s="18"/>
      <c r="Z12" s="18"/>
      <c r="AA12" s="18"/>
      <c r="AB12" s="18"/>
      <c r="AC12" s="18"/>
    </row>
    <row r="13" spans="1:56" x14ac:dyDescent="0.25">
      <c r="A13" s="9" t="str">
        <f t="shared" si="0"/>
        <v>.0</v>
      </c>
      <c r="B13" s="32" t="str">
        <f t="shared" si="1"/>
        <v>↕.</v>
      </c>
      <c r="C13" s="54"/>
      <c r="D13" s="54"/>
      <c r="E13" s="48">
        <f t="shared" si="2"/>
        <v>0</v>
      </c>
      <c r="F13" s="48">
        <f t="shared" si="3"/>
        <v>0</v>
      </c>
      <c r="G13" s="54"/>
      <c r="H13" s="54"/>
      <c r="I13" s="49">
        <f t="shared" si="4"/>
        <v>0</v>
      </c>
      <c r="J13" s="53">
        <f t="shared" si="5"/>
        <v>0</v>
      </c>
      <c r="K13" s="52" t="str">
        <f t="shared" si="6"/>
        <v/>
      </c>
      <c r="L13" s="52" t="str">
        <f t="shared" si="7"/>
        <v/>
      </c>
      <c r="M13" s="51" t="str">
        <f t="shared" si="8"/>
        <v/>
      </c>
      <c r="N13" s="30" t="str">
        <f t="shared" si="9"/>
        <v/>
      </c>
      <c r="O13" s="22"/>
      <c r="P13" s="18"/>
      <c r="Q13" s="18"/>
      <c r="R13" s="18"/>
      <c r="S13" s="18"/>
      <c r="T13" s="3"/>
      <c r="U13" s="3"/>
      <c r="V13" s="23"/>
      <c r="W13" s="23"/>
      <c r="X13" s="26"/>
      <c r="Y13" s="18"/>
      <c r="Z13" s="18"/>
      <c r="AA13" s="18"/>
      <c r="AB13" s="18"/>
      <c r="AC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3" x14ac:dyDescent="0.25">
      <c r="A17" s="30" t="s">
        <v>32</v>
      </c>
      <c r="B17" s="13"/>
      <c r="C17" s="42"/>
      <c r="D17" s="42"/>
      <c r="E17" s="33"/>
      <c r="F17" s="33"/>
      <c r="G17" s="42"/>
      <c r="H17" s="42"/>
      <c r="I17" s="25"/>
      <c r="J17" s="37"/>
      <c r="K17" s="13"/>
      <c r="L17" s="13"/>
      <c r="M17" s="36"/>
      <c r="O17" s="24"/>
      <c r="V17" s="17"/>
      <c r="W17" s="17"/>
    </row>
    <row r="18" spans="1:23" x14ac:dyDescent="0.25">
      <c r="A18" s="13" t="s">
        <v>33</v>
      </c>
    </row>
    <row r="19" spans="1:23" x14ac:dyDescent="0.25">
      <c r="A19" s="13" t="s">
        <v>16</v>
      </c>
    </row>
    <row r="20" spans="1:23" x14ac:dyDescent="0.25">
      <c r="A20" s="13" t="s">
        <v>28</v>
      </c>
    </row>
    <row r="21" spans="1:23" x14ac:dyDescent="0.25">
      <c r="A21" s="13"/>
    </row>
    <row r="22" spans="1:23" ht="18.75" x14ac:dyDescent="0.3">
      <c r="A22" s="1" t="str">
        <f>CONCATENATE(A2, ". Соответствие кромки и ДСП")</f>
        <v>0. Соответствие кромки и ДСП</v>
      </c>
      <c r="N22" s="30" t="s">
        <v>35</v>
      </c>
    </row>
    <row r="23" spans="1:23" x14ac:dyDescent="0.25">
      <c r="A23" s="3" t="s">
        <v>6</v>
      </c>
      <c r="B23" s="4" t="s">
        <v>14</v>
      </c>
      <c r="C23" s="40"/>
      <c r="D23" s="60"/>
      <c r="E23" s="61"/>
      <c r="F23" s="5"/>
      <c r="G23" s="44"/>
      <c r="H23" s="57" t="s">
        <v>31</v>
      </c>
      <c r="I23" s="58" t="s">
        <v>30</v>
      </c>
      <c r="J23" s="3" t="s">
        <v>13</v>
      </c>
      <c r="K23" s="3" t="s">
        <v>52</v>
      </c>
      <c r="L23" s="55"/>
      <c r="M23" s="56"/>
    </row>
    <row r="24" spans="1:23" x14ac:dyDescent="0.25">
      <c r="A24" s="3"/>
      <c r="B24" s="4"/>
      <c r="C24" s="46"/>
      <c r="D24" s="62"/>
      <c r="E24" s="63"/>
      <c r="F24" s="5"/>
      <c r="G24" s="43"/>
      <c r="H24" s="59"/>
      <c r="I24" s="18"/>
      <c r="J24" s="3"/>
      <c r="K24" s="3"/>
      <c r="L24" s="55"/>
      <c r="M24" s="56"/>
    </row>
    <row r="25" spans="1:23" x14ac:dyDescent="0.25">
      <c r="A25" s="3"/>
      <c r="B25" s="4"/>
      <c r="C25" s="46"/>
      <c r="D25" s="62"/>
      <c r="E25" s="63"/>
      <c r="F25" s="5"/>
      <c r="G25" s="43"/>
      <c r="H25" s="59"/>
      <c r="I25" s="18"/>
      <c r="J25" s="80"/>
      <c r="K25" s="3"/>
      <c r="L25" s="55"/>
      <c r="M25" s="56"/>
    </row>
    <row r="26" spans="1:23" x14ac:dyDescent="0.25">
      <c r="A26" s="3"/>
      <c r="B26" s="4"/>
      <c r="C26" s="46"/>
      <c r="D26" s="62"/>
      <c r="E26" s="63"/>
      <c r="F26" s="5"/>
      <c r="G26" s="43"/>
      <c r="H26" s="59"/>
      <c r="I26" s="18"/>
      <c r="J26" s="3"/>
      <c r="K26" s="3"/>
      <c r="L26" s="55"/>
      <c r="M26" s="56"/>
    </row>
    <row r="27" spans="1:23" x14ac:dyDescent="0.25">
      <c r="A27" s="3"/>
      <c r="B27" s="4"/>
      <c r="C27" s="46"/>
      <c r="D27" s="62"/>
      <c r="E27" s="63"/>
      <c r="F27" s="5"/>
      <c r="G27" s="43"/>
      <c r="H27" s="59"/>
      <c r="I27" s="18"/>
      <c r="J27" s="80"/>
      <c r="K27" s="3"/>
      <c r="L27" s="55"/>
      <c r="M27" s="56"/>
    </row>
    <row r="28" spans="1:23" x14ac:dyDescent="0.25">
      <c r="A28" s="3"/>
      <c r="B28" s="4"/>
      <c r="C28" s="46"/>
      <c r="D28" s="62"/>
      <c r="E28" s="63"/>
      <c r="F28" s="5"/>
      <c r="G28" s="43"/>
      <c r="H28" s="59"/>
      <c r="I28" s="18"/>
      <c r="J28" s="80"/>
      <c r="K28" s="3"/>
      <c r="L28" s="55"/>
      <c r="M28" s="56"/>
    </row>
    <row r="29" spans="1:23" x14ac:dyDescent="0.25">
      <c r="A29" s="3"/>
      <c r="B29" s="4"/>
      <c r="C29" s="46"/>
      <c r="D29" s="62"/>
      <c r="E29" s="63"/>
      <c r="F29" s="5"/>
      <c r="G29" s="43"/>
      <c r="H29" s="59"/>
      <c r="I29" s="18"/>
      <c r="J29" s="3"/>
      <c r="K29" s="3"/>
      <c r="L29" s="55"/>
      <c r="M29" s="56"/>
    </row>
    <row r="30" spans="1:23" x14ac:dyDescent="0.25">
      <c r="A30" s="3"/>
      <c r="B30" s="81"/>
      <c r="C30" s="46"/>
      <c r="D30" s="62"/>
      <c r="E30" s="63"/>
      <c r="F30" s="5"/>
      <c r="G30" s="43"/>
      <c r="H30" s="59"/>
      <c r="I30" s="18"/>
      <c r="J30" s="80"/>
      <c r="K30" s="3"/>
      <c r="L30" s="55"/>
      <c r="M30" s="56"/>
    </row>
    <row r="31" spans="1:23" x14ac:dyDescent="0.25">
      <c r="A31" s="3"/>
      <c r="B31" s="81"/>
      <c r="C31" s="46"/>
      <c r="D31" s="62"/>
      <c r="E31" s="63"/>
      <c r="F31" s="5"/>
      <c r="G31" s="43"/>
      <c r="H31" s="59"/>
      <c r="I31" s="18"/>
      <c r="J31" s="80"/>
      <c r="K31" s="3"/>
      <c r="L31" s="55"/>
      <c r="M31" s="56"/>
    </row>
    <row r="32" spans="1:23" x14ac:dyDescent="0.25">
      <c r="A32" s="3"/>
      <c r="B32" s="81"/>
      <c r="C32" s="46"/>
      <c r="D32" s="62"/>
      <c r="E32" s="63"/>
      <c r="F32" s="5"/>
      <c r="G32" s="43"/>
      <c r="H32" s="59"/>
      <c r="I32" s="18"/>
      <c r="J32" s="80"/>
      <c r="K32" s="3"/>
      <c r="L32" s="55"/>
      <c r="M32" s="56"/>
    </row>
    <row r="33" spans="1:29" x14ac:dyDescent="0.25">
      <c r="A33" s="3"/>
      <c r="B33" s="81"/>
      <c r="C33" s="46"/>
      <c r="D33" s="62"/>
      <c r="E33" s="63"/>
      <c r="F33" s="5"/>
      <c r="G33" s="43"/>
      <c r="H33" s="59"/>
      <c r="I33" s="18"/>
      <c r="J33" s="3"/>
      <c r="K33" s="3"/>
      <c r="L33" s="55"/>
      <c r="M33" s="56"/>
    </row>
    <row r="34" spans="1:29" x14ac:dyDescent="0.25">
      <c r="A34" s="3"/>
      <c r="B34" s="81"/>
      <c r="C34" s="46"/>
      <c r="D34" s="62"/>
      <c r="E34" s="63"/>
      <c r="F34" s="5"/>
      <c r="G34" s="43"/>
      <c r="H34" s="59"/>
      <c r="I34" s="18"/>
      <c r="J34" s="80"/>
      <c r="K34" s="3"/>
      <c r="L34" s="55"/>
      <c r="M34" s="56"/>
    </row>
    <row r="35" spans="1:29" x14ac:dyDescent="0.25">
      <c r="A35" s="3"/>
      <c r="B35" s="4"/>
      <c r="C35" s="46"/>
      <c r="D35" s="62"/>
      <c r="E35" s="63"/>
      <c r="F35" s="5"/>
      <c r="G35" s="43"/>
      <c r="H35" s="59"/>
      <c r="I35" s="18"/>
      <c r="J35" s="18"/>
      <c r="K35" s="3"/>
      <c r="L35" s="55"/>
      <c r="M35" s="56"/>
    </row>
    <row r="36" spans="1:29" ht="18.75" x14ac:dyDescent="0.3">
      <c r="A36" s="1" t="str">
        <f>CONCATENATE(A2, ". Стекло")</f>
        <v>0. Стекло</v>
      </c>
    </row>
    <row r="37" spans="1:29" x14ac:dyDescent="0.25">
      <c r="A37" s="3" t="s">
        <v>6</v>
      </c>
      <c r="B37" s="4" t="s">
        <v>5</v>
      </c>
      <c r="C37" s="39" t="s">
        <v>9</v>
      </c>
      <c r="D37" s="40" t="s">
        <v>11</v>
      </c>
      <c r="E37" s="6" t="s">
        <v>1</v>
      </c>
      <c r="F37" s="7" t="s">
        <v>0</v>
      </c>
      <c r="G37" s="40" t="s">
        <v>10</v>
      </c>
      <c r="H37" s="44" t="s">
        <v>12</v>
      </c>
      <c r="I37" s="8" t="s">
        <v>2</v>
      </c>
      <c r="J37" s="3" t="s">
        <v>3</v>
      </c>
      <c r="K37" s="4"/>
      <c r="L37" s="4"/>
      <c r="M37" s="3" t="s">
        <v>4</v>
      </c>
    </row>
    <row r="38" spans="1:29" x14ac:dyDescent="0.25">
      <c r="A38" s="9"/>
      <c r="B38" s="32"/>
      <c r="C38" s="41"/>
      <c r="D38" s="41"/>
      <c r="E38" s="14"/>
      <c r="F38" s="14"/>
      <c r="G38" s="41"/>
      <c r="H38" s="41"/>
      <c r="I38" s="10"/>
      <c r="J38" s="11"/>
      <c r="K38" s="32"/>
      <c r="L38" s="32"/>
      <c r="M38" s="28"/>
      <c r="O38" s="22"/>
      <c r="P38" s="18"/>
      <c r="Q38" s="18"/>
      <c r="R38" s="18"/>
      <c r="S38" s="18"/>
      <c r="T38" s="3"/>
      <c r="U38" s="3"/>
      <c r="V38" s="23"/>
      <c r="W38" s="23"/>
      <c r="X38" s="18"/>
      <c r="Y38" s="18"/>
      <c r="Z38" s="18"/>
      <c r="AA38" s="18"/>
      <c r="AB38" s="18"/>
      <c r="AC38" s="18"/>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32"/>
      <c r="L41" s="32"/>
      <c r="M41" s="28"/>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32"/>
      <c r="L42" s="32"/>
      <c r="M42" s="28"/>
      <c r="O42" s="22"/>
      <c r="P42" s="18"/>
      <c r="Q42" s="18"/>
      <c r="R42" s="18"/>
      <c r="S42" s="18"/>
      <c r="T42" s="3"/>
      <c r="U42" s="3"/>
      <c r="V42" s="23"/>
      <c r="W42" s="23"/>
      <c r="X42" s="18"/>
      <c r="Y42" s="18"/>
      <c r="Z42" s="18"/>
      <c r="AA42" s="18"/>
      <c r="AB42" s="18"/>
      <c r="AC42" s="18"/>
    </row>
    <row r="43" spans="1:29" x14ac:dyDescent="0.25">
      <c r="A43" s="13"/>
      <c r="B43" s="9"/>
      <c r="C43" s="41"/>
      <c r="D43" s="41"/>
      <c r="E43" s="14"/>
      <c r="F43" s="14"/>
      <c r="G43" s="41"/>
      <c r="H43" s="45" t="s">
        <v>15</v>
      </c>
      <c r="I43" s="25">
        <f>SUM(I38:I42)</f>
        <v>0</v>
      </c>
      <c r="J43" s="11"/>
      <c r="K43" s="9"/>
      <c r="L43" s="9"/>
      <c r="M43" s="12"/>
      <c r="O43" s="24"/>
      <c r="V43" s="17"/>
      <c r="W43" s="17"/>
    </row>
    <row r="44" spans="1:29" x14ac:dyDescent="0.25">
      <c r="A44" s="16" t="s">
        <v>8</v>
      </c>
      <c r="B44" s="9"/>
      <c r="C44" s="41"/>
      <c r="D44" s="41"/>
      <c r="E44" s="14"/>
      <c r="F44" s="14"/>
      <c r="G44" s="41"/>
      <c r="H44" s="41"/>
      <c r="I44" s="10"/>
      <c r="J44" s="15"/>
      <c r="K44" s="9"/>
      <c r="L44" s="9"/>
      <c r="M44" s="12"/>
    </row>
    <row r="45" spans="1:29" x14ac:dyDescent="0.25">
      <c r="A45" s="13" t="s">
        <v>40</v>
      </c>
      <c r="B45" s="9"/>
      <c r="C45" s="41"/>
      <c r="D45" s="41"/>
      <c r="E45" s="14"/>
      <c r="F45" s="14"/>
      <c r="G45" s="41"/>
      <c r="H45" s="41"/>
      <c r="I45" s="10"/>
      <c r="J45" s="15"/>
      <c r="K45" s="9"/>
      <c r="L45" s="9"/>
      <c r="M45" s="12"/>
    </row>
    <row r="47" spans="1:29" ht="18.75" x14ac:dyDescent="0.3">
      <c r="A47" s="1" t="str">
        <f>CONCATENATE(A2, ". Пластик")</f>
        <v>0. Пластик</v>
      </c>
    </row>
    <row r="48" spans="1:29" x14ac:dyDescent="0.25">
      <c r="A48" s="3" t="s">
        <v>6</v>
      </c>
      <c r="B48" s="4" t="s">
        <v>5</v>
      </c>
      <c r="C48" s="39" t="s">
        <v>9</v>
      </c>
      <c r="D48" s="40" t="s">
        <v>11</v>
      </c>
      <c r="E48" s="6" t="s">
        <v>1</v>
      </c>
      <c r="F48" s="7" t="s">
        <v>0</v>
      </c>
      <c r="G48" s="40" t="s">
        <v>10</v>
      </c>
      <c r="H48" s="44" t="s">
        <v>12</v>
      </c>
      <c r="I48" s="8" t="s">
        <v>2</v>
      </c>
      <c r="J48" s="3" t="s">
        <v>3</v>
      </c>
      <c r="K48" s="4"/>
      <c r="L48" s="4"/>
      <c r="M48" s="3" t="s">
        <v>4</v>
      </c>
    </row>
    <row r="49" spans="1:29" x14ac:dyDescent="0.25">
      <c r="A49" s="9"/>
      <c r="B49" s="32"/>
      <c r="C49" s="41"/>
      <c r="D49" s="41"/>
      <c r="E49" s="14"/>
      <c r="F49" s="14"/>
      <c r="G49" s="41"/>
      <c r="H49" s="41"/>
      <c r="I49" s="10"/>
      <c r="J49" s="11"/>
      <c r="K49" s="32"/>
      <c r="L49" s="32"/>
      <c r="M49" s="28"/>
      <c r="O49" s="22"/>
      <c r="P49" s="18"/>
      <c r="Q49" s="18"/>
      <c r="R49" s="18"/>
      <c r="S49" s="18"/>
      <c r="T49" s="3"/>
      <c r="U49" s="3"/>
      <c r="V49" s="23"/>
      <c r="W49" s="23"/>
      <c r="X49" s="18"/>
      <c r="Y49" s="18"/>
      <c r="Z49" s="18"/>
      <c r="AA49" s="18"/>
      <c r="AB49" s="18"/>
      <c r="AC49" s="18"/>
    </row>
    <row r="50" spans="1:29" x14ac:dyDescent="0.25">
      <c r="A50" s="9"/>
      <c r="B50" s="32"/>
      <c r="C50" s="41"/>
      <c r="D50" s="41"/>
      <c r="E50" s="14"/>
      <c r="F50" s="14"/>
      <c r="G50" s="41"/>
      <c r="H50" s="41"/>
      <c r="I50" s="10"/>
      <c r="J50" s="11"/>
      <c r="K50" s="32"/>
      <c r="L50" s="32"/>
      <c r="M50" s="28"/>
      <c r="O50" s="22"/>
      <c r="P50" s="18"/>
      <c r="Q50" s="18"/>
      <c r="R50" s="18"/>
      <c r="S50" s="18"/>
      <c r="T50" s="3"/>
      <c r="U50" s="3"/>
      <c r="V50" s="23"/>
      <c r="W50" s="23"/>
      <c r="X50" s="18"/>
      <c r="Y50" s="18"/>
      <c r="Z50" s="18"/>
      <c r="AA50" s="18"/>
      <c r="AB50" s="18"/>
      <c r="AC50" s="18"/>
    </row>
    <row r="51" spans="1:29" x14ac:dyDescent="0.25">
      <c r="A51" s="9"/>
      <c r="B51" s="32"/>
      <c r="C51" s="41"/>
      <c r="D51" s="41"/>
      <c r="E51" s="14"/>
      <c r="F51" s="14"/>
      <c r="G51" s="41"/>
      <c r="H51" s="41"/>
      <c r="I51" s="10"/>
      <c r="J51" s="11"/>
      <c r="K51" s="15"/>
      <c r="L51" s="15"/>
      <c r="M51" s="11"/>
      <c r="O51" s="22"/>
      <c r="P51" s="18"/>
      <c r="Q51" s="18"/>
      <c r="R51" s="18"/>
      <c r="S51" s="18"/>
      <c r="T51" s="3"/>
      <c r="U51" s="3"/>
      <c r="V51" s="23"/>
      <c r="W51" s="23"/>
      <c r="X51" s="18"/>
      <c r="Y51" s="18"/>
      <c r="Z51" s="18"/>
      <c r="AA51" s="18"/>
      <c r="AB51" s="18"/>
      <c r="AC51" s="18"/>
    </row>
    <row r="52" spans="1:29" x14ac:dyDescent="0.25">
      <c r="A52" s="9"/>
      <c r="B52" s="32"/>
      <c r="C52" s="41"/>
      <c r="D52" s="41"/>
      <c r="E52" s="14"/>
      <c r="F52" s="14"/>
      <c r="G52" s="41"/>
      <c r="H52" s="41"/>
      <c r="I52" s="10"/>
      <c r="J52" s="11"/>
      <c r="K52" s="15"/>
      <c r="L52" s="15"/>
      <c r="M52" s="11"/>
      <c r="O52" s="22"/>
      <c r="P52" s="18"/>
      <c r="Q52" s="18"/>
      <c r="R52" s="18"/>
      <c r="S52" s="18"/>
      <c r="T52" s="3"/>
      <c r="U52" s="3"/>
      <c r="V52" s="23"/>
      <c r="W52" s="23"/>
      <c r="X52" s="18"/>
      <c r="Y52" s="18"/>
      <c r="Z52" s="18"/>
      <c r="AA52" s="18"/>
      <c r="AB52" s="18"/>
      <c r="AC52" s="18"/>
    </row>
    <row r="53" spans="1:29" x14ac:dyDescent="0.25">
      <c r="A53" s="9"/>
      <c r="B53" s="32"/>
      <c r="C53" s="41"/>
      <c r="D53" s="41"/>
      <c r="E53" s="14"/>
      <c r="F53" s="14"/>
      <c r="G53" s="41"/>
      <c r="H53" s="41"/>
      <c r="I53" s="10"/>
      <c r="J53" s="11"/>
      <c r="K53" s="15"/>
      <c r="L53" s="15"/>
      <c r="M53" s="11"/>
      <c r="O53" s="22"/>
      <c r="P53" s="18"/>
      <c r="Q53" s="18"/>
      <c r="R53" s="18"/>
      <c r="S53" s="18"/>
      <c r="T53" s="3"/>
      <c r="U53" s="3"/>
      <c r="V53" s="23"/>
      <c r="W53" s="23"/>
      <c r="X53" s="18"/>
      <c r="Y53" s="18"/>
      <c r="Z53" s="18"/>
      <c r="AA53" s="18"/>
      <c r="AB53" s="18"/>
      <c r="AC53" s="18"/>
    </row>
    <row r="54" spans="1:29" x14ac:dyDescent="0.25">
      <c r="A54" s="9"/>
      <c r="B54" s="32"/>
      <c r="C54" s="41"/>
      <c r="D54" s="41"/>
      <c r="E54" s="14"/>
      <c r="F54" s="14"/>
      <c r="G54" s="41"/>
      <c r="H54" s="41"/>
      <c r="I54" s="10"/>
      <c r="J54" s="11"/>
      <c r="K54" s="15"/>
      <c r="L54" s="15"/>
      <c r="M54" s="11"/>
      <c r="O54" s="22"/>
      <c r="P54" s="18"/>
      <c r="Q54" s="18"/>
      <c r="R54" s="18"/>
      <c r="S54" s="18"/>
      <c r="T54" s="3"/>
      <c r="U54" s="3"/>
      <c r="V54" s="23"/>
      <c r="W54" s="23"/>
      <c r="X54" s="18"/>
      <c r="Y54" s="18"/>
      <c r="Z54" s="18"/>
      <c r="AA54" s="18"/>
      <c r="AB54" s="18"/>
      <c r="AC54" s="18"/>
    </row>
    <row r="55" spans="1:29" x14ac:dyDescent="0.25">
      <c r="A55" s="9"/>
      <c r="B55" s="32"/>
      <c r="C55" s="41"/>
      <c r="D55" s="41"/>
      <c r="E55" s="14"/>
      <c r="F55" s="14"/>
      <c r="G55" s="41"/>
      <c r="H55" s="41"/>
      <c r="I55" s="10"/>
      <c r="J55" s="11"/>
      <c r="K55" s="15"/>
      <c r="L55" s="15"/>
      <c r="M55" s="11"/>
      <c r="O55" s="22"/>
      <c r="P55" s="18"/>
      <c r="Q55" s="18"/>
      <c r="R55" s="18"/>
      <c r="S55" s="18"/>
      <c r="T55" s="3"/>
      <c r="U55" s="3"/>
      <c r="V55" s="23"/>
      <c r="W55" s="23"/>
      <c r="X55" s="18"/>
      <c r="Y55" s="18"/>
      <c r="Z55" s="18"/>
      <c r="AA55" s="18"/>
      <c r="AB55" s="18"/>
      <c r="AC55" s="18"/>
    </row>
    <row r="56" spans="1:29" x14ac:dyDescent="0.25">
      <c r="A56" s="9"/>
      <c r="B56" s="32"/>
      <c r="C56" s="41"/>
      <c r="D56" s="41"/>
      <c r="E56" s="14"/>
      <c r="F56" s="14"/>
      <c r="G56" s="41"/>
      <c r="H56" s="41"/>
      <c r="I56" s="10"/>
      <c r="J56" s="11"/>
      <c r="K56" s="15"/>
      <c r="L56" s="15"/>
      <c r="M56" s="11"/>
      <c r="O56" s="22"/>
      <c r="P56" s="18"/>
      <c r="Q56" s="18"/>
      <c r="R56" s="18"/>
      <c r="S56" s="18"/>
      <c r="T56" s="3"/>
      <c r="U56" s="3"/>
      <c r="V56" s="23"/>
      <c r="W56" s="23"/>
      <c r="X56" s="18"/>
      <c r="Y56" s="18"/>
      <c r="Z56" s="18"/>
      <c r="AA56" s="18"/>
      <c r="AB56" s="18"/>
      <c r="AC56" s="18"/>
    </row>
    <row r="57" spans="1:29" x14ac:dyDescent="0.25">
      <c r="A57" s="9"/>
      <c r="B57" s="32"/>
      <c r="C57" s="41"/>
      <c r="D57" s="41"/>
      <c r="E57" s="14"/>
      <c r="F57" s="14"/>
      <c r="G57" s="41"/>
      <c r="H57" s="41"/>
      <c r="I57" s="10"/>
      <c r="J57" s="11"/>
      <c r="K57" s="15"/>
      <c r="L57" s="15"/>
      <c r="M57" s="11"/>
      <c r="O57" s="22"/>
      <c r="P57" s="18"/>
      <c r="Q57" s="18"/>
      <c r="R57" s="18"/>
      <c r="S57" s="18"/>
      <c r="T57" s="3"/>
      <c r="U57" s="3"/>
      <c r="V57" s="23"/>
      <c r="W57" s="23"/>
      <c r="X57" s="18"/>
      <c r="Y57" s="18"/>
      <c r="Z57" s="18"/>
      <c r="AA57" s="18"/>
      <c r="AB57" s="18"/>
      <c r="AC57" s="18"/>
    </row>
    <row r="58" spans="1:29" x14ac:dyDescent="0.25">
      <c r="A58" s="9"/>
      <c r="B58" s="32"/>
      <c r="C58" s="41"/>
      <c r="D58" s="41"/>
      <c r="E58" s="14"/>
      <c r="F58" s="14"/>
      <c r="G58" s="41"/>
      <c r="H58" s="41"/>
      <c r="I58" s="10"/>
      <c r="J58" s="11"/>
      <c r="K58" s="15"/>
      <c r="L58" s="15"/>
      <c r="M58" s="11"/>
      <c r="O58" s="22"/>
      <c r="P58" s="18"/>
      <c r="Q58" s="18"/>
      <c r="R58" s="18"/>
      <c r="S58" s="18"/>
      <c r="T58" s="3"/>
      <c r="U58" s="3"/>
      <c r="V58" s="23"/>
      <c r="W58" s="23"/>
      <c r="X58" s="18"/>
      <c r="Y58" s="18"/>
      <c r="Z58" s="18"/>
      <c r="AA58" s="18"/>
      <c r="AB58" s="18"/>
      <c r="AC58" s="18"/>
    </row>
    <row r="59" spans="1:29" x14ac:dyDescent="0.25">
      <c r="A59" s="13"/>
      <c r="B59" s="9"/>
      <c r="C59" s="41"/>
      <c r="D59" s="41"/>
      <c r="E59" s="14"/>
      <c r="F59" s="14"/>
      <c r="G59" s="41"/>
      <c r="H59" s="45" t="s">
        <v>15</v>
      </c>
      <c r="I59" s="25">
        <f>SUM(I49:I58)</f>
        <v>0</v>
      </c>
      <c r="J59" s="11"/>
      <c r="K59" s="9"/>
      <c r="L59" s="9"/>
      <c r="M59" s="12"/>
    </row>
    <row r="60" spans="1:29" x14ac:dyDescent="0.25">
      <c r="A60" s="16" t="s">
        <v>8</v>
      </c>
      <c r="B60" s="9"/>
      <c r="C60" s="41"/>
      <c r="D60" s="41"/>
      <c r="E60" s="14"/>
      <c r="F60" s="14"/>
      <c r="G60" s="41"/>
      <c r="H60" s="41"/>
      <c r="I60" s="10"/>
      <c r="J60" s="15"/>
      <c r="K60" s="9"/>
      <c r="L60" s="9"/>
      <c r="M60" s="12"/>
    </row>
    <row r="61" spans="1:29" x14ac:dyDescent="0.25">
      <c r="A61" s="13" t="s">
        <v>40</v>
      </c>
      <c r="B61" s="9"/>
      <c r="C61" s="41"/>
      <c r="D61" s="41"/>
      <c r="E61" s="14"/>
      <c r="F61" s="14"/>
      <c r="G61" s="41"/>
      <c r="H61" s="41"/>
      <c r="I61" s="10"/>
      <c r="J61" s="15"/>
      <c r="K61" s="9"/>
      <c r="L61" s="9"/>
      <c r="M61" s="12"/>
    </row>
    <row r="66" spans="1:81" ht="18.75" x14ac:dyDescent="0.3">
      <c r="A66" s="1" t="s">
        <v>29</v>
      </c>
    </row>
    <row r="67" spans="1:81" x14ac:dyDescent="0.25">
      <c r="A67" s="30" t="s">
        <v>37</v>
      </c>
    </row>
    <row r="68" spans="1:81" x14ac:dyDescent="0.25">
      <c r="M68" s="30"/>
      <c r="T68" s="30"/>
      <c r="U68" s="30"/>
    </row>
    <row r="69" spans="1:81" x14ac:dyDescent="0.25">
      <c r="M69" s="30"/>
      <c r="T69" s="30"/>
      <c r="U69" s="30"/>
    </row>
    <row r="70" spans="1:81" x14ac:dyDescent="0.25">
      <c r="M70" s="30"/>
      <c r="T70" s="30"/>
      <c r="U70" s="3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row r="429" spans="1:8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row>
    <row r="430" spans="1:8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row>
    <row r="431" spans="1:8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row>
    <row r="432" spans="1:8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row>
    <row r="433" spans="1:8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row>
    <row r="434" spans="1:8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row>
    <row r="435" spans="1:8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row>
    <row r="436" spans="1:8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row>
    <row r="437" spans="1:8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row>
  </sheetData>
  <phoneticPr fontId="10" type="noConversion"/>
  <conditionalFormatting sqref="C58">
    <cfRule type="expression" dxfId="199" priority="17844" stopIfTrue="1">
      <formula>AND(NOT(ISBLANK(C58)),NOT(_xlfn.ISFORMULA(C58)))</formula>
    </cfRule>
  </conditionalFormatting>
  <conditionalFormatting sqref="D58">
    <cfRule type="expression" dxfId="198" priority="17843" stopIfTrue="1">
      <formula>AND(NOT(ISBLANK(D58)),NOT(_xlfn.ISFORMULA(D58)))</formula>
    </cfRule>
  </conditionalFormatting>
  <conditionalFormatting sqref="G58">
    <cfRule type="expression" dxfId="197" priority="17842" stopIfTrue="1">
      <formula>AND(NOT(ISBLANK(G58)),NOT(_xlfn.ISFORMULA(G58)))</formula>
    </cfRule>
  </conditionalFormatting>
  <conditionalFormatting sqref="H58">
    <cfRule type="expression" dxfId="196" priority="17841" stopIfTrue="1">
      <formula>AND(NOT(ISBLANK(H58)),NOT(_xlfn.ISFORMULA(H58)))</formula>
    </cfRule>
  </conditionalFormatting>
  <conditionalFormatting sqref="D49">
    <cfRule type="expression" dxfId="195" priority="17959" stopIfTrue="1">
      <formula>AND(NOT(ISBLANK(D49)),NOT(_xlfn.ISFORMULA(D49)))</formula>
    </cfRule>
  </conditionalFormatting>
  <conditionalFormatting sqref="G49">
    <cfRule type="expression" dxfId="194" priority="17958" stopIfTrue="1">
      <formula>AND(NOT(ISBLANK(G49)),NOT(_xlfn.ISFORMULA(G49)))</formula>
    </cfRule>
  </conditionalFormatting>
  <conditionalFormatting sqref="H49">
    <cfRule type="expression" dxfId="193" priority="17957" stopIfTrue="1">
      <formula>AND(NOT(ISBLANK(H49)),NOT(_xlfn.ISFORMULA(H49)))</formula>
    </cfRule>
  </conditionalFormatting>
  <conditionalFormatting sqref="E38">
    <cfRule type="expression" dxfId="192" priority="17955">
      <formula>AND(AND(NOT(ISBLANK(D38)),NOT(D38=$O$1)),AND(NOT(ISBLANK(C38)),NOT(C38=$O$1)))</formula>
    </cfRule>
    <cfRule type="expression" dxfId="191" priority="17956">
      <formula>OR(AND(NOT(ISBLANK(D38)),NOT(D38=$O$1)),AND(NOT(ISBLANK(C38)),NOT(C38=$O$1)))</formula>
    </cfRule>
  </conditionalFormatting>
  <conditionalFormatting sqref="F38">
    <cfRule type="expression" dxfId="190" priority="17953">
      <formula>AND(AND(NOT(ISBLANK(G38)),NOT(G38=$O$1)),AND(NOT(ISBLANK(H38)),NOT(H38=$O$1)))</formula>
    </cfRule>
    <cfRule type="expression" dxfId="189" priority="17954">
      <formula>OR(AND(NOT(ISBLANK(G38)),NOT(G38=$O$1)),AND(NOT(ISBLANK(H38)),NOT(H38=$O$1)))</formula>
    </cfRule>
  </conditionalFormatting>
  <conditionalFormatting sqref="C38">
    <cfRule type="expression" dxfId="188" priority="17952" stopIfTrue="1">
      <formula>AND(NOT(ISBLANK(C38)),NOT(_xlfn.ISFORMULA(C38)))</formula>
    </cfRule>
  </conditionalFormatting>
  <conditionalFormatting sqref="D38">
    <cfRule type="expression" dxfId="187" priority="17951" stopIfTrue="1">
      <formula>AND(NOT(ISBLANK(D38)),NOT(_xlfn.ISFORMULA(D38)))</formula>
    </cfRule>
  </conditionalFormatting>
  <conditionalFormatting sqref="G38">
    <cfRule type="expression" dxfId="186" priority="17950" stopIfTrue="1">
      <formula>AND(NOT(ISBLANK(G38)),NOT(_xlfn.ISFORMULA(G38)))</formula>
    </cfRule>
  </conditionalFormatting>
  <conditionalFormatting sqref="H38">
    <cfRule type="expression" dxfId="185" priority="17949" stopIfTrue="1">
      <formula>AND(NOT(ISBLANK(H38)),NOT(_xlfn.ISFORMULA(H38)))</formula>
    </cfRule>
  </conditionalFormatting>
  <conditionalFormatting sqref="E49">
    <cfRule type="expression" dxfId="184" priority="17963">
      <formula>AND(AND(NOT(ISBLANK(D49)),NOT(D49=$O$1)),AND(NOT(ISBLANK(C49)),NOT(C49=$O$1)))</formula>
    </cfRule>
    <cfRule type="expression" dxfId="183" priority="17964">
      <formula>OR(AND(NOT(ISBLANK(D49)),NOT(D49=$O$1)),AND(NOT(ISBLANK(C49)),NOT(C49=$O$1)))</formula>
    </cfRule>
  </conditionalFormatting>
  <conditionalFormatting sqref="F49">
    <cfRule type="expression" dxfId="182" priority="17961">
      <formula>AND(AND(NOT(ISBLANK(G49)),NOT(G49=$O$1)),AND(NOT(ISBLANK(H49)),NOT(H49=$O$1)))</formula>
    </cfRule>
    <cfRule type="expression" dxfId="181" priority="17962">
      <formula>OR(AND(NOT(ISBLANK(G49)),NOT(G49=$O$1)),AND(NOT(ISBLANK(H49)),NOT(H49=$O$1)))</formula>
    </cfRule>
  </conditionalFormatting>
  <conditionalFormatting sqref="C49">
    <cfRule type="expression" dxfId="180" priority="17960" stopIfTrue="1">
      <formula>AND(NOT(ISBLANK(C49)),NOT(_xlfn.ISFORMULA(C49)))</formula>
    </cfRule>
  </conditionalFormatting>
  <conditionalFormatting sqref="E50">
    <cfRule type="expression" dxfId="179" priority="17947">
      <formula>AND(AND(NOT(ISBLANK(D50)),NOT(D50=$O$1)),AND(NOT(ISBLANK(C50)),NOT(C50=$O$1)))</formula>
    </cfRule>
    <cfRule type="expression" dxfId="178" priority="17948">
      <formula>OR(AND(NOT(ISBLANK(D50)),NOT(D50=$O$1)),AND(NOT(ISBLANK(C50)),NOT(C50=$O$1)))</formula>
    </cfRule>
  </conditionalFormatting>
  <conditionalFormatting sqref="F50">
    <cfRule type="expression" dxfId="177" priority="17945">
      <formula>AND(AND(NOT(ISBLANK(G50)),NOT(G50=$O$1)),AND(NOT(ISBLANK(H50)),NOT(H50=$O$1)))</formula>
    </cfRule>
    <cfRule type="expression" dxfId="176" priority="17946">
      <formula>OR(AND(NOT(ISBLANK(G50)),NOT(G50=$O$1)),AND(NOT(ISBLANK(H50)),NOT(H50=$O$1)))</formula>
    </cfRule>
  </conditionalFormatting>
  <conditionalFormatting sqref="C50">
    <cfRule type="expression" dxfId="175" priority="17944" stopIfTrue="1">
      <formula>AND(NOT(ISBLANK(C50)),NOT(_xlfn.ISFORMULA(C50)))</formula>
    </cfRule>
  </conditionalFormatting>
  <conditionalFormatting sqref="D50">
    <cfRule type="expression" dxfId="174" priority="17943" stopIfTrue="1">
      <formula>AND(NOT(ISBLANK(D50)),NOT(_xlfn.ISFORMULA(D50)))</formula>
    </cfRule>
  </conditionalFormatting>
  <conditionalFormatting sqref="G50">
    <cfRule type="expression" dxfId="173" priority="17942" stopIfTrue="1">
      <formula>AND(NOT(ISBLANK(G50)),NOT(_xlfn.ISFORMULA(G50)))</formula>
    </cfRule>
  </conditionalFormatting>
  <conditionalFormatting sqref="H50">
    <cfRule type="expression" dxfId="172" priority="17941" stopIfTrue="1">
      <formula>AND(NOT(ISBLANK(H50)),NOT(_xlfn.ISFORMULA(H50)))</formula>
    </cfRule>
  </conditionalFormatting>
  <conditionalFormatting sqref="C51">
    <cfRule type="expression" dxfId="171" priority="17936" stopIfTrue="1">
      <formula>AND(NOT(ISBLANK(C51)),NOT(_xlfn.ISFORMULA(C51)))</formula>
    </cfRule>
  </conditionalFormatting>
  <conditionalFormatting sqref="D51">
    <cfRule type="expression" dxfId="170" priority="17935" stopIfTrue="1">
      <formula>AND(NOT(ISBLANK(D51)),NOT(_xlfn.ISFORMULA(D51)))</formula>
    </cfRule>
  </conditionalFormatting>
  <conditionalFormatting sqref="G51">
    <cfRule type="expression" dxfId="169" priority="17934" stopIfTrue="1">
      <formula>AND(NOT(ISBLANK(G51)),NOT(_xlfn.ISFORMULA(G51)))</formula>
    </cfRule>
  </conditionalFormatting>
  <conditionalFormatting sqref="E51">
    <cfRule type="expression" dxfId="168" priority="17939">
      <formula>AND(AND(NOT(ISBLANK(D51)),NOT(D51=$O$1)),AND(NOT(ISBLANK(C51)),NOT(C51=$O$1)))</formula>
    </cfRule>
    <cfRule type="expression" dxfId="167" priority="17940">
      <formula>OR(AND(NOT(ISBLANK(D51)),NOT(D51=$O$1)),AND(NOT(ISBLANK(C51)),NOT(C51=$O$1)))</formula>
    </cfRule>
  </conditionalFormatting>
  <conditionalFormatting sqref="F51">
    <cfRule type="expression" dxfId="166" priority="17937">
      <formula>AND(AND(NOT(ISBLANK(G51)),NOT(G51=$O$1)),AND(NOT(ISBLANK(H51)),NOT(H51=$O$1)))</formula>
    </cfRule>
    <cfRule type="expression" dxfId="165" priority="17938">
      <formula>OR(AND(NOT(ISBLANK(G51)),NOT(G51=$O$1)),AND(NOT(ISBLANK(H51)),NOT(H51=$O$1)))</formula>
    </cfRule>
  </conditionalFormatting>
  <conditionalFormatting sqref="C39">
    <cfRule type="expression" dxfId="164" priority="17928" stopIfTrue="1">
      <formula>AND(NOT(ISBLANK(C39)),NOT(_xlfn.ISFORMULA(C39)))</formula>
    </cfRule>
  </conditionalFormatting>
  <conditionalFormatting sqref="D39">
    <cfRule type="expression" dxfId="163" priority="17927" stopIfTrue="1">
      <formula>AND(NOT(ISBLANK(D39)),NOT(_xlfn.ISFORMULA(D39)))</formula>
    </cfRule>
  </conditionalFormatting>
  <conditionalFormatting sqref="G39">
    <cfRule type="expression" dxfId="162" priority="17926" stopIfTrue="1">
      <formula>AND(NOT(ISBLANK(G39)),NOT(_xlfn.ISFORMULA(G39)))</formula>
    </cfRule>
  </conditionalFormatting>
  <conditionalFormatting sqref="H51">
    <cfRule type="expression" dxfId="161" priority="17933" stopIfTrue="1">
      <formula>AND(NOT(ISBLANK(H51)),NOT(_xlfn.ISFORMULA(H51)))</formula>
    </cfRule>
  </conditionalFormatting>
  <conditionalFormatting sqref="E39">
    <cfRule type="expression" dxfId="160" priority="17931">
      <formula>AND(AND(NOT(ISBLANK(D39)),NOT(D39=$O$1)),AND(NOT(ISBLANK(C39)),NOT(C39=$O$1)))</formula>
    </cfRule>
    <cfRule type="expression" dxfId="159" priority="17932">
      <formula>OR(AND(NOT(ISBLANK(D39)),NOT(D39=$O$1)),AND(NOT(ISBLANK(C39)),NOT(C39=$O$1)))</formula>
    </cfRule>
  </conditionalFormatting>
  <conditionalFormatting sqref="F39">
    <cfRule type="expression" dxfId="158" priority="17929">
      <formula>AND(AND(NOT(ISBLANK(G39)),NOT(G39=$O$1)),AND(NOT(ISBLANK(H39)),NOT(H39=$O$1)))</formula>
    </cfRule>
    <cfRule type="expression" dxfId="157" priority="17930">
      <formula>OR(AND(NOT(ISBLANK(G39)),NOT(G39=$O$1)),AND(NOT(ISBLANK(H39)),NOT(H39=$O$1)))</formula>
    </cfRule>
  </conditionalFormatting>
  <conditionalFormatting sqref="C52">
    <cfRule type="expression" dxfId="156" priority="17920" stopIfTrue="1">
      <formula>AND(NOT(ISBLANK(C52)),NOT(_xlfn.ISFORMULA(C52)))</formula>
    </cfRule>
  </conditionalFormatting>
  <conditionalFormatting sqref="D52">
    <cfRule type="expression" dxfId="155" priority="17919" stopIfTrue="1">
      <formula>AND(NOT(ISBLANK(D52)),NOT(_xlfn.ISFORMULA(D52)))</formula>
    </cfRule>
  </conditionalFormatting>
  <conditionalFormatting sqref="G52">
    <cfRule type="expression" dxfId="154" priority="17918" stopIfTrue="1">
      <formula>AND(NOT(ISBLANK(G52)),NOT(_xlfn.ISFORMULA(G52)))</formula>
    </cfRule>
  </conditionalFormatting>
  <conditionalFormatting sqref="H39">
    <cfRule type="expression" dxfId="153" priority="17925" stopIfTrue="1">
      <formula>AND(NOT(ISBLANK(H39)),NOT(_xlfn.ISFORMULA(H39)))</formula>
    </cfRule>
  </conditionalFormatting>
  <conditionalFormatting sqref="E52">
    <cfRule type="expression" dxfId="152" priority="17923">
      <formula>AND(AND(NOT(ISBLANK(D52)),NOT(D52=$O$1)),AND(NOT(ISBLANK(C52)),NOT(C52=$O$1)))</formula>
    </cfRule>
    <cfRule type="expression" dxfId="151" priority="17924">
      <formula>OR(AND(NOT(ISBLANK(D52)),NOT(D52=$O$1)),AND(NOT(ISBLANK(C52)),NOT(C52=$O$1)))</formula>
    </cfRule>
  </conditionalFormatting>
  <conditionalFormatting sqref="F52">
    <cfRule type="expression" dxfId="150" priority="17921">
      <formula>AND(AND(NOT(ISBLANK(G52)),NOT(G52=$O$1)),AND(NOT(ISBLANK(H52)),NOT(H52=$O$1)))</formula>
    </cfRule>
    <cfRule type="expression" dxfId="149" priority="17922">
      <formula>OR(AND(NOT(ISBLANK(G52)),NOT(G52=$O$1)),AND(NOT(ISBLANK(H52)),NOT(H52=$O$1)))</formula>
    </cfRule>
  </conditionalFormatting>
  <conditionalFormatting sqref="H52">
    <cfRule type="expression" dxfId="148" priority="17917" stopIfTrue="1">
      <formula>AND(NOT(ISBLANK(H52)),NOT(_xlfn.ISFORMULA(H52)))</formula>
    </cfRule>
  </conditionalFormatting>
  <conditionalFormatting sqref="H53">
    <cfRule type="expression" dxfId="147" priority="17909" stopIfTrue="1">
      <formula>AND(NOT(ISBLANK(H53)),NOT(_xlfn.ISFORMULA(H53)))</formula>
    </cfRule>
  </conditionalFormatting>
  <conditionalFormatting sqref="E53">
    <cfRule type="expression" dxfId="146" priority="17915">
      <formula>AND(AND(NOT(ISBLANK(D53)),NOT(D53=$O$1)),AND(NOT(ISBLANK(C53)),NOT(C53=$O$1)))</formula>
    </cfRule>
    <cfRule type="expression" dxfId="145" priority="17916">
      <formula>OR(AND(NOT(ISBLANK(D53)),NOT(D53=$O$1)),AND(NOT(ISBLANK(C53)),NOT(C53=$O$1)))</formula>
    </cfRule>
  </conditionalFormatting>
  <conditionalFormatting sqref="F53">
    <cfRule type="expression" dxfId="144" priority="17913">
      <formula>AND(AND(NOT(ISBLANK(G53)),NOT(G53=$O$1)),AND(NOT(ISBLANK(H53)),NOT(H53=$O$1)))</formula>
    </cfRule>
    <cfRule type="expression" dxfId="143" priority="17914">
      <formula>OR(AND(NOT(ISBLANK(G53)),NOT(G53=$O$1)),AND(NOT(ISBLANK(H53)),NOT(H53=$O$1)))</formula>
    </cfRule>
  </conditionalFormatting>
  <conditionalFormatting sqref="C53">
    <cfRule type="expression" dxfId="142" priority="17912" stopIfTrue="1">
      <formula>AND(NOT(ISBLANK(C53)),NOT(_xlfn.ISFORMULA(C53)))</formula>
    </cfRule>
  </conditionalFormatting>
  <conditionalFormatting sqref="D53">
    <cfRule type="expression" dxfId="141" priority="17911" stopIfTrue="1">
      <formula>AND(NOT(ISBLANK(D53)),NOT(_xlfn.ISFORMULA(D53)))</formula>
    </cfRule>
  </conditionalFormatting>
  <conditionalFormatting sqref="G53">
    <cfRule type="expression" dxfId="140" priority="17910" stopIfTrue="1">
      <formula>AND(NOT(ISBLANK(G53)),NOT(_xlfn.ISFORMULA(G53)))</formula>
    </cfRule>
  </conditionalFormatting>
  <conditionalFormatting sqref="E40">
    <cfRule type="expression" dxfId="139" priority="17907">
      <formula>AND(AND(NOT(ISBLANK(D40)),NOT(D40=$O$1)),AND(NOT(ISBLANK(C40)),NOT(C40=$O$1)))</formula>
    </cfRule>
    <cfRule type="expression" dxfId="138" priority="17908">
      <formula>OR(AND(NOT(ISBLANK(D40)),NOT(D40=$O$1)),AND(NOT(ISBLANK(C40)),NOT(C40=$O$1)))</formula>
    </cfRule>
  </conditionalFormatting>
  <conditionalFormatting sqref="F40">
    <cfRule type="expression" dxfId="137" priority="17905">
      <formula>AND(AND(NOT(ISBLANK(G40)),NOT(G40=$O$1)),AND(NOT(ISBLANK(H40)),NOT(H40=$O$1)))</formula>
    </cfRule>
    <cfRule type="expression" dxfId="136" priority="17906">
      <formula>OR(AND(NOT(ISBLANK(G40)),NOT(G40=$O$1)),AND(NOT(ISBLANK(H40)),NOT(H40=$O$1)))</formula>
    </cfRule>
  </conditionalFormatting>
  <conditionalFormatting sqref="C40">
    <cfRule type="expression" dxfId="135" priority="17904" stopIfTrue="1">
      <formula>AND(NOT(ISBLANK(C40)),NOT(_xlfn.ISFORMULA(C40)))</formula>
    </cfRule>
  </conditionalFormatting>
  <conditionalFormatting sqref="D40">
    <cfRule type="expression" dxfId="134" priority="17903" stopIfTrue="1">
      <formula>AND(NOT(ISBLANK(D40)),NOT(_xlfn.ISFORMULA(D40)))</formula>
    </cfRule>
  </conditionalFormatting>
  <conditionalFormatting sqref="G40">
    <cfRule type="expression" dxfId="133" priority="17902" stopIfTrue="1">
      <formula>AND(NOT(ISBLANK(G40)),NOT(_xlfn.ISFORMULA(G40)))</formula>
    </cfRule>
  </conditionalFormatting>
  <conditionalFormatting sqref="H40">
    <cfRule type="expression" dxfId="132" priority="17901" stopIfTrue="1">
      <formula>AND(NOT(ISBLANK(H40)),NOT(_xlfn.ISFORMULA(H40)))</formula>
    </cfRule>
  </conditionalFormatting>
  <conditionalFormatting sqref="E54">
    <cfRule type="expression" dxfId="131" priority="17899">
      <formula>AND(AND(NOT(ISBLANK(D54)),NOT(D54=$O$1)),AND(NOT(ISBLANK(C54)),NOT(C54=$O$1)))</formula>
    </cfRule>
    <cfRule type="expression" dxfId="130" priority="17900">
      <formula>OR(AND(NOT(ISBLANK(D54)),NOT(D54=$O$1)),AND(NOT(ISBLANK(C54)),NOT(C54=$O$1)))</formula>
    </cfRule>
  </conditionalFormatting>
  <conditionalFormatting sqref="F54">
    <cfRule type="expression" dxfId="129" priority="17897">
      <formula>AND(AND(NOT(ISBLANK(G54)),NOT(G54=$O$1)),AND(NOT(ISBLANK(H54)),NOT(H54=$O$1)))</formula>
    </cfRule>
    <cfRule type="expression" dxfId="128" priority="17898">
      <formula>OR(AND(NOT(ISBLANK(G54)),NOT(G54=$O$1)),AND(NOT(ISBLANK(H54)),NOT(H54=$O$1)))</formula>
    </cfRule>
  </conditionalFormatting>
  <conditionalFormatting sqref="C54">
    <cfRule type="expression" dxfId="127" priority="17896" stopIfTrue="1">
      <formula>AND(NOT(ISBLANK(C54)),NOT(_xlfn.ISFORMULA(C54)))</formula>
    </cfRule>
  </conditionalFormatting>
  <conditionalFormatting sqref="D54">
    <cfRule type="expression" dxfId="126" priority="17895" stopIfTrue="1">
      <formula>AND(NOT(ISBLANK(D54)),NOT(_xlfn.ISFORMULA(D54)))</formula>
    </cfRule>
  </conditionalFormatting>
  <conditionalFormatting sqref="G54">
    <cfRule type="expression" dxfId="125" priority="17894" stopIfTrue="1">
      <formula>AND(NOT(ISBLANK(G54)),NOT(_xlfn.ISFORMULA(G54)))</formula>
    </cfRule>
  </conditionalFormatting>
  <conditionalFormatting sqref="H54">
    <cfRule type="expression" dxfId="124" priority="17893" stopIfTrue="1">
      <formula>AND(NOT(ISBLANK(H54)),NOT(_xlfn.ISFORMULA(H54)))</formula>
    </cfRule>
  </conditionalFormatting>
  <conditionalFormatting sqref="H55">
    <cfRule type="expression" dxfId="123" priority="17881" stopIfTrue="1">
      <formula>AND(NOT(ISBLANK(H55)),NOT(_xlfn.ISFORMULA(H55)))</formula>
    </cfRule>
  </conditionalFormatting>
  <conditionalFormatting sqref="E55">
    <cfRule type="expression" dxfId="122" priority="17887">
      <formula>AND(AND(NOT(ISBLANK(D55)),NOT(D55=$O$1)),AND(NOT(ISBLANK(C55)),NOT(C55=$O$1)))</formula>
    </cfRule>
    <cfRule type="expression" dxfId="121" priority="17888">
      <formula>OR(AND(NOT(ISBLANK(D55)),NOT(D55=$O$1)),AND(NOT(ISBLANK(C55)),NOT(C55=$O$1)))</formula>
    </cfRule>
  </conditionalFormatting>
  <conditionalFormatting sqref="F55">
    <cfRule type="expression" dxfId="120" priority="17885">
      <formula>AND(AND(NOT(ISBLANK(G55)),NOT(G55=$O$1)),AND(NOT(ISBLANK(H55)),NOT(H55=$O$1)))</formula>
    </cfRule>
    <cfRule type="expression" dxfId="119" priority="17886">
      <formula>OR(AND(NOT(ISBLANK(G55)),NOT(G55=$O$1)),AND(NOT(ISBLANK(H55)),NOT(H55=$O$1)))</formula>
    </cfRule>
  </conditionalFormatting>
  <conditionalFormatting sqref="C55">
    <cfRule type="expression" dxfId="118" priority="17884" stopIfTrue="1">
      <formula>AND(NOT(ISBLANK(C55)),NOT(_xlfn.ISFORMULA(C55)))</formula>
    </cfRule>
  </conditionalFormatting>
  <conditionalFormatting sqref="D55">
    <cfRule type="expression" dxfId="117" priority="17883" stopIfTrue="1">
      <formula>AND(NOT(ISBLANK(D55)),NOT(_xlfn.ISFORMULA(D55)))</formula>
    </cfRule>
  </conditionalFormatting>
  <conditionalFormatting sqref="G55">
    <cfRule type="expression" dxfId="116" priority="17882" stopIfTrue="1">
      <formula>AND(NOT(ISBLANK(G55)),NOT(_xlfn.ISFORMULA(G55)))</formula>
    </cfRule>
  </conditionalFormatting>
  <conditionalFormatting sqref="E41">
    <cfRule type="expression" dxfId="115" priority="17879">
      <formula>AND(AND(NOT(ISBLANK(D41)),NOT(D41=$O$1)),AND(NOT(ISBLANK(C41)),NOT(C41=$O$1)))</formula>
    </cfRule>
    <cfRule type="expression" dxfId="114" priority="17880">
      <formula>OR(AND(NOT(ISBLANK(D41)),NOT(D41=$O$1)),AND(NOT(ISBLANK(C41)),NOT(C41=$O$1)))</formula>
    </cfRule>
  </conditionalFormatting>
  <conditionalFormatting sqref="F41">
    <cfRule type="expression" dxfId="113" priority="17877">
      <formula>AND(AND(NOT(ISBLANK(G41)),NOT(G41=$O$1)),AND(NOT(ISBLANK(H41)),NOT(H41=$O$1)))</formula>
    </cfRule>
    <cfRule type="expression" dxfId="112" priority="17878">
      <formula>OR(AND(NOT(ISBLANK(G41)),NOT(G41=$O$1)),AND(NOT(ISBLANK(H41)),NOT(H41=$O$1)))</formula>
    </cfRule>
  </conditionalFormatting>
  <conditionalFormatting sqref="C41">
    <cfRule type="expression" dxfId="111" priority="17876" stopIfTrue="1">
      <formula>AND(NOT(ISBLANK(C41)),NOT(_xlfn.ISFORMULA(C41)))</formula>
    </cfRule>
  </conditionalFormatting>
  <conditionalFormatting sqref="D41">
    <cfRule type="expression" dxfId="110" priority="17875" stopIfTrue="1">
      <formula>AND(NOT(ISBLANK(D41)),NOT(_xlfn.ISFORMULA(D41)))</formula>
    </cfRule>
  </conditionalFormatting>
  <conditionalFormatting sqref="G41">
    <cfRule type="expression" dxfId="109" priority="17874" stopIfTrue="1">
      <formula>AND(NOT(ISBLANK(G41)),NOT(_xlfn.ISFORMULA(G41)))</formula>
    </cfRule>
  </conditionalFormatting>
  <conditionalFormatting sqref="H41">
    <cfRule type="expression" dxfId="108" priority="17873" stopIfTrue="1">
      <formula>AND(NOT(ISBLANK(H41)),NOT(_xlfn.ISFORMULA(H41)))</formula>
    </cfRule>
  </conditionalFormatting>
  <conditionalFormatting sqref="E56">
    <cfRule type="expression" dxfId="107" priority="17871">
      <formula>AND(AND(NOT(ISBLANK(D56)),NOT(D56=$O$1)),AND(NOT(ISBLANK(C56)),NOT(C56=$O$1)))</formula>
    </cfRule>
    <cfRule type="expression" dxfId="106" priority="17872">
      <formula>OR(AND(NOT(ISBLANK(D56)),NOT(D56=$O$1)),AND(NOT(ISBLANK(C56)),NOT(C56=$O$1)))</formula>
    </cfRule>
  </conditionalFormatting>
  <conditionalFormatting sqref="F56">
    <cfRule type="expression" dxfId="105" priority="17869">
      <formula>AND(AND(NOT(ISBLANK(G56)),NOT(G56=$O$1)),AND(NOT(ISBLANK(H56)),NOT(H56=$O$1)))</formula>
    </cfRule>
    <cfRule type="expression" dxfId="104" priority="17870">
      <formula>OR(AND(NOT(ISBLANK(G56)),NOT(G56=$O$1)),AND(NOT(ISBLANK(H56)),NOT(H56=$O$1)))</formula>
    </cfRule>
  </conditionalFormatting>
  <conditionalFormatting sqref="C56">
    <cfRule type="expression" dxfId="103" priority="17868" stopIfTrue="1">
      <formula>AND(NOT(ISBLANK(C56)),NOT(_xlfn.ISFORMULA(C56)))</formula>
    </cfRule>
  </conditionalFormatting>
  <conditionalFormatting sqref="D56">
    <cfRule type="expression" dxfId="102" priority="17867" stopIfTrue="1">
      <formula>AND(NOT(ISBLANK(D56)),NOT(_xlfn.ISFORMULA(D56)))</formula>
    </cfRule>
  </conditionalFormatting>
  <conditionalFormatting sqref="G56">
    <cfRule type="expression" dxfId="101" priority="17866" stopIfTrue="1">
      <formula>AND(NOT(ISBLANK(G56)),NOT(_xlfn.ISFORMULA(G56)))</formula>
    </cfRule>
  </conditionalFormatting>
  <conditionalFormatting sqref="H56">
    <cfRule type="expression" dxfId="100" priority="17865" stopIfTrue="1">
      <formula>AND(NOT(ISBLANK(H56)),NOT(_xlfn.ISFORMULA(H56)))</formula>
    </cfRule>
  </conditionalFormatting>
  <conditionalFormatting sqref="E57">
    <cfRule type="expression" dxfId="99" priority="17863">
      <formula>AND(AND(NOT(ISBLANK(D57)),NOT(D57=$O$1)),AND(NOT(ISBLANK(C57)),NOT(C57=$O$1)))</formula>
    </cfRule>
    <cfRule type="expression" dxfId="98" priority="17864">
      <formula>OR(AND(NOT(ISBLANK(D57)),NOT(D57=$O$1)),AND(NOT(ISBLANK(C57)),NOT(C57=$O$1)))</formula>
    </cfRule>
  </conditionalFormatting>
  <conditionalFormatting sqref="F57">
    <cfRule type="expression" dxfId="97" priority="17861">
      <formula>AND(AND(NOT(ISBLANK(G57)),NOT(G57=$O$1)),AND(NOT(ISBLANK(H57)),NOT(H57=$O$1)))</formula>
    </cfRule>
    <cfRule type="expression" dxfId="96" priority="17862">
      <formula>OR(AND(NOT(ISBLANK(G57)),NOT(G57=$O$1)),AND(NOT(ISBLANK(H57)),NOT(H57=$O$1)))</formula>
    </cfRule>
  </conditionalFormatting>
  <conditionalFormatting sqref="E42">
    <cfRule type="expression" dxfId="95" priority="17855">
      <formula>AND(AND(NOT(ISBLANK(D42)),NOT(D42=$O$1)),AND(NOT(ISBLANK(C42)),NOT(C42=$O$1)))</formula>
    </cfRule>
    <cfRule type="expression" dxfId="94" priority="17856">
      <formula>OR(AND(NOT(ISBLANK(D42)),NOT(D42=$O$1)),AND(NOT(ISBLANK(C42)),NOT(C42=$O$1)))</formula>
    </cfRule>
  </conditionalFormatting>
  <conditionalFormatting sqref="F42">
    <cfRule type="expression" dxfId="93" priority="17853">
      <formula>AND(AND(NOT(ISBLANK(G42)),NOT(G42=$O$1)),AND(NOT(ISBLANK(H42)),NOT(H42=$O$1)))</formula>
    </cfRule>
    <cfRule type="expression" dxfId="92" priority="17854">
      <formula>OR(AND(NOT(ISBLANK(G42)),NOT(G42=$O$1)),AND(NOT(ISBLANK(H42)),NOT(H42=$O$1)))</formula>
    </cfRule>
  </conditionalFormatting>
  <conditionalFormatting sqref="C57">
    <cfRule type="expression" dxfId="91" priority="17860" stopIfTrue="1">
      <formula>AND(NOT(ISBLANK(C57)),NOT(_xlfn.ISFORMULA(C57)))</formula>
    </cfRule>
  </conditionalFormatting>
  <conditionalFormatting sqref="D57">
    <cfRule type="expression" dxfId="90" priority="17859" stopIfTrue="1">
      <formula>AND(NOT(ISBLANK(D57)),NOT(_xlfn.ISFORMULA(D57)))</formula>
    </cfRule>
  </conditionalFormatting>
  <conditionalFormatting sqref="G57">
    <cfRule type="expression" dxfId="89" priority="17858" stopIfTrue="1">
      <formula>AND(NOT(ISBLANK(G57)),NOT(_xlfn.ISFORMULA(G57)))</formula>
    </cfRule>
  </conditionalFormatting>
  <conditionalFormatting sqref="H57">
    <cfRule type="expression" dxfId="88" priority="17857" stopIfTrue="1">
      <formula>AND(NOT(ISBLANK(H57)),NOT(_xlfn.ISFORMULA(H57)))</formula>
    </cfRule>
  </conditionalFormatting>
  <conditionalFormatting sqref="C42">
    <cfRule type="expression" dxfId="87" priority="17852" stopIfTrue="1">
      <formula>AND(NOT(ISBLANK(C42)),NOT(_xlfn.ISFORMULA(C42)))</formula>
    </cfRule>
  </conditionalFormatting>
  <conditionalFormatting sqref="D42">
    <cfRule type="expression" dxfId="86" priority="17851" stopIfTrue="1">
      <formula>AND(NOT(ISBLANK(D42)),NOT(_xlfn.ISFORMULA(D42)))</formula>
    </cfRule>
  </conditionalFormatting>
  <conditionalFormatting sqref="G42">
    <cfRule type="expression" dxfId="85" priority="17850" stopIfTrue="1">
      <formula>AND(NOT(ISBLANK(G42)),NOT(_xlfn.ISFORMULA(G42)))</formula>
    </cfRule>
  </conditionalFormatting>
  <conditionalFormatting sqref="H42">
    <cfRule type="expression" dxfId="84" priority="17849" stopIfTrue="1">
      <formula>AND(NOT(ISBLANK(H42)),NOT(_xlfn.ISFORMULA(H42)))</formula>
    </cfRule>
  </conditionalFormatting>
  <conditionalFormatting sqref="E58">
    <cfRule type="expression" dxfId="83" priority="17847">
      <formula>AND(AND(NOT(ISBLANK(D58)),NOT(D58=$O$1)),AND(NOT(ISBLANK(C58)),NOT(C58=$O$1)))</formula>
    </cfRule>
    <cfRule type="expression" dxfId="82" priority="17848">
      <formula>OR(AND(NOT(ISBLANK(D58)),NOT(D58=$O$1)),AND(NOT(ISBLANK(C58)),NOT(C58=$O$1)))</formula>
    </cfRule>
  </conditionalFormatting>
  <conditionalFormatting sqref="F58">
    <cfRule type="expression" dxfId="81" priority="17845">
      <formula>AND(AND(NOT(ISBLANK(G58)),NOT(G58=$O$1)),AND(NOT(ISBLANK(H58)),NOT(H58=$O$1)))</formula>
    </cfRule>
    <cfRule type="expression" dxfId="80" priority="17846">
      <formula>OR(AND(NOT(ISBLANK(G58)),NOT(G58=$O$1)),AND(NOT(ISBLANK(H58)),NOT(H58=$O$1)))</formula>
    </cfRule>
  </conditionalFormatting>
  <conditionalFormatting sqref="E4">
    <cfRule type="expression" dxfId="79" priority="17187">
      <formula>AND(AND(NOT(ISBLANK(D4)),NOT(D4=$O$1)),AND(NOT(ISBLANK(C4)),NOT(C4=$O$1)))</formula>
    </cfRule>
    <cfRule type="expression" dxfId="78" priority="17188">
      <formula>OR(AND(NOT(ISBLANK(D4)),NOT(D4=$O$1)),AND(NOT(ISBLANK(C4)),NOT(C4=$O$1)))</formula>
    </cfRule>
  </conditionalFormatting>
  <conditionalFormatting sqref="F4">
    <cfRule type="expression" dxfId="77" priority="17185">
      <formula>AND(AND(NOT(ISBLANK(G4)),NOT(G4=$O$1)),AND(NOT(ISBLANK(H4)),NOT(H4=$O$1)))</formula>
    </cfRule>
    <cfRule type="expression" dxfId="76" priority="17186">
      <formula>OR(AND(NOT(ISBLANK(G4)),NOT(G4=$O$1)),AND(NOT(ISBLANK(H4)),NOT(H4=$O$1)))</formula>
    </cfRule>
  </conditionalFormatting>
  <conditionalFormatting sqref="E5">
    <cfRule type="expression" dxfId="75" priority="17183">
      <formula>AND(AND(NOT(ISBLANK(D5)),NOT(D5=$O$1)),AND(NOT(ISBLANK(C5)),NOT(C5=$O$1)))</formula>
    </cfRule>
    <cfRule type="expression" dxfId="74" priority="17184">
      <formula>OR(AND(NOT(ISBLANK(D5)),NOT(D5=$O$1)),AND(NOT(ISBLANK(C5)),NOT(C5=$O$1)))</formula>
    </cfRule>
  </conditionalFormatting>
  <conditionalFormatting sqref="F5">
    <cfRule type="expression" dxfId="73" priority="17181">
      <formula>AND(AND(NOT(ISBLANK(G5)),NOT(G5=$O$1)),AND(NOT(ISBLANK(H5)),NOT(H5=$O$1)))</formula>
    </cfRule>
    <cfRule type="expression" dxfId="72" priority="17182">
      <formula>OR(AND(NOT(ISBLANK(G5)),NOT(G5=$O$1)),AND(NOT(ISBLANK(H5)),NOT(H5=$O$1)))</formula>
    </cfRule>
  </conditionalFormatting>
  <conditionalFormatting sqref="E6">
    <cfRule type="expression" dxfId="71" priority="17179">
      <formula>AND(AND(NOT(ISBLANK(D6)),NOT(D6=$O$1)),AND(NOT(ISBLANK(C6)),NOT(C6=$O$1)))</formula>
    </cfRule>
    <cfRule type="expression" dxfId="70" priority="17180">
      <formula>OR(AND(NOT(ISBLANK(D6)),NOT(D6=$O$1)),AND(NOT(ISBLANK(C6)),NOT(C6=$O$1)))</formula>
    </cfRule>
  </conditionalFormatting>
  <conditionalFormatting sqref="F6">
    <cfRule type="expression" dxfId="69" priority="17177">
      <formula>AND(AND(NOT(ISBLANK(G6)),NOT(G6=$O$1)),AND(NOT(ISBLANK(H6)),NOT(H6=$O$1)))</formula>
    </cfRule>
    <cfRule type="expression" dxfId="68" priority="17178">
      <formula>OR(AND(NOT(ISBLANK(G6)),NOT(G6=$O$1)),AND(NOT(ISBLANK(H6)),NOT(H6=$O$1)))</formula>
    </cfRule>
  </conditionalFormatting>
  <conditionalFormatting sqref="E7">
    <cfRule type="expression" dxfId="67" priority="10963">
      <formula>AND(AND(NOT(ISBLANK(D7)),NOT(D7=$O$1)),AND(NOT(ISBLANK(C7)),NOT(C7=$O$1)))</formula>
    </cfRule>
    <cfRule type="expression" dxfId="66" priority="10964">
      <formula>OR(AND(NOT(ISBLANK(D7)),NOT(D7=$O$1)),AND(NOT(ISBLANK(C7)),NOT(C7=$O$1)))</formula>
    </cfRule>
  </conditionalFormatting>
  <conditionalFormatting sqref="F7">
    <cfRule type="expression" dxfId="65" priority="10961">
      <formula>AND(AND(NOT(ISBLANK(G7)),NOT(G7=$O$1)),AND(NOT(ISBLANK(H7)),NOT(H7=$O$1)))</formula>
    </cfRule>
    <cfRule type="expression" dxfId="64" priority="10962">
      <formula>OR(AND(NOT(ISBLANK(G7)),NOT(G7=$O$1)),AND(NOT(ISBLANK(H7)),NOT(H7=$O$1)))</formula>
    </cfRule>
  </conditionalFormatting>
  <conditionalFormatting sqref="E8">
    <cfRule type="expression" dxfId="63" priority="5003">
      <formula>AND(AND(NOT(ISBLANK(D8)),NOT(D8=$O$1)),AND(NOT(ISBLANK(C8)),NOT(C8=$O$1)))</formula>
    </cfRule>
    <cfRule type="expression" dxfId="62" priority="5004">
      <formula>OR(AND(NOT(ISBLANK(D8)),NOT(D8=$O$1)),AND(NOT(ISBLANK(C8)),NOT(C8=$O$1)))</formula>
    </cfRule>
  </conditionalFormatting>
  <conditionalFormatting sqref="F8">
    <cfRule type="expression" dxfId="61" priority="5001">
      <formula>AND(AND(NOT(ISBLANK(G8)),NOT(G8=$O$1)),AND(NOT(ISBLANK(H8)),NOT(H8=$O$1)))</formula>
    </cfRule>
    <cfRule type="expression" dxfId="60" priority="5002">
      <formula>OR(AND(NOT(ISBLANK(G8)),NOT(G8=$O$1)),AND(NOT(ISBLANK(H8)),NOT(H8=$O$1)))</formula>
    </cfRule>
  </conditionalFormatting>
  <conditionalFormatting sqref="E9">
    <cfRule type="expression" dxfId="59" priority="3279">
      <formula>AND(AND(NOT(ISBLANK(D9)),NOT(D9=$O$1)),AND(NOT(ISBLANK(C9)),NOT(C9=$O$1)))</formula>
    </cfRule>
    <cfRule type="expression" dxfId="58" priority="3280">
      <formula>OR(AND(NOT(ISBLANK(D9)),NOT(D9=$O$1)),AND(NOT(ISBLANK(C9)),NOT(C9=$O$1)))</formula>
    </cfRule>
  </conditionalFormatting>
  <conditionalFormatting sqref="F9">
    <cfRule type="expression" dxfId="57" priority="3277">
      <formula>AND(AND(NOT(ISBLANK(G9)),NOT(G9=$O$1)),AND(NOT(ISBLANK(H9)),NOT(H9=$O$1)))</formula>
    </cfRule>
    <cfRule type="expression" dxfId="56" priority="3278">
      <formula>OR(AND(NOT(ISBLANK(G9)),NOT(G9=$O$1)),AND(NOT(ISBLANK(H9)),NOT(H9=$O$1)))</formula>
    </cfRule>
  </conditionalFormatting>
  <conditionalFormatting sqref="E10">
    <cfRule type="expression" dxfId="55" priority="3275">
      <formula>AND(AND(NOT(ISBLANK(D10)),NOT(D10=$O$1)),AND(NOT(ISBLANK(C10)),NOT(C10=$O$1)))</formula>
    </cfRule>
    <cfRule type="expression" dxfId="54" priority="3276">
      <formula>OR(AND(NOT(ISBLANK(D10)),NOT(D10=$O$1)),AND(NOT(ISBLANK(C10)),NOT(C10=$O$1)))</formula>
    </cfRule>
  </conditionalFormatting>
  <conditionalFormatting sqref="F10">
    <cfRule type="expression" dxfId="53" priority="3273">
      <formula>AND(AND(NOT(ISBLANK(G10)),NOT(G10=$O$1)),AND(NOT(ISBLANK(H10)),NOT(H10=$O$1)))</formula>
    </cfRule>
    <cfRule type="expression" dxfId="52" priority="3274">
      <formula>OR(AND(NOT(ISBLANK(G10)),NOT(G10=$O$1)),AND(NOT(ISBLANK(H10)),NOT(H10=$O$1)))</formula>
    </cfRule>
  </conditionalFormatting>
  <conditionalFormatting sqref="E11">
    <cfRule type="expression" dxfId="51" priority="2171">
      <formula>AND(AND(NOT(ISBLANK(D11)),NOT(D11=$O$1)),AND(NOT(ISBLANK(C11)),NOT(C11=$O$1)))</formula>
    </cfRule>
    <cfRule type="expression" dxfId="50" priority="2172">
      <formula>OR(AND(NOT(ISBLANK(D11)),NOT(D11=$O$1)),AND(NOT(ISBLANK(C11)),NOT(C11=$O$1)))</formula>
    </cfRule>
  </conditionalFormatting>
  <conditionalFormatting sqref="F11">
    <cfRule type="expression" dxfId="49" priority="2169">
      <formula>AND(AND(NOT(ISBLANK(G11)),NOT(G11=$O$1)),AND(NOT(ISBLANK(H11)),NOT(H11=$O$1)))</formula>
    </cfRule>
    <cfRule type="expression" dxfId="48" priority="2170">
      <formula>OR(AND(NOT(ISBLANK(G11)),NOT(G11=$O$1)),AND(NOT(ISBLANK(H11)),NOT(H11=$O$1)))</formula>
    </cfRule>
  </conditionalFormatting>
  <conditionalFormatting sqref="E12">
    <cfRule type="expression" dxfId="47" priority="2167">
      <formula>AND(AND(NOT(ISBLANK(D12)),NOT(D12=$O$1)),AND(NOT(ISBLANK(C12)),NOT(C12=$O$1)))</formula>
    </cfRule>
    <cfRule type="expression" dxfId="46" priority="2168">
      <formula>OR(AND(NOT(ISBLANK(D12)),NOT(D12=$O$1)),AND(NOT(ISBLANK(C12)),NOT(C12=$O$1)))</formula>
    </cfRule>
  </conditionalFormatting>
  <conditionalFormatting sqref="F12">
    <cfRule type="expression" dxfId="45" priority="2165">
      <formula>AND(AND(NOT(ISBLANK(G12)),NOT(G12=$O$1)),AND(NOT(ISBLANK(H12)),NOT(H12=$O$1)))</formula>
    </cfRule>
    <cfRule type="expression" dxfId="44" priority="2166">
      <formula>OR(AND(NOT(ISBLANK(G12)),NOT(G12=$O$1)),AND(NOT(ISBLANK(H12)),NOT(H12=$O$1)))</formula>
    </cfRule>
  </conditionalFormatting>
  <conditionalFormatting sqref="E13">
    <cfRule type="expression" dxfId="43" priority="2163">
      <formula>AND(AND(NOT(ISBLANK(D13)),NOT(D13=$O$1)),AND(NOT(ISBLANK(C13)),NOT(C13=$O$1)))</formula>
    </cfRule>
    <cfRule type="expression" dxfId="42" priority="2164">
      <formula>OR(AND(NOT(ISBLANK(D13)),NOT(D13=$O$1)),AND(NOT(ISBLANK(C13)),NOT(C13=$O$1)))</formula>
    </cfRule>
  </conditionalFormatting>
  <conditionalFormatting sqref="F13">
    <cfRule type="expression" dxfId="41" priority="2161">
      <formula>AND(AND(NOT(ISBLANK(G13)),NOT(G13=$O$1)),AND(NOT(ISBLANK(H13)),NOT(H13=$O$1)))</formula>
    </cfRule>
    <cfRule type="expression" dxfId="40" priority="2162">
      <formula>OR(AND(NOT(ISBLANK(G13)),NOT(G13=$O$1)),AND(NOT(ISBLANK(H13)),NOT(H13=$O$1)))</formula>
    </cfRule>
  </conditionalFormatting>
  <conditionalFormatting sqref="C4">
    <cfRule type="expression" dxfId="39" priority="40" stopIfTrue="1">
      <formula>AND(NOT(ISBLANK(C4)),NOT(_xlfn.ISFORMULA(C4)))</formula>
    </cfRule>
  </conditionalFormatting>
  <conditionalFormatting sqref="C5">
    <cfRule type="expression" dxfId="38" priority="39" stopIfTrue="1">
      <formula>AND(NOT(ISBLANK(C5)),NOT(_xlfn.ISFORMULA(C5)))</formula>
    </cfRule>
  </conditionalFormatting>
  <conditionalFormatting sqref="C6">
    <cfRule type="expression" dxfId="37" priority="38" stopIfTrue="1">
      <formula>AND(NOT(ISBLANK(C6)),NOT(_xlfn.ISFORMULA(C6)))</formula>
    </cfRule>
  </conditionalFormatting>
  <conditionalFormatting sqref="C7">
    <cfRule type="expression" dxfId="36" priority="37" stopIfTrue="1">
      <formula>AND(NOT(ISBLANK(C7)),NOT(_xlfn.ISFORMULA(C7)))</formula>
    </cfRule>
  </conditionalFormatting>
  <conditionalFormatting sqref="C8">
    <cfRule type="expression" dxfId="35" priority="36" stopIfTrue="1">
      <formula>AND(NOT(ISBLANK(C8)),NOT(_xlfn.ISFORMULA(C8)))</formula>
    </cfRule>
  </conditionalFormatting>
  <conditionalFormatting sqref="C9">
    <cfRule type="expression" dxfId="34" priority="35" stopIfTrue="1">
      <formula>AND(NOT(ISBLANK(C9)),NOT(_xlfn.ISFORMULA(C9)))</formula>
    </cfRule>
  </conditionalFormatting>
  <conditionalFormatting sqref="C10">
    <cfRule type="expression" dxfId="33" priority="34" stopIfTrue="1">
      <formula>AND(NOT(ISBLANK(C10)),NOT(_xlfn.ISFORMULA(C10)))</formula>
    </cfRule>
  </conditionalFormatting>
  <conditionalFormatting sqref="C11">
    <cfRule type="expression" dxfId="32" priority="33" stopIfTrue="1">
      <formula>AND(NOT(ISBLANK(C11)),NOT(_xlfn.ISFORMULA(C11)))</formula>
    </cfRule>
  </conditionalFormatting>
  <conditionalFormatting sqref="C12">
    <cfRule type="expression" dxfId="31" priority="32" stopIfTrue="1">
      <formula>AND(NOT(ISBLANK(C12)),NOT(_xlfn.ISFORMULA(C12)))</formula>
    </cfRule>
  </conditionalFormatting>
  <conditionalFormatting sqref="C13">
    <cfRule type="expression" dxfId="30" priority="31" stopIfTrue="1">
      <formula>AND(NOT(ISBLANK(C13)),NOT(_xlfn.ISFORMULA(C13)))</formula>
    </cfRule>
  </conditionalFormatting>
  <conditionalFormatting sqref="D4">
    <cfRule type="expression" dxfId="29" priority="30" stopIfTrue="1">
      <formula>AND(NOT(ISBLANK(D4)),NOT(_xlfn.ISFORMULA(D4)))</formula>
    </cfRule>
  </conditionalFormatting>
  <conditionalFormatting sqref="D5">
    <cfRule type="expression" dxfId="28" priority="29" stopIfTrue="1">
      <formula>AND(NOT(ISBLANK(D5)),NOT(_xlfn.ISFORMULA(D5)))</formula>
    </cfRule>
  </conditionalFormatting>
  <conditionalFormatting sqref="D6">
    <cfRule type="expression" dxfId="27" priority="28" stopIfTrue="1">
      <formula>AND(NOT(ISBLANK(D6)),NOT(_xlfn.ISFORMULA(D6)))</formula>
    </cfRule>
  </conditionalFormatting>
  <conditionalFormatting sqref="D7">
    <cfRule type="expression" dxfId="26" priority="27" stopIfTrue="1">
      <formula>AND(NOT(ISBLANK(D7)),NOT(_xlfn.ISFORMULA(D7)))</formula>
    </cfRule>
  </conditionalFormatting>
  <conditionalFormatting sqref="D8">
    <cfRule type="expression" dxfId="25" priority="26" stopIfTrue="1">
      <formula>AND(NOT(ISBLANK(D8)),NOT(_xlfn.ISFORMULA(D8)))</formula>
    </cfRule>
  </conditionalFormatting>
  <conditionalFormatting sqref="D9">
    <cfRule type="expression" dxfId="24" priority="25" stopIfTrue="1">
      <formula>AND(NOT(ISBLANK(D9)),NOT(_xlfn.ISFORMULA(D9)))</formula>
    </cfRule>
  </conditionalFormatting>
  <conditionalFormatting sqref="D10">
    <cfRule type="expression" dxfId="23" priority="24" stopIfTrue="1">
      <formula>AND(NOT(ISBLANK(D10)),NOT(_xlfn.ISFORMULA(D10)))</formula>
    </cfRule>
  </conditionalFormatting>
  <conditionalFormatting sqref="D11">
    <cfRule type="expression" dxfId="22" priority="23" stopIfTrue="1">
      <formula>AND(NOT(ISBLANK(D11)),NOT(_xlfn.ISFORMULA(D11)))</formula>
    </cfRule>
  </conditionalFormatting>
  <conditionalFormatting sqref="D12">
    <cfRule type="expression" dxfId="21" priority="22" stopIfTrue="1">
      <formula>AND(NOT(ISBLANK(D12)),NOT(_xlfn.ISFORMULA(D12)))</formula>
    </cfRule>
  </conditionalFormatting>
  <conditionalFormatting sqref="D13">
    <cfRule type="expression" dxfId="20" priority="21" stopIfTrue="1">
      <formula>AND(NOT(ISBLANK(D13)),NOT(_xlfn.ISFORMULA(D13)))</formula>
    </cfRule>
  </conditionalFormatting>
  <conditionalFormatting sqref="G4">
    <cfRule type="expression" dxfId="19" priority="20" stopIfTrue="1">
      <formula>AND(NOT(ISBLANK(G4)),NOT(_xlfn.ISFORMULA(G4)))</formula>
    </cfRule>
  </conditionalFormatting>
  <conditionalFormatting sqref="G5">
    <cfRule type="expression" dxfId="18" priority="19" stopIfTrue="1">
      <formula>AND(NOT(ISBLANK(G5)),NOT(_xlfn.ISFORMULA(G5)))</formula>
    </cfRule>
  </conditionalFormatting>
  <conditionalFormatting sqref="G6">
    <cfRule type="expression" dxfId="17" priority="18" stopIfTrue="1">
      <formula>AND(NOT(ISBLANK(G6)),NOT(_xlfn.ISFORMULA(G6)))</formula>
    </cfRule>
  </conditionalFormatting>
  <conditionalFormatting sqref="G7">
    <cfRule type="expression" dxfId="16" priority="17" stopIfTrue="1">
      <formula>AND(NOT(ISBLANK(G7)),NOT(_xlfn.ISFORMULA(G7)))</formula>
    </cfRule>
  </conditionalFormatting>
  <conditionalFormatting sqref="G8">
    <cfRule type="expression" dxfId="15" priority="16" stopIfTrue="1">
      <formula>AND(NOT(ISBLANK(G8)),NOT(_xlfn.ISFORMULA(G8)))</formula>
    </cfRule>
  </conditionalFormatting>
  <conditionalFormatting sqref="G9">
    <cfRule type="expression" dxfId="14" priority="15" stopIfTrue="1">
      <formula>AND(NOT(ISBLANK(G9)),NOT(_xlfn.ISFORMULA(G9)))</formula>
    </cfRule>
  </conditionalFormatting>
  <conditionalFormatting sqref="G10">
    <cfRule type="expression" dxfId="13" priority="14" stopIfTrue="1">
      <formula>AND(NOT(ISBLANK(G10)),NOT(_xlfn.ISFORMULA(G10)))</formula>
    </cfRule>
  </conditionalFormatting>
  <conditionalFormatting sqref="G11">
    <cfRule type="expression" dxfId="12" priority="13" stopIfTrue="1">
      <formula>AND(NOT(ISBLANK(G11)),NOT(_xlfn.ISFORMULA(G11)))</formula>
    </cfRule>
  </conditionalFormatting>
  <conditionalFormatting sqref="G12">
    <cfRule type="expression" dxfId="11" priority="12" stopIfTrue="1">
      <formula>AND(NOT(ISBLANK(G12)),NOT(_xlfn.ISFORMULA(G12)))</formula>
    </cfRule>
  </conditionalFormatting>
  <conditionalFormatting sqref="G13">
    <cfRule type="expression" dxfId="10" priority="11" stopIfTrue="1">
      <formula>AND(NOT(ISBLANK(G13)),NOT(_xlfn.ISFORMULA(G13)))</formula>
    </cfRule>
  </conditionalFormatting>
  <conditionalFormatting sqref="H4">
    <cfRule type="expression" dxfId="9" priority="10" stopIfTrue="1">
      <formula>AND(NOT(ISBLANK(H4)),NOT(_xlfn.ISFORMULA(H4)))</formula>
    </cfRule>
  </conditionalFormatting>
  <conditionalFormatting sqref="H5">
    <cfRule type="expression" dxfId="8" priority="9" stopIfTrue="1">
      <formula>AND(NOT(ISBLANK(H5)),NOT(_xlfn.ISFORMULA(H5)))</formula>
    </cfRule>
  </conditionalFormatting>
  <conditionalFormatting sqref="H6">
    <cfRule type="expression" dxfId="7" priority="8" stopIfTrue="1">
      <formula>AND(NOT(ISBLANK(H6)),NOT(_xlfn.ISFORMULA(H6)))</formula>
    </cfRule>
  </conditionalFormatting>
  <conditionalFormatting sqref="H7">
    <cfRule type="expression" dxfId="6" priority="7" stopIfTrue="1">
      <formula>AND(NOT(ISBLANK(H7)),NOT(_xlfn.ISFORMULA(H7)))</formula>
    </cfRule>
  </conditionalFormatting>
  <conditionalFormatting sqref="H8">
    <cfRule type="expression" dxfId="5" priority="6" stopIfTrue="1">
      <formula>AND(NOT(ISBLANK(H8)),NOT(_xlfn.ISFORMULA(H8)))</formula>
    </cfRule>
  </conditionalFormatting>
  <conditionalFormatting sqref="H9">
    <cfRule type="expression" dxfId="4" priority="5" stopIfTrue="1">
      <formula>AND(NOT(ISBLANK(H9)),NOT(_xlfn.ISFORMULA(H9)))</formula>
    </cfRule>
  </conditionalFormatting>
  <conditionalFormatting sqref="H10">
    <cfRule type="expression" dxfId="3" priority="4" stopIfTrue="1">
      <formula>AND(NOT(ISBLANK(H10)),NOT(_xlfn.ISFORMULA(H10)))</formula>
    </cfRule>
  </conditionalFormatting>
  <conditionalFormatting sqref="H11">
    <cfRule type="expression" dxfId="2" priority="3" stopIfTrue="1">
      <formula>AND(NOT(ISBLANK(H11)),NOT(_xlfn.ISFORMULA(H11)))</formula>
    </cfRule>
  </conditionalFormatting>
  <conditionalFormatting sqref="H12">
    <cfRule type="expression" dxfId="1" priority="2" stopIfTrue="1">
      <formula>AND(NOT(ISBLANK(H12)),NOT(_xlfn.ISFORMULA(H12)))</formula>
    </cfRule>
  </conditionalFormatting>
  <conditionalFormatting sqref="H13">
    <cfRule type="expression" dxfId="0" priority="1" stopIfTrue="1">
      <formula>AND(NOT(ISBLANK(H13)),NOT(_xlfn.ISFORMULA(H13)))</formula>
    </cfRule>
  </conditionalFormatting>
  <dataValidations count="2">
    <dataValidation type="custom" allowBlank="1" showInputMessage="1" showErrorMessage="1" sqref="E49:F58 E38:F42 J49:L50 A38:B42 I38:L42 J51:J58 A49:B58 I49:I58 A4:B13 I4:J13 E4:F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3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tabSelected="1" view="pageBreakPreview" zoomScaleNormal="100" zoomScaleSheetLayoutView="100" workbookViewId="0"/>
  </sheetViews>
  <sheetFormatPr defaultRowHeight="15" x14ac:dyDescent="0.25"/>
  <cols>
    <col min="1" max="1" width="9.140625" style="82"/>
  </cols>
  <sheetData/>
  <pageMargins left="0.7" right="0.7" top="0.75" bottom="0.75" header="0.3" footer="0.3"/>
  <pageSetup paperSize="9" orientation="portrait" r:id="rId1"/>
  <headerFooter>
    <oddHeader>&amp;R&amp;D. &amp;T. Страница &amp;P/&amp;N&amp;LbCAD</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ВставитьИРассчитать" altText="Проверка сумм">
                <anchor>
                  <from>
                    <xdr:col>9</xdr:col>
                    <xdr:colOff>409575</xdr:colOff>
                    <xdr:row>10</xdr:row>
                    <xdr:rowOff>161925</xdr:rowOff>
                  </from>
                  <to>
                    <xdr:col>14</xdr:col>
                    <xdr:colOff>152400</xdr:colOff>
                    <xdr:row>15</xdr:row>
                    <xdr:rowOff>123825</xdr:rowOff>
                  </to>
                </anchor>
              </controlPr>
            </control>
          </mc:Choice>
        </mc:AlternateContent>
        <mc:AlternateContent xmlns:mc="http://schemas.openxmlformats.org/markup-compatibility/2006">
          <mc:Choice Requires="x14">
            <control shapeId="46082" r:id="rId5" name="Button 2">
              <controlPr defaultSize="0" print="0" autoFill="0" autoPict="0" macro="[0]!ОчиститьВсюТаблицу" altText="Проверка сумм">
                <anchor>
                  <from>
                    <xdr:col>16</xdr:col>
                    <xdr:colOff>19050</xdr:colOff>
                    <xdr:row>12</xdr:row>
                    <xdr:rowOff>95250</xdr:rowOff>
                  </from>
                  <to>
                    <xdr:col>19</xdr:col>
                    <xdr:colOff>209550</xdr:colOff>
                    <xdr:row>19</xdr:row>
                    <xdr:rowOff>114300</xdr:rowOff>
                  </to>
                </anchor>
              </controlPr>
            </control>
          </mc:Choice>
        </mc:AlternateContent>
        <mc:AlternateContent xmlns:mc="http://schemas.openxmlformats.org/markup-compatibility/2006">
          <mc:Choice Requires="x14">
            <control shapeId="46083" r:id="rId6" name="Button 3">
              <controlPr defaultSize="0" print="0" autoFill="0" autoPict="0" macro="[0]!ЗапроситьСметуИзbCAD" altText="Проверка сумм">
                <anchor>
                  <from>
                    <xdr:col>14</xdr:col>
                    <xdr:colOff>552450</xdr:colOff>
                    <xdr:row>1</xdr:row>
                    <xdr:rowOff>28575</xdr:rowOff>
                  </from>
                  <to>
                    <xdr:col>20</xdr:col>
                    <xdr:colOff>209550</xdr:colOff>
                    <xdr:row>11</xdr:row>
                    <xdr:rowOff>95250</xdr:rowOff>
                  </to>
                </anchor>
              </controlPr>
            </control>
          </mc:Choice>
        </mc:AlternateContent>
        <mc:AlternateContent xmlns:mc="http://schemas.openxmlformats.org/markup-compatibility/2006">
          <mc:Choice Requires="x14">
            <control shapeId="46084" r:id="rId7" name="Button 4">
              <controlPr defaultSize="0" print="0" autoFill="0" autoPict="0" macro="[0]!ВыборФайлаСметаИзXML" altText="Проверка сумм">
                <anchor>
                  <from>
                    <xdr:col>9</xdr:col>
                    <xdr:colOff>285750</xdr:colOff>
                    <xdr:row>2</xdr:row>
                    <xdr:rowOff>114300</xdr:rowOff>
                  </from>
                  <to>
                    <xdr:col>14</xdr:col>
                    <xdr:colOff>428625</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1</vt:i4>
      </vt:variant>
    </vt:vector>
  </HeadingPairs>
  <TitlesOfParts>
    <vt:vector size="4" baseType="lpstr">
      <vt:lpstr>ИсходныйСкрытый</vt:lpstr>
      <vt:lpstr>Деталировка</vt:lpstr>
      <vt:lpstr>Склад</vt:lpstr>
      <vt:lpstr>Деталировка!Область_печати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2022-01-25T21:29:32Z</cp:lastPrinted>
  <dcterms:created xsi:type="dcterms:W3CDTF">2014-06-23T08:47:00Z</dcterms:created>
  <dcterms:modified xsi:type="dcterms:W3CDTF">2022-02-02T22:17:24Z</dcterms:modified>
</cp:coreProperties>
</file>